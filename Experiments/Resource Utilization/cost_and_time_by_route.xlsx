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ssant\Desktop\maat\Experiments\Resource Utilization\"/>
    </mc:Choice>
  </mc:AlternateContent>
  <xr:revisionPtr revIDLastSave="0" documentId="13_ncr:1_{E35D6168-598D-4701-85E4-11C41CD55CD9}" xr6:coauthVersionLast="47" xr6:coauthVersionMax="47" xr10:uidLastSave="{00000000-0000-0000-0000-000000000000}"/>
  <bookViews>
    <workbookView xWindow="-110" yWindow="-110" windowWidth="19420" windowHeight="11500" tabRatio="500" firstSheet="1" activeTab="4" xr2:uid="{00000000-000D-0000-FFFF-FFFF00000000}"/>
  </bookViews>
  <sheets>
    <sheet name="runs" sheetId="1" r:id="rId1"/>
    <sheet name="stages" sheetId="2" r:id="rId2"/>
    <sheet name="calls" sheetId="3" r:id="rId3"/>
    <sheet name="answer_theoretical" sheetId="4" r:id="rId4"/>
    <sheet name="theoretical_by_stage" sheetId="5" r:id="rId5"/>
    <sheet name="search_database" sheetId="6" r:id="rId6"/>
    <sheet name="search_database -&gt; search_web" sheetId="7" r:id="rId7"/>
  </sheets>
  <definedNames>
    <definedName name="_xlnm._FilterDatabase" localSheetId="2" hidden="1">calls!$D$1:$D$882</definedName>
    <definedName name="_xlnm._FilterDatabase" localSheetId="0" hidden="1">runs!$E$1:$E$15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12" i="7" l="1"/>
  <c r="AW112" i="7"/>
  <c r="AR112" i="7"/>
  <c r="AQ112" i="7"/>
  <c r="AM112" i="7"/>
  <c r="AK112" i="7"/>
  <c r="AF112" i="7"/>
  <c r="AE112" i="7"/>
  <c r="AA112" i="7"/>
  <c r="Y112" i="7"/>
  <c r="T112" i="7"/>
  <c r="S112" i="7"/>
  <c r="O112" i="7"/>
  <c r="M112" i="7"/>
  <c r="H112" i="7"/>
  <c r="G112" i="7"/>
  <c r="C112" i="7"/>
  <c r="AY111" i="7"/>
  <c r="AX111" i="7"/>
  <c r="AW111" i="7"/>
  <c r="AV111" i="7"/>
  <c r="AU111" i="7"/>
  <c r="AT111" i="7"/>
  <c r="AS111" i="7"/>
  <c r="AS112" i="7" s="1"/>
  <c r="AR111" i="7"/>
  <c r="AQ111" i="7"/>
  <c r="AP111" i="7"/>
  <c r="AO111" i="7"/>
  <c r="AN111" i="7"/>
  <c r="AM111" i="7"/>
  <c r="AL111" i="7"/>
  <c r="AK111" i="7"/>
  <c r="AJ111" i="7"/>
  <c r="AI111" i="7"/>
  <c r="AH111" i="7"/>
  <c r="AG111" i="7"/>
  <c r="AG112" i="7" s="1"/>
  <c r="AF111" i="7"/>
  <c r="AE111" i="7"/>
  <c r="AD111" i="7"/>
  <c r="AC111" i="7"/>
  <c r="AB111" i="7"/>
  <c r="AA111" i="7"/>
  <c r="Z111" i="7"/>
  <c r="Y111" i="7"/>
  <c r="X111" i="7"/>
  <c r="W111" i="7"/>
  <c r="V111" i="7"/>
  <c r="U111" i="7"/>
  <c r="U112" i="7" s="1"/>
  <c r="T111" i="7"/>
  <c r="S111" i="7"/>
  <c r="R111" i="7"/>
  <c r="Q111" i="7"/>
  <c r="P111" i="7"/>
  <c r="O111" i="7"/>
  <c r="N111" i="7"/>
  <c r="M111" i="7"/>
  <c r="L111" i="7"/>
  <c r="K111" i="7"/>
  <c r="J111" i="7"/>
  <c r="I111" i="7"/>
  <c r="I112" i="7" s="1"/>
  <c r="H111" i="7"/>
  <c r="G111" i="7"/>
  <c r="F111" i="7"/>
  <c r="E111" i="7"/>
  <c r="D111" i="7"/>
  <c r="C111" i="7"/>
  <c r="B111" i="7"/>
  <c r="AY110" i="7"/>
  <c r="AX110" i="7"/>
  <c r="AX112" i="7" s="1"/>
  <c r="AW110" i="7"/>
  <c r="AV110" i="7"/>
  <c r="AV112" i="7" s="1"/>
  <c r="AU110" i="7"/>
  <c r="AU112" i="7" s="1"/>
  <c r="AT110" i="7"/>
  <c r="AT112" i="7" s="1"/>
  <c r="AS110" i="7"/>
  <c r="AR110" i="7"/>
  <c r="AQ110" i="7"/>
  <c r="AP110" i="7"/>
  <c r="AP112" i="7" s="1"/>
  <c r="AO110" i="7"/>
  <c r="AO112" i="7" s="1"/>
  <c r="AN110" i="7"/>
  <c r="AN112" i="7" s="1"/>
  <c r="AM110" i="7"/>
  <c r="AL110" i="7"/>
  <c r="AL112" i="7" s="1"/>
  <c r="AK110" i="7"/>
  <c r="AJ110" i="7"/>
  <c r="AJ112" i="7" s="1"/>
  <c r="AI110" i="7"/>
  <c r="AI112" i="7" s="1"/>
  <c r="AH110" i="7"/>
  <c r="AH112" i="7" s="1"/>
  <c r="AG110" i="7"/>
  <c r="AF110" i="7"/>
  <c r="AE110" i="7"/>
  <c r="AD110" i="7"/>
  <c r="AD112" i="7" s="1"/>
  <c r="AC110" i="7"/>
  <c r="AC112" i="7" s="1"/>
  <c r="AB110" i="7"/>
  <c r="AB112" i="7" s="1"/>
  <c r="AA110" i="7"/>
  <c r="Z110" i="7"/>
  <c r="Z112" i="7" s="1"/>
  <c r="Y110" i="7"/>
  <c r="X110" i="7"/>
  <c r="X112" i="7" s="1"/>
  <c r="W110" i="7"/>
  <c r="W112" i="7" s="1"/>
  <c r="V110" i="7"/>
  <c r="V112" i="7" s="1"/>
  <c r="U110" i="7"/>
  <c r="T110" i="7"/>
  <c r="S110" i="7"/>
  <c r="R110" i="7"/>
  <c r="R112" i="7" s="1"/>
  <c r="Q110" i="7"/>
  <c r="Q112" i="7" s="1"/>
  <c r="P110" i="7"/>
  <c r="P112" i="7" s="1"/>
  <c r="O110" i="7"/>
  <c r="N110" i="7"/>
  <c r="N112" i="7" s="1"/>
  <c r="M110" i="7"/>
  <c r="L110" i="7"/>
  <c r="L112" i="7" s="1"/>
  <c r="K110" i="7"/>
  <c r="K112" i="7" s="1"/>
  <c r="J110" i="7"/>
  <c r="J112" i="7" s="1"/>
  <c r="I110" i="7"/>
  <c r="H110" i="7"/>
  <c r="G110" i="7"/>
  <c r="F110" i="7"/>
  <c r="F112" i="7" s="1"/>
  <c r="E110" i="7"/>
  <c r="E112" i="7" s="1"/>
  <c r="D110" i="7"/>
  <c r="D112" i="7" s="1"/>
  <c r="C110" i="7"/>
  <c r="B110" i="7"/>
  <c r="AY306" i="6"/>
  <c r="AX306" i="6"/>
  <c r="AX307" i="6" s="1"/>
  <c r="AW306" i="6"/>
  <c r="AV306" i="6"/>
  <c r="AU306" i="6"/>
  <c r="AT306" i="6"/>
  <c r="AS306" i="6"/>
  <c r="AR306" i="6"/>
  <c r="AQ306" i="6"/>
  <c r="AP306" i="6"/>
  <c r="AO306" i="6"/>
  <c r="AN306" i="6"/>
  <c r="AM306" i="6"/>
  <c r="AL306" i="6"/>
  <c r="AL307" i="6" s="1"/>
  <c r="AK306" i="6"/>
  <c r="AJ306" i="6"/>
  <c r="AI306" i="6"/>
  <c r="AH306" i="6"/>
  <c r="AG306" i="6"/>
  <c r="AF306" i="6"/>
  <c r="AE306" i="6"/>
  <c r="AD306" i="6"/>
  <c r="AC306" i="6"/>
  <c r="AB306" i="6"/>
  <c r="AA306" i="6"/>
  <c r="Z306" i="6"/>
  <c r="Z307" i="6" s="1"/>
  <c r="Y306" i="6"/>
  <c r="X306" i="6"/>
  <c r="W306" i="6"/>
  <c r="V306" i="6"/>
  <c r="U306" i="6"/>
  <c r="T306" i="6"/>
  <c r="S306" i="6"/>
  <c r="R306" i="6"/>
  <c r="Q306" i="6"/>
  <c r="P306" i="6"/>
  <c r="O306" i="6"/>
  <c r="N306" i="6"/>
  <c r="N307" i="6" s="1"/>
  <c r="M306" i="6"/>
  <c r="L306" i="6"/>
  <c r="K306" i="6"/>
  <c r="J306" i="6"/>
  <c r="I306" i="6"/>
  <c r="H306" i="6"/>
  <c r="G306" i="6"/>
  <c r="F306" i="6"/>
  <c r="E306" i="6"/>
  <c r="D306" i="6"/>
  <c r="C306" i="6"/>
  <c r="B306" i="6"/>
  <c r="AY305" i="6"/>
  <c r="AX305" i="6"/>
  <c r="AW305" i="6"/>
  <c r="AV305" i="6"/>
  <c r="AU305" i="6"/>
  <c r="AT305" i="6"/>
  <c r="AS305" i="6"/>
  <c r="AR305" i="6"/>
  <c r="AQ305" i="6"/>
  <c r="AP305" i="6"/>
  <c r="AO305" i="6"/>
  <c r="AN305" i="6"/>
  <c r="AN307" i="6" s="1"/>
  <c r="AM305" i="6"/>
  <c r="AL305" i="6"/>
  <c r="AK305" i="6"/>
  <c r="AJ305" i="6"/>
  <c r="AI305" i="6"/>
  <c r="AH305" i="6"/>
  <c r="AG305" i="6"/>
  <c r="AF305" i="6"/>
  <c r="AE305" i="6"/>
  <c r="AD305" i="6"/>
  <c r="AC305" i="6"/>
  <c r="AB305" i="6"/>
  <c r="AB307" i="6" s="1"/>
  <c r="AA305" i="6"/>
  <c r="Z305" i="6"/>
  <c r="Y305" i="6"/>
  <c r="X305" i="6"/>
  <c r="W305" i="6"/>
  <c r="V305" i="6"/>
  <c r="U305" i="6"/>
  <c r="T305" i="6"/>
  <c r="S305" i="6"/>
  <c r="R305" i="6"/>
  <c r="Q305" i="6"/>
  <c r="P305" i="6"/>
  <c r="P307" i="6" s="1"/>
  <c r="O305" i="6"/>
  <c r="N305" i="6"/>
  <c r="M305" i="6"/>
  <c r="L305" i="6"/>
  <c r="K305" i="6"/>
  <c r="J305" i="6"/>
  <c r="I305" i="6"/>
  <c r="H305" i="6"/>
  <c r="G305" i="6"/>
  <c r="F305" i="6"/>
  <c r="E305" i="6"/>
  <c r="D305" i="6"/>
  <c r="D307" i="6" s="1"/>
  <c r="C305" i="6"/>
  <c r="B305" i="6"/>
  <c r="AY304" i="6"/>
  <c r="AX304" i="6"/>
  <c r="AW304" i="6"/>
  <c r="AV304" i="6"/>
  <c r="AU304" i="6"/>
  <c r="AT304" i="6"/>
  <c r="AS304" i="6"/>
  <c r="AR304" i="6"/>
  <c r="AQ304" i="6"/>
  <c r="AQ307" i="6" s="1"/>
  <c r="AP304" i="6"/>
  <c r="AP307" i="6" s="1"/>
  <c r="AO304" i="6"/>
  <c r="AN304" i="6"/>
  <c r="AM304" i="6"/>
  <c r="AL304" i="6"/>
  <c r="AK304" i="6"/>
  <c r="AJ304" i="6"/>
  <c r="AI304" i="6"/>
  <c r="AH304" i="6"/>
  <c r="AG304" i="6"/>
  <c r="AF304" i="6"/>
  <c r="AE304" i="6"/>
  <c r="AE307" i="6" s="1"/>
  <c r="AD304" i="6"/>
  <c r="AD307" i="6" s="1"/>
  <c r="AC304" i="6"/>
  <c r="AB304" i="6"/>
  <c r="AA304" i="6"/>
  <c r="Z304" i="6"/>
  <c r="Y304" i="6"/>
  <c r="X304" i="6"/>
  <c r="W304" i="6"/>
  <c r="V304" i="6"/>
  <c r="U304" i="6"/>
  <c r="T304" i="6"/>
  <c r="S304" i="6"/>
  <c r="S307" i="6" s="1"/>
  <c r="R304" i="6"/>
  <c r="R307" i="6" s="1"/>
  <c r="Q304" i="6"/>
  <c r="P304" i="6"/>
  <c r="O304" i="6"/>
  <c r="N304" i="6"/>
  <c r="M304" i="6"/>
  <c r="L304" i="6"/>
  <c r="K304" i="6"/>
  <c r="J304" i="6"/>
  <c r="I304" i="6"/>
  <c r="H304" i="6"/>
  <c r="G304" i="6"/>
  <c r="G307" i="6" s="1"/>
  <c r="F304" i="6"/>
  <c r="F307" i="6" s="1"/>
  <c r="E304" i="6"/>
  <c r="D304" i="6"/>
  <c r="C304" i="6"/>
  <c r="B304" i="6"/>
  <c r="AY303" i="6"/>
  <c r="AX303" i="6"/>
  <c r="AW303" i="6"/>
  <c r="AV303" i="6"/>
  <c r="AU303" i="6"/>
  <c r="AT303" i="6"/>
  <c r="AS303" i="6"/>
  <c r="AR303" i="6"/>
  <c r="AR307" i="6" s="1"/>
  <c r="AQ303" i="6"/>
  <c r="AP303" i="6"/>
  <c r="AO303" i="6"/>
  <c r="AN303" i="6"/>
  <c r="AM303" i="6"/>
  <c r="AL303" i="6"/>
  <c r="AK303" i="6"/>
  <c r="AJ303" i="6"/>
  <c r="AI303" i="6"/>
  <c r="AH303" i="6"/>
  <c r="AG303" i="6"/>
  <c r="AF303" i="6"/>
  <c r="AF307" i="6" s="1"/>
  <c r="AE303" i="6"/>
  <c r="AD303" i="6"/>
  <c r="AC303" i="6"/>
  <c r="AB303" i="6"/>
  <c r="AA303" i="6"/>
  <c r="Z303" i="6"/>
  <c r="Y303" i="6"/>
  <c r="X303" i="6"/>
  <c r="W303" i="6"/>
  <c r="V303" i="6"/>
  <c r="U303" i="6"/>
  <c r="T303" i="6"/>
  <c r="T307" i="6" s="1"/>
  <c r="S303" i="6"/>
  <c r="R303" i="6"/>
  <c r="Q303" i="6"/>
  <c r="P303" i="6"/>
  <c r="O303" i="6"/>
  <c r="N303" i="6"/>
  <c r="M303" i="6"/>
  <c r="L303" i="6"/>
  <c r="K303" i="6"/>
  <c r="J303" i="6"/>
  <c r="I303" i="6"/>
  <c r="H303" i="6"/>
  <c r="H307" i="6" s="1"/>
  <c r="G303" i="6"/>
  <c r="F303" i="6"/>
  <c r="E303" i="6"/>
  <c r="D303" i="6"/>
  <c r="C303" i="6"/>
  <c r="B303" i="6"/>
  <c r="AY302" i="6"/>
  <c r="AY307" i="6" s="1"/>
  <c r="AX302" i="6"/>
  <c r="AW302" i="6"/>
  <c r="AW307" i="6" s="1"/>
  <c r="AV302" i="6"/>
  <c r="AV307" i="6" s="1"/>
  <c r="AU302" i="6"/>
  <c r="AU307" i="6" s="1"/>
  <c r="AT302" i="6"/>
  <c r="AT307" i="6" s="1"/>
  <c r="AS302" i="6"/>
  <c r="AS307" i="6" s="1"/>
  <c r="AR302" i="6"/>
  <c r="AQ302" i="6"/>
  <c r="AP302" i="6"/>
  <c r="AO302" i="6"/>
  <c r="AO307" i="6" s="1"/>
  <c r="AN302" i="6"/>
  <c r="AM302" i="6"/>
  <c r="AM307" i="6" s="1"/>
  <c r="AL302" i="6"/>
  <c r="AK302" i="6"/>
  <c r="AK307" i="6" s="1"/>
  <c r="AJ302" i="6"/>
  <c r="AJ307" i="6" s="1"/>
  <c r="AI302" i="6"/>
  <c r="AI307" i="6" s="1"/>
  <c r="AH302" i="6"/>
  <c r="AH307" i="6" s="1"/>
  <c r="AG302" i="6"/>
  <c r="AG307" i="6" s="1"/>
  <c r="AF302" i="6"/>
  <c r="AE302" i="6"/>
  <c r="AD302" i="6"/>
  <c r="AC302" i="6"/>
  <c r="AC307" i="6" s="1"/>
  <c r="AB302" i="6"/>
  <c r="AA302" i="6"/>
  <c r="AA307" i="6" s="1"/>
  <c r="Z302" i="6"/>
  <c r="Y302" i="6"/>
  <c r="Y307" i="6" s="1"/>
  <c r="X302" i="6"/>
  <c r="X307" i="6" s="1"/>
  <c r="W302" i="6"/>
  <c r="W307" i="6" s="1"/>
  <c r="V302" i="6"/>
  <c r="V307" i="6" s="1"/>
  <c r="U302" i="6"/>
  <c r="U307" i="6" s="1"/>
  <c r="T302" i="6"/>
  <c r="S302" i="6"/>
  <c r="R302" i="6"/>
  <c r="Q302" i="6"/>
  <c r="Q307" i="6" s="1"/>
  <c r="P302" i="6"/>
  <c r="O302" i="6"/>
  <c r="O307" i="6" s="1"/>
  <c r="N302" i="6"/>
  <c r="M302" i="6"/>
  <c r="M307" i="6" s="1"/>
  <c r="L302" i="6"/>
  <c r="L307" i="6" s="1"/>
  <c r="K302" i="6"/>
  <c r="K307" i="6" s="1"/>
  <c r="J302" i="6"/>
  <c r="J307" i="6" s="1"/>
  <c r="I302" i="6"/>
  <c r="I307" i="6" s="1"/>
  <c r="H302" i="6"/>
  <c r="G302" i="6"/>
  <c r="F302" i="6"/>
  <c r="E302" i="6"/>
  <c r="E307" i="6" s="1"/>
  <c r="D302" i="6"/>
  <c r="C302" i="6"/>
  <c r="C307" i="6" s="1"/>
  <c r="B302" i="6"/>
  <c r="U38" i="5"/>
  <c r="T38" i="5"/>
  <c r="P38" i="5"/>
  <c r="O38" i="5"/>
  <c r="I38" i="5"/>
  <c r="H38" i="5"/>
  <c r="D38" i="5"/>
  <c r="C38" i="5"/>
  <c r="X37" i="5"/>
  <c r="T37" i="5"/>
  <c r="P37" i="5"/>
  <c r="O37" i="5"/>
  <c r="L37" i="5"/>
  <c r="H37" i="5"/>
  <c r="D37" i="5"/>
  <c r="C37" i="5"/>
  <c r="X36" i="5"/>
  <c r="U36" i="5"/>
  <c r="T36" i="5"/>
  <c r="S36" i="5"/>
  <c r="Q36" i="5"/>
  <c r="P36" i="5"/>
  <c r="O36" i="5"/>
  <c r="M36" i="5"/>
  <c r="L36" i="5"/>
  <c r="K36" i="5"/>
  <c r="I36" i="5"/>
  <c r="H36" i="5"/>
  <c r="G36" i="5"/>
  <c r="E36" i="5"/>
  <c r="D36" i="5"/>
  <c r="C36" i="5"/>
  <c r="B36" i="5"/>
  <c r="X35" i="5"/>
  <c r="U35" i="5"/>
  <c r="T35" i="5"/>
  <c r="S35" i="5"/>
  <c r="Q35" i="5"/>
  <c r="P35" i="5"/>
  <c r="O35" i="5"/>
  <c r="M35" i="5"/>
  <c r="L35" i="5"/>
  <c r="K35" i="5"/>
  <c r="I35" i="5"/>
  <c r="H35" i="5"/>
  <c r="G35" i="5"/>
  <c r="E35" i="5"/>
  <c r="D35" i="5"/>
  <c r="C35" i="5"/>
  <c r="B35" i="5"/>
  <c r="X34" i="5"/>
  <c r="U34" i="5"/>
  <c r="T34" i="5"/>
  <c r="S34" i="5"/>
  <c r="Q34" i="5"/>
  <c r="P34" i="5"/>
  <c r="O34" i="5"/>
  <c r="M34" i="5"/>
  <c r="L34" i="5"/>
  <c r="K34" i="5"/>
  <c r="I34" i="5"/>
  <c r="H34" i="5"/>
  <c r="G34" i="5"/>
  <c r="E34" i="5"/>
  <c r="D34" i="5"/>
  <c r="C34" i="5"/>
  <c r="B34" i="5"/>
  <c r="X33" i="5"/>
  <c r="U33" i="5"/>
  <c r="T33" i="5"/>
  <c r="S33" i="5"/>
  <c r="Q33" i="5"/>
  <c r="P33" i="5"/>
  <c r="O33" i="5"/>
  <c r="M33" i="5"/>
  <c r="L33" i="5"/>
  <c r="K33" i="5"/>
  <c r="I33" i="5"/>
  <c r="H33" i="5"/>
  <c r="G33" i="5"/>
  <c r="E33" i="5"/>
  <c r="D33" i="5"/>
  <c r="C33" i="5"/>
  <c r="B33" i="5"/>
  <c r="X32" i="5"/>
  <c r="U32" i="5"/>
  <c r="T32" i="5"/>
  <c r="S32" i="5"/>
  <c r="Q32" i="5"/>
  <c r="P32" i="5"/>
  <c r="O32" i="5"/>
  <c r="M32" i="5"/>
  <c r="L32" i="5"/>
  <c r="K32" i="5"/>
  <c r="I32" i="5"/>
  <c r="H32" i="5"/>
  <c r="G32" i="5"/>
  <c r="E32" i="5"/>
  <c r="D32" i="5"/>
  <c r="C32" i="5"/>
  <c r="B32" i="5"/>
  <c r="X31" i="5"/>
  <c r="U31" i="5"/>
  <c r="T31" i="5"/>
  <c r="S31" i="5"/>
  <c r="Q31" i="5"/>
  <c r="P31" i="5"/>
  <c r="O31" i="5"/>
  <c r="M31" i="5"/>
  <c r="L31" i="5"/>
  <c r="K31" i="5"/>
  <c r="I31" i="5"/>
  <c r="H31" i="5"/>
  <c r="G31" i="5"/>
  <c r="E31" i="5"/>
  <c r="D31" i="5"/>
  <c r="C31" i="5"/>
  <c r="B31" i="5"/>
  <c r="X30" i="5"/>
  <c r="X38" i="5" s="1"/>
  <c r="U30" i="5"/>
  <c r="U37" i="5" s="1"/>
  <c r="T30" i="5"/>
  <c r="T39" i="5" s="1"/>
  <c r="S30" i="5"/>
  <c r="S37" i="5" s="1"/>
  <c r="Q30" i="5"/>
  <c r="Q39" i="5" s="1"/>
  <c r="P30" i="5"/>
  <c r="P39" i="5" s="1"/>
  <c r="O30" i="5"/>
  <c r="O39" i="5" s="1"/>
  <c r="M30" i="5"/>
  <c r="M37" i="5" s="1"/>
  <c r="L30" i="5"/>
  <c r="L38" i="5" s="1"/>
  <c r="K30" i="5"/>
  <c r="K37" i="5" s="1"/>
  <c r="I30" i="5"/>
  <c r="I37" i="5" s="1"/>
  <c r="H30" i="5"/>
  <c r="H39" i="5" s="1"/>
  <c r="G30" i="5"/>
  <c r="G37" i="5" s="1"/>
  <c r="E30" i="5"/>
  <c r="E39" i="5" s="1"/>
  <c r="D30" i="5"/>
  <c r="D39" i="5" s="1"/>
  <c r="C30" i="5"/>
  <c r="C39" i="5" s="1"/>
  <c r="B30" i="5"/>
  <c r="C23" i="5"/>
  <c r="B23" i="5"/>
  <c r="H11" i="5"/>
  <c r="H10" i="5"/>
  <c r="E10" i="5"/>
  <c r="D10" i="5"/>
  <c r="C10" i="5"/>
  <c r="B10" i="5"/>
  <c r="H9" i="5"/>
  <c r="D9" i="5"/>
  <c r="C9" i="5"/>
  <c r="B9" i="5"/>
  <c r="H8" i="5"/>
  <c r="E8" i="5"/>
  <c r="D8" i="5"/>
  <c r="C8" i="5"/>
  <c r="B8" i="5"/>
  <c r="B11" i="5" s="1"/>
  <c r="H7" i="5"/>
  <c r="E7" i="5"/>
  <c r="D7" i="5"/>
  <c r="C7" i="5"/>
  <c r="B7" i="5"/>
  <c r="H6" i="5"/>
  <c r="D6" i="5"/>
  <c r="C6" i="5"/>
  <c r="C11" i="5" s="1"/>
  <c r="B6" i="5"/>
  <c r="AY499" i="4"/>
  <c r="AX499" i="4"/>
  <c r="AW499" i="4"/>
  <c r="AV499" i="4"/>
  <c r="AU499" i="4"/>
  <c r="AT499" i="4"/>
  <c r="AS499" i="4"/>
  <c r="AR499" i="4"/>
  <c r="AQ499" i="4"/>
  <c r="AP499" i="4"/>
  <c r="AO499" i="4"/>
  <c r="AN499" i="4"/>
  <c r="AM499" i="4"/>
  <c r="AL499" i="4"/>
  <c r="AK499" i="4"/>
  <c r="AJ499" i="4"/>
  <c r="AI499" i="4"/>
  <c r="AH499" i="4"/>
  <c r="AG499" i="4"/>
  <c r="AF499" i="4"/>
  <c r="AE499" i="4"/>
  <c r="AD499" i="4"/>
  <c r="AC499" i="4"/>
  <c r="AB499" i="4"/>
  <c r="AA499" i="4"/>
  <c r="Z499" i="4"/>
  <c r="Y499" i="4"/>
  <c r="X499" i="4"/>
  <c r="W499" i="4"/>
  <c r="V499" i="4"/>
  <c r="U499" i="4"/>
  <c r="T499" i="4"/>
  <c r="S499" i="4"/>
  <c r="R499" i="4"/>
  <c r="Q499" i="4"/>
  <c r="P499" i="4"/>
  <c r="O499" i="4"/>
  <c r="N499" i="4"/>
  <c r="M499" i="4"/>
  <c r="L499" i="4"/>
  <c r="K499" i="4"/>
  <c r="J499" i="4"/>
  <c r="I499" i="4"/>
  <c r="H499" i="4"/>
  <c r="G499" i="4"/>
  <c r="F499" i="4"/>
  <c r="E499" i="4"/>
  <c r="D499" i="4"/>
  <c r="C499" i="4"/>
  <c r="B499" i="4"/>
  <c r="AY498" i="4"/>
  <c r="AX498" i="4"/>
  <c r="AW498" i="4"/>
  <c r="AV498" i="4"/>
  <c r="AU498" i="4"/>
  <c r="AT498" i="4"/>
  <c r="AS498" i="4"/>
  <c r="AR498" i="4"/>
  <c r="AQ498" i="4"/>
  <c r="AP498" i="4"/>
  <c r="AO498" i="4"/>
  <c r="AN498" i="4"/>
  <c r="AM498" i="4"/>
  <c r="AL498" i="4"/>
  <c r="AK498" i="4"/>
  <c r="AJ498" i="4"/>
  <c r="AI498" i="4"/>
  <c r="AH498" i="4"/>
  <c r="AG498" i="4"/>
  <c r="AF498" i="4"/>
  <c r="AE498" i="4"/>
  <c r="AD498" i="4"/>
  <c r="AC498" i="4"/>
  <c r="AB498" i="4"/>
  <c r="AA498" i="4"/>
  <c r="Z498" i="4"/>
  <c r="Y498" i="4"/>
  <c r="X498" i="4"/>
  <c r="W498" i="4"/>
  <c r="V498" i="4"/>
  <c r="U498" i="4"/>
  <c r="T498" i="4"/>
  <c r="S498" i="4"/>
  <c r="R498" i="4"/>
  <c r="Q498" i="4"/>
  <c r="P498" i="4"/>
  <c r="O498" i="4"/>
  <c r="N498" i="4"/>
  <c r="M498" i="4"/>
  <c r="L498" i="4"/>
  <c r="K498" i="4"/>
  <c r="J498" i="4"/>
  <c r="I498" i="4"/>
  <c r="H498" i="4"/>
  <c r="G498" i="4"/>
  <c r="F498" i="4"/>
  <c r="E498" i="4"/>
  <c r="D498" i="4"/>
  <c r="C498" i="4"/>
  <c r="B498" i="4"/>
  <c r="AY497" i="4"/>
  <c r="AX497" i="4"/>
  <c r="AW497" i="4"/>
  <c r="AV497" i="4"/>
  <c r="AU497" i="4"/>
  <c r="AT497" i="4"/>
  <c r="AS497" i="4"/>
  <c r="AR497" i="4"/>
  <c r="AQ497" i="4"/>
  <c r="AP497" i="4"/>
  <c r="AO497" i="4"/>
  <c r="AN497" i="4"/>
  <c r="AM497" i="4"/>
  <c r="AL497" i="4"/>
  <c r="AK497" i="4"/>
  <c r="AJ497" i="4"/>
  <c r="AI497" i="4"/>
  <c r="AH497" i="4"/>
  <c r="AG497" i="4"/>
  <c r="AF497" i="4"/>
  <c r="AE497" i="4"/>
  <c r="AD497" i="4"/>
  <c r="AC497" i="4"/>
  <c r="AB497" i="4"/>
  <c r="AA497" i="4"/>
  <c r="Z497" i="4"/>
  <c r="Y497" i="4"/>
  <c r="X497" i="4"/>
  <c r="W497" i="4"/>
  <c r="V497" i="4"/>
  <c r="U497" i="4"/>
  <c r="T497" i="4"/>
  <c r="S497" i="4"/>
  <c r="R497" i="4"/>
  <c r="Q497" i="4"/>
  <c r="P497" i="4"/>
  <c r="O497" i="4"/>
  <c r="N497" i="4"/>
  <c r="M497" i="4"/>
  <c r="L497" i="4"/>
  <c r="K497" i="4"/>
  <c r="J497" i="4"/>
  <c r="I497" i="4"/>
  <c r="H497" i="4"/>
  <c r="G497" i="4"/>
  <c r="F497" i="4"/>
  <c r="E497" i="4"/>
  <c r="D497" i="4"/>
  <c r="C497" i="4"/>
  <c r="B497" i="4"/>
  <c r="AY496" i="4"/>
  <c r="AX496" i="4"/>
  <c r="AW496" i="4"/>
  <c r="AV496" i="4"/>
  <c r="AU496" i="4"/>
  <c r="AT496" i="4"/>
  <c r="AS496" i="4"/>
  <c r="AR496" i="4"/>
  <c r="AQ496" i="4"/>
  <c r="AP496" i="4"/>
  <c r="AO496" i="4"/>
  <c r="AN496" i="4"/>
  <c r="AM496" i="4"/>
  <c r="AL496" i="4"/>
  <c r="AK496" i="4"/>
  <c r="AJ496" i="4"/>
  <c r="AI496" i="4"/>
  <c r="AH496" i="4"/>
  <c r="AG496" i="4"/>
  <c r="AF496" i="4"/>
  <c r="AE496" i="4"/>
  <c r="AD496" i="4"/>
  <c r="AC496" i="4"/>
  <c r="AB496" i="4"/>
  <c r="AA496" i="4"/>
  <c r="Z496" i="4"/>
  <c r="Y496" i="4"/>
  <c r="X496" i="4"/>
  <c r="W496" i="4"/>
  <c r="V496" i="4"/>
  <c r="U496" i="4"/>
  <c r="T496" i="4"/>
  <c r="S496" i="4"/>
  <c r="R496" i="4"/>
  <c r="Q496" i="4"/>
  <c r="P496" i="4"/>
  <c r="O496" i="4"/>
  <c r="N496" i="4"/>
  <c r="M496" i="4"/>
  <c r="L496" i="4"/>
  <c r="K496" i="4"/>
  <c r="J496" i="4"/>
  <c r="I496" i="4"/>
  <c r="H496" i="4"/>
  <c r="G496" i="4"/>
  <c r="F496" i="4"/>
  <c r="E496" i="4"/>
  <c r="D496" i="4"/>
  <c r="C496" i="4"/>
  <c r="B496" i="4"/>
  <c r="AY495" i="4"/>
  <c r="AX495" i="4"/>
  <c r="AX500" i="4" s="1"/>
  <c r="AW495" i="4"/>
  <c r="AV495" i="4"/>
  <c r="AU495" i="4"/>
  <c r="AT495" i="4"/>
  <c r="AS495" i="4"/>
  <c r="AR495" i="4"/>
  <c r="AR500" i="4" s="1"/>
  <c r="AQ495" i="4"/>
  <c r="AP495" i="4"/>
  <c r="AO495" i="4"/>
  <c r="AN495" i="4"/>
  <c r="AM495" i="4"/>
  <c r="AL495" i="4"/>
  <c r="AL500" i="4" s="1"/>
  <c r="AK495" i="4"/>
  <c r="AJ495" i="4"/>
  <c r="AI495" i="4"/>
  <c r="AH495" i="4"/>
  <c r="AG495" i="4"/>
  <c r="AF495" i="4"/>
  <c r="AF500" i="4" s="1"/>
  <c r="AE495" i="4"/>
  <c r="AD495" i="4"/>
  <c r="AC495" i="4"/>
  <c r="AB495" i="4"/>
  <c r="AA495" i="4"/>
  <c r="Z495" i="4"/>
  <c r="Z500" i="4" s="1"/>
  <c r="Y495" i="4"/>
  <c r="X495" i="4"/>
  <c r="W495" i="4"/>
  <c r="V495" i="4"/>
  <c r="U495" i="4"/>
  <c r="T495" i="4"/>
  <c r="T500" i="4" s="1"/>
  <c r="S495" i="4"/>
  <c r="R495" i="4"/>
  <c r="Q495" i="4"/>
  <c r="P495" i="4"/>
  <c r="O495" i="4"/>
  <c r="N495" i="4"/>
  <c r="N500" i="4" s="1"/>
  <c r="M495" i="4"/>
  <c r="L495" i="4"/>
  <c r="K495" i="4"/>
  <c r="J495" i="4"/>
  <c r="I495" i="4"/>
  <c r="H495" i="4"/>
  <c r="H500" i="4" s="1"/>
  <c r="G495" i="4"/>
  <c r="F495" i="4"/>
  <c r="E495" i="4"/>
  <c r="D495" i="4"/>
  <c r="C495" i="4"/>
  <c r="B495" i="4"/>
  <c r="AY494" i="4"/>
  <c r="AX494" i="4"/>
  <c r="AW494" i="4"/>
  <c r="AV494" i="4"/>
  <c r="AU494" i="4"/>
  <c r="AT494" i="4"/>
  <c r="AT500" i="4" s="1"/>
  <c r="AS494" i="4"/>
  <c r="AR494" i="4"/>
  <c r="AQ494" i="4"/>
  <c r="AP494" i="4"/>
  <c r="AO494" i="4"/>
  <c r="AN494" i="4"/>
  <c r="AN500" i="4" s="1"/>
  <c r="AM494" i="4"/>
  <c r="AL494" i="4"/>
  <c r="AK494" i="4"/>
  <c r="AJ494" i="4"/>
  <c r="AI494" i="4"/>
  <c r="AH494" i="4"/>
  <c r="AH500" i="4" s="1"/>
  <c r="AG494" i="4"/>
  <c r="AF494" i="4"/>
  <c r="AE494" i="4"/>
  <c r="AD494" i="4"/>
  <c r="AC494" i="4"/>
  <c r="AB494" i="4"/>
  <c r="AB500" i="4" s="1"/>
  <c r="AA494" i="4"/>
  <c r="Z494" i="4"/>
  <c r="Y494" i="4"/>
  <c r="X494" i="4"/>
  <c r="W494" i="4"/>
  <c r="V494" i="4"/>
  <c r="V500" i="4" s="1"/>
  <c r="U494" i="4"/>
  <c r="T494" i="4"/>
  <c r="S494" i="4"/>
  <c r="R494" i="4"/>
  <c r="Q494" i="4"/>
  <c r="P494" i="4"/>
  <c r="P500" i="4" s="1"/>
  <c r="O494" i="4"/>
  <c r="N494" i="4"/>
  <c r="M494" i="4"/>
  <c r="L494" i="4"/>
  <c r="K494" i="4"/>
  <c r="J494" i="4"/>
  <c r="J500" i="4" s="1"/>
  <c r="I494" i="4"/>
  <c r="H494" i="4"/>
  <c r="G494" i="4"/>
  <c r="F494" i="4"/>
  <c r="E494" i="4"/>
  <c r="D494" i="4"/>
  <c r="D500" i="4" s="1"/>
  <c r="C494" i="4"/>
  <c r="B494" i="4"/>
  <c r="AY493" i="4"/>
  <c r="AY500" i="4" s="1"/>
  <c r="AX493" i="4"/>
  <c r="AW493" i="4"/>
  <c r="AW500" i="4" s="1"/>
  <c r="AV493" i="4"/>
  <c r="AV500" i="4" s="1"/>
  <c r="AU493" i="4"/>
  <c r="AU500" i="4" s="1"/>
  <c r="AT493" i="4"/>
  <c r="AS493" i="4"/>
  <c r="AS500" i="4" s="1"/>
  <c r="AR493" i="4"/>
  <c r="AQ493" i="4"/>
  <c r="AQ500" i="4" s="1"/>
  <c r="AP493" i="4"/>
  <c r="AP500" i="4" s="1"/>
  <c r="AO493" i="4"/>
  <c r="AO500" i="4" s="1"/>
  <c r="AN493" i="4"/>
  <c r="AM493" i="4"/>
  <c r="AM500" i="4" s="1"/>
  <c r="AL493" i="4"/>
  <c r="AK493" i="4"/>
  <c r="AK500" i="4" s="1"/>
  <c r="AJ493" i="4"/>
  <c r="AJ500" i="4" s="1"/>
  <c r="AI493" i="4"/>
  <c r="AI500" i="4" s="1"/>
  <c r="AH493" i="4"/>
  <c r="AG493" i="4"/>
  <c r="AG500" i="4" s="1"/>
  <c r="AF493" i="4"/>
  <c r="AE493" i="4"/>
  <c r="AE500" i="4" s="1"/>
  <c r="AD493" i="4"/>
  <c r="AD500" i="4" s="1"/>
  <c r="AC493" i="4"/>
  <c r="AC500" i="4" s="1"/>
  <c r="AB493" i="4"/>
  <c r="AA493" i="4"/>
  <c r="AA500" i="4" s="1"/>
  <c r="Z493" i="4"/>
  <c r="Y493" i="4"/>
  <c r="Y500" i="4" s="1"/>
  <c r="X493" i="4"/>
  <c r="X500" i="4" s="1"/>
  <c r="W493" i="4"/>
  <c r="W500" i="4" s="1"/>
  <c r="V493" i="4"/>
  <c r="U493" i="4"/>
  <c r="U500" i="4" s="1"/>
  <c r="T493" i="4"/>
  <c r="S493" i="4"/>
  <c r="S500" i="4" s="1"/>
  <c r="R493" i="4"/>
  <c r="R500" i="4" s="1"/>
  <c r="Q493" i="4"/>
  <c r="Q500" i="4" s="1"/>
  <c r="P493" i="4"/>
  <c r="O493" i="4"/>
  <c r="O500" i="4" s="1"/>
  <c r="N493" i="4"/>
  <c r="M493" i="4"/>
  <c r="M500" i="4" s="1"/>
  <c r="L493" i="4"/>
  <c r="L500" i="4" s="1"/>
  <c r="K493" i="4"/>
  <c r="K500" i="4" s="1"/>
  <c r="J493" i="4"/>
  <c r="I493" i="4"/>
  <c r="I500" i="4" s="1"/>
  <c r="H493" i="4"/>
  <c r="G493" i="4"/>
  <c r="F493" i="4"/>
  <c r="F500" i="4" s="1"/>
  <c r="E493" i="4"/>
  <c r="E500" i="4" s="1"/>
  <c r="D493" i="4"/>
  <c r="C493" i="4"/>
  <c r="B493" i="4"/>
  <c r="S486" i="4"/>
  <c r="R486" i="4"/>
  <c r="S485" i="4"/>
  <c r="S484" i="4"/>
  <c r="S483" i="4"/>
  <c r="R483" i="4" s="1"/>
  <c r="S482" i="4"/>
  <c r="S481" i="4"/>
  <c r="S480" i="4"/>
  <c r="S479" i="4"/>
  <c r="R479" i="4"/>
  <c r="S478" i="4"/>
  <c r="R478" i="4"/>
  <c r="S477" i="4"/>
  <c r="S476" i="4"/>
  <c r="R476" i="4"/>
  <c r="T475" i="4"/>
  <c r="S475" i="4"/>
  <c r="R475" i="4"/>
  <c r="S474" i="4"/>
  <c r="R474" i="4"/>
  <c r="S473" i="4"/>
  <c r="S472" i="4"/>
  <c r="R472" i="4"/>
  <c r="S471" i="4"/>
  <c r="R471" i="4"/>
  <c r="S470" i="4"/>
  <c r="R470" i="4"/>
  <c r="S469" i="4"/>
  <c r="S468" i="4"/>
  <c r="R468" i="4" s="1"/>
  <c r="S467" i="4"/>
  <c r="R467" i="4"/>
  <c r="S466" i="4"/>
  <c r="R466" i="4"/>
  <c r="S465" i="4"/>
  <c r="S464" i="4"/>
  <c r="R464" i="4"/>
  <c r="S463" i="4"/>
  <c r="R463" i="4"/>
  <c r="S462" i="4"/>
  <c r="R462" i="4"/>
  <c r="S461" i="4"/>
  <c r="S460" i="4"/>
  <c r="R460" i="4"/>
  <c r="S459" i="4"/>
  <c r="R459" i="4"/>
  <c r="S458" i="4"/>
  <c r="R458" i="4"/>
  <c r="S457" i="4"/>
  <c r="S456" i="4"/>
  <c r="R456" i="4" s="1"/>
  <c r="S455" i="4"/>
  <c r="R455" i="4"/>
  <c r="S454" i="4"/>
  <c r="R454" i="4"/>
  <c r="S453" i="4"/>
  <c r="S452" i="4"/>
  <c r="R452" i="4"/>
  <c r="S451" i="4"/>
  <c r="R451" i="4"/>
  <c r="S450" i="4"/>
  <c r="R450" i="4"/>
  <c r="S449" i="4"/>
  <c r="R449" i="4"/>
  <c r="S448" i="4"/>
  <c r="R448" i="4"/>
  <c r="S447" i="4"/>
  <c r="R447" i="4"/>
  <c r="S446" i="4"/>
  <c r="R446" i="4"/>
  <c r="S445" i="4"/>
  <c r="S444" i="4"/>
  <c r="R444" i="4" s="1"/>
  <c r="S443" i="4"/>
  <c r="R443" i="4"/>
  <c r="T442" i="4"/>
  <c r="S442" i="4"/>
  <c r="R442" i="4"/>
  <c r="S441" i="4"/>
  <c r="S440" i="4"/>
  <c r="R440" i="4"/>
  <c r="S439" i="4"/>
  <c r="R439" i="4"/>
  <c r="S438" i="4"/>
  <c r="R438" i="4"/>
  <c r="S437" i="4"/>
  <c r="S436" i="4"/>
  <c r="R436" i="4"/>
  <c r="S435" i="4"/>
  <c r="R435" i="4"/>
  <c r="S434" i="4"/>
  <c r="R434" i="4"/>
  <c r="S433" i="4"/>
  <c r="S432" i="4"/>
  <c r="R432" i="4" s="1"/>
  <c r="S431" i="4"/>
  <c r="S430" i="4"/>
  <c r="R430" i="4"/>
  <c r="S429" i="4"/>
  <c r="S428" i="4"/>
  <c r="R428" i="4"/>
  <c r="S427" i="4"/>
  <c r="R427" i="4"/>
  <c r="S426" i="4"/>
  <c r="R426" i="4"/>
  <c r="S425" i="4"/>
  <c r="R425" i="4"/>
  <c r="S424" i="4"/>
  <c r="R424" i="4"/>
  <c r="S423" i="4"/>
  <c r="R423" i="4"/>
  <c r="S422" i="4"/>
  <c r="S421" i="4"/>
  <c r="R421" i="4" s="1"/>
  <c r="S420" i="4"/>
  <c r="S419" i="4"/>
  <c r="R419" i="4"/>
  <c r="U418" i="4"/>
  <c r="T418" i="4"/>
  <c r="S418" i="4"/>
  <c r="R418" i="4"/>
  <c r="S417" i="4"/>
  <c r="T416" i="4"/>
  <c r="F36" i="5" s="1"/>
  <c r="S416" i="4"/>
  <c r="R416" i="4"/>
  <c r="S415" i="4"/>
  <c r="R415" i="4"/>
  <c r="T415" i="4" s="1"/>
  <c r="V35" i="5" s="1"/>
  <c r="S414" i="4"/>
  <c r="R414" i="4" s="1"/>
  <c r="S413" i="4"/>
  <c r="R413" i="4"/>
  <c r="S412" i="4"/>
  <c r="R412" i="4"/>
  <c r="S411" i="4"/>
  <c r="S410" i="4"/>
  <c r="S409" i="4"/>
  <c r="R409" i="4"/>
  <c r="S408" i="4"/>
  <c r="S407" i="4"/>
  <c r="S406" i="4"/>
  <c r="S405" i="4"/>
  <c r="S404" i="4"/>
  <c r="R404" i="4"/>
  <c r="S403" i="4"/>
  <c r="R403" i="4"/>
  <c r="S402" i="4"/>
  <c r="S401" i="4"/>
  <c r="S400" i="4"/>
  <c r="R400" i="4"/>
  <c r="S399" i="4"/>
  <c r="R399" i="4" s="1"/>
  <c r="S398" i="4"/>
  <c r="R398" i="4"/>
  <c r="S397" i="4"/>
  <c r="S396" i="4"/>
  <c r="R396" i="4" s="1"/>
  <c r="S395" i="4"/>
  <c r="R395" i="4"/>
  <c r="S394" i="4"/>
  <c r="R394" i="4" s="1"/>
  <c r="S393" i="4"/>
  <c r="S392" i="4"/>
  <c r="R392" i="4"/>
  <c r="S391" i="4"/>
  <c r="R391" i="4"/>
  <c r="S390" i="4"/>
  <c r="R390" i="4"/>
  <c r="S389" i="4"/>
  <c r="R389" i="4"/>
  <c r="S388" i="4"/>
  <c r="R388" i="4"/>
  <c r="S387" i="4"/>
  <c r="R387" i="4"/>
  <c r="S386" i="4"/>
  <c r="R386" i="4"/>
  <c r="S385" i="4"/>
  <c r="S384" i="4"/>
  <c r="S383" i="4"/>
  <c r="S382" i="4"/>
  <c r="R382" i="4"/>
  <c r="S381" i="4"/>
  <c r="S380" i="4"/>
  <c r="S379" i="4"/>
  <c r="R379" i="4"/>
  <c r="S378" i="4"/>
  <c r="R378" i="4"/>
  <c r="S377" i="4"/>
  <c r="S376" i="4"/>
  <c r="R376" i="4"/>
  <c r="S375" i="4"/>
  <c r="R375" i="4" s="1"/>
  <c r="S374" i="4"/>
  <c r="S373" i="4"/>
  <c r="R373" i="4"/>
  <c r="S372" i="4"/>
  <c r="R372" i="4" s="1"/>
  <c r="S371" i="4"/>
  <c r="S370" i="4"/>
  <c r="R370" i="4"/>
  <c r="S369" i="4"/>
  <c r="S368" i="4"/>
  <c r="R368" i="4"/>
  <c r="S367" i="4"/>
  <c r="R367" i="4"/>
  <c r="S366" i="4"/>
  <c r="R366" i="4"/>
  <c r="S365" i="4"/>
  <c r="S364" i="4"/>
  <c r="R364" i="4"/>
  <c r="S363" i="4"/>
  <c r="R363" i="4" s="1"/>
  <c r="S362" i="4"/>
  <c r="R362" i="4"/>
  <c r="S361" i="4"/>
  <c r="R361" i="4"/>
  <c r="S360" i="4"/>
  <c r="R360" i="4" s="1"/>
  <c r="S359" i="4"/>
  <c r="R359" i="4"/>
  <c r="S358" i="4"/>
  <c r="R358" i="4"/>
  <c r="S357" i="4"/>
  <c r="S356" i="4"/>
  <c r="R356" i="4"/>
  <c r="S355" i="4"/>
  <c r="R355" i="4"/>
  <c r="S354" i="4"/>
  <c r="R354" i="4"/>
  <c r="T353" i="4"/>
  <c r="S353" i="4"/>
  <c r="R353" i="4"/>
  <c r="T352" i="4"/>
  <c r="S352" i="4"/>
  <c r="R352" i="4"/>
  <c r="T351" i="4"/>
  <c r="S351" i="4"/>
  <c r="R351" i="4"/>
  <c r="S350" i="4"/>
  <c r="U349" i="4"/>
  <c r="T349" i="4"/>
  <c r="S349" i="4"/>
  <c r="R349" i="4"/>
  <c r="S348" i="4"/>
  <c r="T347" i="4"/>
  <c r="V34" i="5" s="1"/>
  <c r="S347" i="4"/>
  <c r="R347" i="4"/>
  <c r="S346" i="4"/>
  <c r="S345" i="4"/>
  <c r="S344" i="4"/>
  <c r="S343" i="4"/>
  <c r="R343" i="4"/>
  <c r="S342" i="4"/>
  <c r="S341" i="4"/>
  <c r="S340" i="4"/>
  <c r="R340" i="4"/>
  <c r="S339" i="4"/>
  <c r="S338" i="4"/>
  <c r="R338" i="4"/>
  <c r="S337" i="4"/>
  <c r="R337" i="4"/>
  <c r="S336" i="4"/>
  <c r="R336" i="4" s="1"/>
  <c r="T335" i="4"/>
  <c r="S335" i="4"/>
  <c r="R335" i="4"/>
  <c r="T333" i="4" s="1"/>
  <c r="T334" i="4"/>
  <c r="S334" i="4"/>
  <c r="R334" i="4"/>
  <c r="S333" i="4"/>
  <c r="R333" i="4"/>
  <c r="S332" i="4"/>
  <c r="S331" i="4"/>
  <c r="R331" i="4"/>
  <c r="S330" i="4"/>
  <c r="R330" i="4"/>
  <c r="S329" i="4"/>
  <c r="S328" i="4"/>
  <c r="R328" i="4"/>
  <c r="S327" i="4"/>
  <c r="R327" i="4"/>
  <c r="S326" i="4"/>
  <c r="S325" i="4"/>
  <c r="R325" i="4"/>
  <c r="S324" i="4"/>
  <c r="R324" i="4"/>
  <c r="S323" i="4"/>
  <c r="R323" i="4" s="1"/>
  <c r="S322" i="4"/>
  <c r="S321" i="4"/>
  <c r="R321" i="4"/>
  <c r="S320" i="4"/>
  <c r="R320" i="4"/>
  <c r="S319" i="4"/>
  <c r="R319" i="4"/>
  <c r="S318" i="4"/>
  <c r="R318" i="4" s="1"/>
  <c r="S317" i="4"/>
  <c r="R317" i="4" s="1"/>
  <c r="S316" i="4"/>
  <c r="R316" i="4"/>
  <c r="S315" i="4"/>
  <c r="R315" i="4" s="1"/>
  <c r="S314" i="4"/>
  <c r="S313" i="4"/>
  <c r="R313" i="4"/>
  <c r="S312" i="4"/>
  <c r="R312" i="4"/>
  <c r="S311" i="4"/>
  <c r="R311" i="4"/>
  <c r="S310" i="4"/>
  <c r="S309" i="4"/>
  <c r="R309" i="4"/>
  <c r="S308" i="4"/>
  <c r="R308" i="4"/>
  <c r="S307" i="4"/>
  <c r="R307" i="4"/>
  <c r="S306" i="4"/>
  <c r="R306" i="4"/>
  <c r="S305" i="4"/>
  <c r="S304" i="4"/>
  <c r="R304" i="4"/>
  <c r="S303" i="4"/>
  <c r="R303" i="4"/>
  <c r="S302" i="4"/>
  <c r="S301" i="4"/>
  <c r="R301" i="4" s="1"/>
  <c r="S300" i="4"/>
  <c r="R300" i="4"/>
  <c r="S299" i="4"/>
  <c r="R299" i="4"/>
  <c r="S298" i="4"/>
  <c r="S297" i="4"/>
  <c r="R297" i="4"/>
  <c r="S296" i="4"/>
  <c r="R296" i="4" s="1"/>
  <c r="S295" i="4"/>
  <c r="R295" i="4"/>
  <c r="S294" i="4"/>
  <c r="R294" i="4"/>
  <c r="S293" i="4"/>
  <c r="S292" i="4"/>
  <c r="R292" i="4"/>
  <c r="S291" i="4"/>
  <c r="R291" i="4"/>
  <c r="S290" i="4"/>
  <c r="U289" i="4"/>
  <c r="S289" i="4"/>
  <c r="T289" i="4" s="1"/>
  <c r="R289" i="4"/>
  <c r="T288" i="4"/>
  <c r="F34" i="5" s="1"/>
  <c r="S288" i="4"/>
  <c r="R288" i="4"/>
  <c r="S287" i="4"/>
  <c r="R287" i="4"/>
  <c r="T287" i="4" s="1"/>
  <c r="V33" i="5" s="1"/>
  <c r="S286" i="4"/>
  <c r="S285" i="4"/>
  <c r="R285" i="4"/>
  <c r="S284" i="4"/>
  <c r="R284" i="4"/>
  <c r="S283" i="4"/>
  <c r="R283" i="4"/>
  <c r="S282" i="4"/>
  <c r="R282" i="4"/>
  <c r="S281" i="4"/>
  <c r="R281" i="4" s="1"/>
  <c r="S280" i="4"/>
  <c r="R280" i="4"/>
  <c r="S279" i="4"/>
  <c r="R279" i="4"/>
  <c r="S278" i="4"/>
  <c r="S277" i="4"/>
  <c r="R277" i="4"/>
  <c r="S276" i="4"/>
  <c r="R276" i="4"/>
  <c r="S275" i="4"/>
  <c r="R275" i="4" s="1"/>
  <c r="S274" i="4"/>
  <c r="R274" i="4" s="1"/>
  <c r="S273" i="4"/>
  <c r="R273" i="4"/>
  <c r="S272" i="4"/>
  <c r="R272" i="4"/>
  <c r="S271" i="4"/>
  <c r="R271" i="4" s="1"/>
  <c r="S270" i="4"/>
  <c r="R270" i="4"/>
  <c r="S269" i="4"/>
  <c r="S268" i="4"/>
  <c r="S267" i="4"/>
  <c r="R267" i="4"/>
  <c r="S266" i="4"/>
  <c r="S265" i="4"/>
  <c r="R265" i="4"/>
  <c r="S264" i="4"/>
  <c r="S263" i="4"/>
  <c r="R263" i="4"/>
  <c r="S262" i="4"/>
  <c r="R262" i="4"/>
  <c r="S261" i="4"/>
  <c r="R261" i="4"/>
  <c r="S260" i="4"/>
  <c r="R260" i="4"/>
  <c r="S259" i="4"/>
  <c r="S258" i="4"/>
  <c r="S257" i="4"/>
  <c r="R257" i="4"/>
  <c r="S256" i="4"/>
  <c r="R256" i="4"/>
  <c r="S255" i="4"/>
  <c r="R255" i="4" s="1"/>
  <c r="S254" i="4"/>
  <c r="S253" i="4"/>
  <c r="S252" i="4"/>
  <c r="S251" i="4"/>
  <c r="S250" i="4"/>
  <c r="R250" i="4" s="1"/>
  <c r="S249" i="4"/>
  <c r="R249" i="4"/>
  <c r="S248" i="4"/>
  <c r="S247" i="4"/>
  <c r="S246" i="4"/>
  <c r="S245" i="4"/>
  <c r="R245" i="4"/>
  <c r="S244" i="4"/>
  <c r="R244" i="4"/>
  <c r="S243" i="4"/>
  <c r="R243" i="4"/>
  <c r="S242" i="4"/>
  <c r="R242" i="4" s="1"/>
  <c r="S241" i="4"/>
  <c r="R241" i="4"/>
  <c r="S240" i="4"/>
  <c r="R240" i="4"/>
  <c r="S239" i="4"/>
  <c r="S238" i="4"/>
  <c r="R238" i="4"/>
  <c r="S237" i="4"/>
  <c r="R237" i="4"/>
  <c r="S236" i="4"/>
  <c r="R236" i="4"/>
  <c r="S235" i="4"/>
  <c r="R235" i="4"/>
  <c r="T235" i="4" s="1"/>
  <c r="V32" i="5" s="1"/>
  <c r="S234" i="4"/>
  <c r="S233" i="4"/>
  <c r="R233" i="4"/>
  <c r="S232" i="4"/>
  <c r="S231" i="4"/>
  <c r="R231" i="4"/>
  <c r="S230" i="4"/>
  <c r="S229" i="4"/>
  <c r="S228" i="4"/>
  <c r="S227" i="4"/>
  <c r="R227" i="4" s="1"/>
  <c r="S226" i="4"/>
  <c r="R226" i="4"/>
  <c r="S225" i="4"/>
  <c r="R225" i="4"/>
  <c r="S224" i="4"/>
  <c r="R224" i="4"/>
  <c r="S223" i="4"/>
  <c r="S222" i="4"/>
  <c r="R222" i="4"/>
  <c r="S221" i="4"/>
  <c r="R221" i="4"/>
  <c r="S220" i="4"/>
  <c r="R220" i="4"/>
  <c r="S219" i="4"/>
  <c r="R219" i="4"/>
  <c r="S218" i="4"/>
  <c r="S217" i="4"/>
  <c r="R217" i="4"/>
  <c r="S216" i="4"/>
  <c r="S215" i="4"/>
  <c r="S214" i="4"/>
  <c r="S213" i="4"/>
  <c r="R213" i="4"/>
  <c r="S212" i="4"/>
  <c r="R212" i="4"/>
  <c r="S211" i="4"/>
  <c r="R211" i="4" s="1"/>
  <c r="S210" i="4"/>
  <c r="S209" i="4"/>
  <c r="R209" i="4"/>
  <c r="S208" i="4"/>
  <c r="R208" i="4" s="1"/>
  <c r="S207" i="4"/>
  <c r="R207" i="4" s="1"/>
  <c r="S206" i="4"/>
  <c r="S205" i="4"/>
  <c r="R205" i="4"/>
  <c r="S204" i="4"/>
  <c r="S203" i="4"/>
  <c r="S202" i="4"/>
  <c r="R202" i="4"/>
  <c r="S201" i="4"/>
  <c r="R201" i="4"/>
  <c r="S200" i="4"/>
  <c r="R200" i="4"/>
  <c r="S199" i="4"/>
  <c r="R199" i="4" s="1"/>
  <c r="S198" i="4"/>
  <c r="S197" i="4"/>
  <c r="R197" i="4"/>
  <c r="S196" i="4"/>
  <c r="R196" i="4"/>
  <c r="S195" i="4"/>
  <c r="R195" i="4"/>
  <c r="S194" i="4"/>
  <c r="S193" i="4"/>
  <c r="R193" i="4" s="1"/>
  <c r="S192" i="4"/>
  <c r="S191" i="4"/>
  <c r="R191" i="4"/>
  <c r="S190" i="4"/>
  <c r="R190" i="4" s="1"/>
  <c r="S189" i="4"/>
  <c r="R189" i="4"/>
  <c r="S188" i="4"/>
  <c r="S187" i="4"/>
  <c r="S186" i="4"/>
  <c r="R186" i="4"/>
  <c r="S185" i="4"/>
  <c r="R185" i="4" s="1"/>
  <c r="S184" i="4"/>
  <c r="R184" i="4"/>
  <c r="S183" i="4"/>
  <c r="R183" i="4"/>
  <c r="S182" i="4"/>
  <c r="S181" i="4"/>
  <c r="S180" i="4"/>
  <c r="R180" i="4" s="1"/>
  <c r="S179" i="4"/>
  <c r="S178" i="4"/>
  <c r="R178" i="4"/>
  <c r="S177" i="4"/>
  <c r="R177" i="4"/>
  <c r="S176" i="4"/>
  <c r="R176" i="4"/>
  <c r="S175" i="4"/>
  <c r="R175" i="4" s="1"/>
  <c r="S174" i="4"/>
  <c r="S173" i="4"/>
  <c r="R173" i="4" s="1"/>
  <c r="S172" i="4"/>
  <c r="R172" i="4" s="1"/>
  <c r="S171" i="4"/>
  <c r="R171" i="4"/>
  <c r="T170" i="4"/>
  <c r="V31" i="5" s="1"/>
  <c r="S170" i="4"/>
  <c r="R170" i="4" s="1"/>
  <c r="S169" i="4"/>
  <c r="R169" i="4"/>
  <c r="S168" i="4"/>
  <c r="S167" i="4"/>
  <c r="S166" i="4"/>
  <c r="R166" i="4"/>
  <c r="S165" i="4"/>
  <c r="R165" i="4"/>
  <c r="S164" i="4"/>
  <c r="S163" i="4"/>
  <c r="S162" i="4"/>
  <c r="S161" i="4"/>
  <c r="R161" i="4"/>
  <c r="S160" i="4"/>
  <c r="S159" i="4"/>
  <c r="R159" i="4"/>
  <c r="S158" i="4"/>
  <c r="S157" i="4"/>
  <c r="R157" i="4" s="1"/>
  <c r="S156" i="4"/>
  <c r="S155" i="4"/>
  <c r="S154" i="4"/>
  <c r="R154" i="4" s="1"/>
  <c r="S153" i="4"/>
  <c r="R153" i="4"/>
  <c r="S152" i="4"/>
  <c r="R152" i="4"/>
  <c r="S151" i="4"/>
  <c r="S150" i="4"/>
  <c r="R150" i="4"/>
  <c r="S149" i="4"/>
  <c r="R149" i="4" s="1"/>
  <c r="S148" i="4"/>
  <c r="R148" i="4"/>
  <c r="S147" i="4"/>
  <c r="S146" i="4"/>
  <c r="S145" i="4"/>
  <c r="R145" i="4"/>
  <c r="S144" i="4"/>
  <c r="R144" i="4"/>
  <c r="S143" i="4"/>
  <c r="S142" i="4"/>
  <c r="R142" i="4"/>
  <c r="S141" i="4"/>
  <c r="R141" i="4"/>
  <c r="S140" i="4"/>
  <c r="S139" i="4"/>
  <c r="R139" i="4"/>
  <c r="S138" i="4"/>
  <c r="S137" i="4"/>
  <c r="R137" i="4" s="1"/>
  <c r="S136" i="4"/>
  <c r="S135" i="4"/>
  <c r="R135" i="4"/>
  <c r="S134" i="4"/>
  <c r="R134" i="4" s="1"/>
  <c r="S133" i="4"/>
  <c r="R133" i="4" s="1"/>
  <c r="S132" i="4"/>
  <c r="R132" i="4"/>
  <c r="S131" i="4"/>
  <c r="R131" i="4"/>
  <c r="S130" i="4"/>
  <c r="R130" i="4"/>
  <c r="S129" i="4"/>
  <c r="R129" i="4"/>
  <c r="S128" i="4"/>
  <c r="S127" i="4"/>
  <c r="R127" i="4" s="1"/>
  <c r="S126" i="4"/>
  <c r="R126" i="4"/>
  <c r="S125" i="4"/>
  <c r="R125" i="4"/>
  <c r="S124" i="4"/>
  <c r="R124" i="4"/>
  <c r="S123" i="4"/>
  <c r="R123" i="4"/>
  <c r="S122" i="4"/>
  <c r="S121" i="4"/>
  <c r="R121" i="4"/>
  <c r="S120" i="4"/>
  <c r="S119" i="4"/>
  <c r="S118" i="4"/>
  <c r="R118" i="4" s="1"/>
  <c r="S117" i="4"/>
  <c r="R117" i="4"/>
  <c r="S116" i="4"/>
  <c r="R116" i="4"/>
  <c r="S115" i="4"/>
  <c r="S114" i="4"/>
  <c r="R114" i="4" s="1"/>
  <c r="S113" i="4"/>
  <c r="R113" i="4" s="1"/>
  <c r="S112" i="4"/>
  <c r="R112" i="4"/>
  <c r="S111" i="4"/>
  <c r="R111" i="4"/>
  <c r="S110" i="4"/>
  <c r="S109" i="4"/>
  <c r="R109" i="4"/>
  <c r="S108" i="4"/>
  <c r="R108" i="4"/>
  <c r="S107" i="4"/>
  <c r="S106" i="4"/>
  <c r="R106" i="4" s="1"/>
  <c r="S105" i="4"/>
  <c r="R105" i="4"/>
  <c r="S104" i="4"/>
  <c r="R104" i="4"/>
  <c r="S103" i="4"/>
  <c r="R103" i="4"/>
  <c r="S102" i="4"/>
  <c r="S101" i="4"/>
  <c r="R101" i="4"/>
  <c r="S100" i="4"/>
  <c r="S99" i="4"/>
  <c r="S98" i="4"/>
  <c r="R98" i="4" s="1"/>
  <c r="S97" i="4"/>
  <c r="R97" i="4"/>
  <c r="S96" i="4"/>
  <c r="S95" i="4"/>
  <c r="S94" i="4"/>
  <c r="R94" i="4"/>
  <c r="S93" i="4"/>
  <c r="R93" i="4"/>
  <c r="S92" i="4"/>
  <c r="R92" i="4"/>
  <c r="S91" i="4"/>
  <c r="S90" i="4"/>
  <c r="S89" i="4"/>
  <c r="R89" i="4"/>
  <c r="S88" i="4"/>
  <c r="R88" i="4"/>
  <c r="S87" i="4"/>
  <c r="R87" i="4" s="1"/>
  <c r="S86" i="4"/>
  <c r="S85" i="4"/>
  <c r="T84" i="4"/>
  <c r="F31" i="5" s="1"/>
  <c r="S84" i="4"/>
  <c r="R84" i="4" s="1"/>
  <c r="S83" i="4"/>
  <c r="R83" i="4"/>
  <c r="S82" i="4"/>
  <c r="R82" i="4"/>
  <c r="S81" i="4"/>
  <c r="R81" i="4"/>
  <c r="S80" i="4"/>
  <c r="R80" i="4"/>
  <c r="S79" i="4"/>
  <c r="R79" i="4" s="1"/>
  <c r="S78" i="4"/>
  <c r="R78" i="4"/>
  <c r="S77" i="4"/>
  <c r="R77" i="4"/>
  <c r="S76" i="4"/>
  <c r="R76" i="4"/>
  <c r="S75" i="4"/>
  <c r="R75" i="4"/>
  <c r="S74" i="4"/>
  <c r="S73" i="4"/>
  <c r="R73" i="4"/>
  <c r="S72" i="4"/>
  <c r="R72" i="4"/>
  <c r="S71" i="4"/>
  <c r="S70" i="4"/>
  <c r="R70" i="4" s="1"/>
  <c r="S69" i="4"/>
  <c r="R69" i="4"/>
  <c r="S68" i="4"/>
  <c r="R68" i="4"/>
  <c r="S67" i="4"/>
  <c r="R67" i="4" s="1"/>
  <c r="S66" i="4"/>
  <c r="S65" i="4"/>
  <c r="R65" i="4"/>
  <c r="S64" i="4"/>
  <c r="S63" i="4"/>
  <c r="S62" i="4"/>
  <c r="R62" i="4" s="1"/>
  <c r="S61" i="4"/>
  <c r="R61" i="4" s="1"/>
  <c r="S60" i="4"/>
  <c r="S59" i="4"/>
  <c r="R59" i="4"/>
  <c r="S58" i="4"/>
  <c r="R58" i="4"/>
  <c r="S57" i="4"/>
  <c r="R57" i="4"/>
  <c r="S56" i="4"/>
  <c r="R56" i="4" s="1"/>
  <c r="S55" i="4"/>
  <c r="R55" i="4" s="1"/>
  <c r="S54" i="4"/>
  <c r="S53" i="4"/>
  <c r="R53" i="4"/>
  <c r="S52" i="4"/>
  <c r="R52" i="4"/>
  <c r="S51" i="4"/>
  <c r="S50" i="4"/>
  <c r="S49" i="4"/>
  <c r="R49" i="4"/>
  <c r="S48" i="4"/>
  <c r="R48" i="4" s="1"/>
  <c r="S47" i="4"/>
  <c r="R47" i="4"/>
  <c r="S46" i="4"/>
  <c r="S45" i="4"/>
  <c r="R45" i="4"/>
  <c r="S44" i="4"/>
  <c r="R44" i="4"/>
  <c r="S43" i="4"/>
  <c r="S42" i="4"/>
  <c r="S41" i="4"/>
  <c r="R41" i="4"/>
  <c r="S40" i="4"/>
  <c r="R40" i="4"/>
  <c r="S39" i="4"/>
  <c r="R39" i="4"/>
  <c r="S38" i="4"/>
  <c r="R38" i="4" s="1"/>
  <c r="S37" i="4"/>
  <c r="R37" i="4"/>
  <c r="S36" i="4"/>
  <c r="R36" i="4" s="1"/>
  <c r="S35" i="4"/>
  <c r="S34" i="4"/>
  <c r="R34" i="4"/>
  <c r="S33" i="4"/>
  <c r="R33" i="4"/>
  <c r="S32" i="4"/>
  <c r="R32" i="4"/>
  <c r="S31" i="4"/>
  <c r="R31" i="4" s="1"/>
  <c r="S30" i="4"/>
  <c r="S29" i="4"/>
  <c r="R29" i="4"/>
  <c r="S28" i="4"/>
  <c r="R28" i="4" s="1"/>
  <c r="S27" i="4"/>
  <c r="R27" i="4"/>
  <c r="S26" i="4"/>
  <c r="R26" i="4" s="1"/>
  <c r="S25" i="4"/>
  <c r="R25" i="4"/>
  <c r="S24" i="4"/>
  <c r="R24" i="4"/>
  <c r="S23" i="4"/>
  <c r="S22" i="4"/>
  <c r="R22" i="4"/>
  <c r="S21" i="4"/>
  <c r="R21" i="4"/>
  <c r="S20" i="4"/>
  <c r="R20" i="4" s="1"/>
  <c r="S19" i="4"/>
  <c r="R19" i="4"/>
  <c r="S18" i="4"/>
  <c r="R18" i="4"/>
  <c r="S17" i="4"/>
  <c r="R17" i="4"/>
  <c r="S16" i="4"/>
  <c r="R16" i="4"/>
  <c r="S15" i="4"/>
  <c r="R15" i="4"/>
  <c r="S14" i="4"/>
  <c r="S13" i="4"/>
  <c r="R13" i="4"/>
  <c r="S12" i="4"/>
  <c r="S11" i="4"/>
  <c r="R11" i="4"/>
  <c r="S10" i="4"/>
  <c r="R10" i="4"/>
  <c r="S9" i="4"/>
  <c r="R9" i="4"/>
  <c r="S8" i="4"/>
  <c r="S7" i="4"/>
  <c r="R7" i="4" s="1"/>
  <c r="S6" i="4"/>
  <c r="S5" i="4"/>
  <c r="R5" i="4" s="1"/>
  <c r="S4" i="4"/>
  <c r="R4" i="4"/>
  <c r="S3" i="4"/>
  <c r="R3" i="4"/>
  <c r="T2" i="4"/>
  <c r="F30" i="5" s="1"/>
  <c r="S2" i="4"/>
  <c r="R2" i="4" s="1"/>
  <c r="T157" i="4" l="1"/>
  <c r="R8" i="4"/>
  <c r="R206" i="4"/>
  <c r="R229" i="4"/>
  <c r="R332" i="4"/>
  <c r="R43" i="4"/>
  <c r="T229" i="4"/>
  <c r="U240" i="4"/>
  <c r="T240" i="4"/>
  <c r="J33" i="5" s="1"/>
  <c r="R259" i="4"/>
  <c r="R86" i="4"/>
  <c r="U86" i="4"/>
  <c r="R247" i="4"/>
  <c r="U247" i="4"/>
  <c r="R293" i="4"/>
  <c r="U283" i="4"/>
  <c r="R408" i="4"/>
  <c r="U408" i="4" s="1"/>
  <c r="U277" i="4"/>
  <c r="U71" i="4"/>
  <c r="R71" i="4"/>
  <c r="R14" i="4"/>
  <c r="T282" i="4"/>
  <c r="U236" i="4"/>
  <c r="T236" i="4"/>
  <c r="F33" i="5" s="1"/>
  <c r="G6" i="5" s="1"/>
  <c r="R377" i="4"/>
  <c r="T166" i="4"/>
  <c r="T165" i="4"/>
  <c r="U172" i="4"/>
  <c r="R329" i="4"/>
  <c r="R401" i="4"/>
  <c r="U46" i="4"/>
  <c r="R90" i="4"/>
  <c r="T90" i="4" s="1"/>
  <c r="U228" i="4"/>
  <c r="R228" i="4"/>
  <c r="U286" i="4"/>
  <c r="R286" i="4"/>
  <c r="T286" i="4"/>
  <c r="T46" i="4"/>
  <c r="R252" i="4"/>
  <c r="T252" i="4" s="1"/>
  <c r="U252" i="4"/>
  <c r="T274" i="4"/>
  <c r="R63" i="4"/>
  <c r="R160" i="4"/>
  <c r="U160" i="4" s="1"/>
  <c r="U284" i="4"/>
  <c r="U281" i="4"/>
  <c r="U280" i="4"/>
  <c r="R64" i="4"/>
  <c r="R214" i="4"/>
  <c r="T225" i="4"/>
  <c r="N32" i="5" s="1"/>
  <c r="T227" i="4"/>
  <c r="T226" i="4"/>
  <c r="R248" i="4"/>
  <c r="R54" i="4"/>
  <c r="R232" i="4"/>
  <c r="T272" i="4"/>
  <c r="R30" i="4"/>
  <c r="T74" i="4"/>
  <c r="R120" i="4"/>
  <c r="R266" i="4"/>
  <c r="T26" i="4"/>
  <c r="U93" i="4"/>
  <c r="R138" i="4"/>
  <c r="T285" i="4"/>
  <c r="R402" i="4"/>
  <c r="R42" i="4"/>
  <c r="R23" i="4"/>
  <c r="T80" i="4"/>
  <c r="T85" i="4"/>
  <c r="R218" i="4"/>
  <c r="T145" i="4"/>
  <c r="T9" i="4"/>
  <c r="T5" i="4"/>
  <c r="R74" i="4"/>
  <c r="R100" i="4"/>
  <c r="R168" i="4"/>
  <c r="R179" i="4"/>
  <c r="V172" i="4" s="1"/>
  <c r="R6" i="4"/>
  <c r="R12" i="4"/>
  <c r="R60" i="4"/>
  <c r="R187" i="4"/>
  <c r="T279" i="4"/>
  <c r="T290" i="4"/>
  <c r="T3" i="4"/>
  <c r="U3" i="4"/>
  <c r="T284" i="4"/>
  <c r="R346" i="4"/>
  <c r="R385" i="4"/>
  <c r="T77" i="4"/>
  <c r="T86" i="4"/>
  <c r="R119" i="4"/>
  <c r="R46" i="4"/>
  <c r="R96" i="4"/>
  <c r="T164" i="4"/>
  <c r="R164" i="4"/>
  <c r="T161" i="4" s="1"/>
  <c r="R188" i="4"/>
  <c r="R210" i="4"/>
  <c r="T273" i="4"/>
  <c r="U285" i="4"/>
  <c r="R342" i="4"/>
  <c r="T339" i="4" s="1"/>
  <c r="V342" i="4"/>
  <c r="G500" i="4"/>
  <c r="T75" i="4"/>
  <c r="R91" i="4"/>
  <c r="V161" i="4" s="1"/>
  <c r="R128" i="4"/>
  <c r="R143" i="4"/>
  <c r="R147" i="4"/>
  <c r="R158" i="4"/>
  <c r="R162" i="4"/>
  <c r="U173" i="4"/>
  <c r="R204" i="4"/>
  <c r="R215" i="4"/>
  <c r="R230" i="4"/>
  <c r="R253" i="4"/>
  <c r="R268" i="4"/>
  <c r="U287" i="4"/>
  <c r="R310" i="4"/>
  <c r="R348" i="4"/>
  <c r="T348" i="4"/>
  <c r="F35" i="5" s="1"/>
  <c r="R417" i="4"/>
  <c r="U237" i="4"/>
  <c r="T237" i="4"/>
  <c r="R411" i="4"/>
  <c r="U411" i="4" s="1"/>
  <c r="R181" i="4"/>
  <c r="T72" i="4"/>
  <c r="R473" i="4"/>
  <c r="R163" i="4"/>
  <c r="R194" i="4"/>
  <c r="U194" i="4" s="1"/>
  <c r="U242" i="4"/>
  <c r="R322" i="4"/>
  <c r="R344" i="4"/>
  <c r="U83" i="4"/>
  <c r="T83" i="4"/>
  <c r="V30" i="5" s="1"/>
  <c r="T97" i="4"/>
  <c r="J31" i="5" s="1"/>
  <c r="R107" i="4"/>
  <c r="R192" i="4"/>
  <c r="T267" i="4"/>
  <c r="R223" i="4"/>
  <c r="R326" i="4"/>
  <c r="U452" i="4"/>
  <c r="T7" i="4"/>
  <c r="R115" i="4"/>
  <c r="U115" i="4" s="1"/>
  <c r="R174" i="4"/>
  <c r="T174" i="4"/>
  <c r="J32" i="5" s="1"/>
  <c r="R182" i="4"/>
  <c r="V182" i="4" s="1"/>
  <c r="R216" i="4"/>
  <c r="U4" i="4"/>
  <c r="U7" i="4"/>
  <c r="R51" i="4"/>
  <c r="V56" i="4"/>
  <c r="U72" i="4"/>
  <c r="R85" i="4"/>
  <c r="R151" i="4"/>
  <c r="T224" i="4"/>
  <c r="T231" i="4"/>
  <c r="T238" i="4"/>
  <c r="R269" i="4"/>
  <c r="T173" i="4"/>
  <c r="T391" i="4"/>
  <c r="R140" i="4"/>
  <c r="U140" i="4" s="1"/>
  <c r="R374" i="4"/>
  <c r="R66" i="4"/>
  <c r="V34" i="4" s="1"/>
  <c r="R246" i="4"/>
  <c r="R258" i="4"/>
  <c r="R339" i="4"/>
  <c r="R407" i="4"/>
  <c r="R437" i="4"/>
  <c r="U279" i="4"/>
  <c r="R290" i="4"/>
  <c r="V308" i="4" s="1"/>
  <c r="R397" i="4"/>
  <c r="U275" i="4"/>
  <c r="T275" i="4"/>
  <c r="T337" i="4"/>
  <c r="V25" i="4"/>
  <c r="R35" i="4"/>
  <c r="R95" i="4"/>
  <c r="U95" i="4" s="1"/>
  <c r="R99" i="4"/>
  <c r="U121" i="4" s="1"/>
  <c r="R155" i="4"/>
  <c r="T155" i="4" s="1"/>
  <c r="R167" i="4"/>
  <c r="R198" i="4"/>
  <c r="U231" i="4"/>
  <c r="U238" i="4"/>
  <c r="U250" i="4"/>
  <c r="R254" i="4"/>
  <c r="U32" i="4"/>
  <c r="T48" i="4"/>
  <c r="T79" i="4"/>
  <c r="V129" i="4"/>
  <c r="T137" i="4"/>
  <c r="R156" i="4"/>
  <c r="R239" i="4"/>
  <c r="V238" i="4" s="1"/>
  <c r="T350" i="4"/>
  <c r="R350" i="4"/>
  <c r="U350" i="4" s="1"/>
  <c r="U395" i="4"/>
  <c r="R431" i="4"/>
  <c r="V345" i="4"/>
  <c r="R345" i="4"/>
  <c r="R371" i="4"/>
  <c r="R381" i="4"/>
  <c r="R461" i="4"/>
  <c r="R50" i="4"/>
  <c r="U75" i="4"/>
  <c r="R203" i="4"/>
  <c r="R234" i="4"/>
  <c r="R264" i="4"/>
  <c r="V320" i="4"/>
  <c r="T291" i="4"/>
  <c r="J34" i="5" s="1"/>
  <c r="R302" i="4"/>
  <c r="T28" i="4"/>
  <c r="R102" i="4"/>
  <c r="V118" i="4" s="1"/>
  <c r="R136" i="4"/>
  <c r="V138" i="4" s="1"/>
  <c r="R146" i="4"/>
  <c r="R251" i="4"/>
  <c r="U278" i="4" s="1"/>
  <c r="T271" i="4"/>
  <c r="R298" i="4"/>
  <c r="T310" i="4" s="1"/>
  <c r="U351" i="4"/>
  <c r="R383" i="4"/>
  <c r="R469" i="4"/>
  <c r="R410" i="4"/>
  <c r="R457" i="4"/>
  <c r="V457" i="4" s="1"/>
  <c r="T457" i="4"/>
  <c r="R420" i="4"/>
  <c r="T420" i="4"/>
  <c r="T81" i="4"/>
  <c r="T92" i="4"/>
  <c r="R110" i="4"/>
  <c r="U151" i="4" s="1"/>
  <c r="R122" i="4"/>
  <c r="T171" i="4"/>
  <c r="F32" i="5" s="1"/>
  <c r="T200" i="4"/>
  <c r="U263" i="4"/>
  <c r="R305" i="4"/>
  <c r="T305" i="4" s="1"/>
  <c r="R380" i="4"/>
  <c r="V321" i="4"/>
  <c r="R384" i="4"/>
  <c r="V379" i="4" s="1"/>
  <c r="R405" i="4"/>
  <c r="U414" i="4"/>
  <c r="R422" i="4"/>
  <c r="T448" i="4" s="1"/>
  <c r="R341" i="4"/>
  <c r="J35" i="5"/>
  <c r="T406" i="4"/>
  <c r="R406" i="4"/>
  <c r="U410" i="4" s="1"/>
  <c r="T414" i="4"/>
  <c r="T4" i="4"/>
  <c r="T76" i="4"/>
  <c r="T256" i="4"/>
  <c r="T280" i="4"/>
  <c r="T283" i="4"/>
  <c r="R365" i="4"/>
  <c r="R433" i="4"/>
  <c r="R445" i="4"/>
  <c r="T392" i="4"/>
  <c r="N35" i="5" s="1"/>
  <c r="U425" i="4"/>
  <c r="U433" i="4"/>
  <c r="R278" i="4"/>
  <c r="R314" i="4"/>
  <c r="R369" i="4"/>
  <c r="U369" i="4" s="1"/>
  <c r="T389" i="4"/>
  <c r="T172" i="4"/>
  <c r="T278" i="4"/>
  <c r="T281" i="4"/>
  <c r="V306" i="4"/>
  <c r="T314" i="4"/>
  <c r="U399" i="4"/>
  <c r="T409" i="4"/>
  <c r="T419" i="4"/>
  <c r="U446" i="4"/>
  <c r="T476" i="4"/>
  <c r="T338" i="4"/>
  <c r="T398" i="4"/>
  <c r="R485" i="4"/>
  <c r="U426" i="4"/>
  <c r="T435" i="4"/>
  <c r="T336" i="4"/>
  <c r="N34" i="5" s="1"/>
  <c r="R357" i="4"/>
  <c r="V361" i="4" s="1"/>
  <c r="T390" i="4"/>
  <c r="R393" i="4"/>
  <c r="R429" i="4"/>
  <c r="U441" i="4"/>
  <c r="R441" i="4"/>
  <c r="U447" i="4"/>
  <c r="T450" i="4"/>
  <c r="R453" i="4"/>
  <c r="R465" i="4"/>
  <c r="U471" i="4"/>
  <c r="T474" i="4"/>
  <c r="N36" i="5" s="1"/>
  <c r="V424" i="4"/>
  <c r="V462" i="4"/>
  <c r="R481" i="4"/>
  <c r="C500" i="4"/>
  <c r="E6" i="5"/>
  <c r="E11" i="5" s="1"/>
  <c r="E9" i="5"/>
  <c r="E38" i="5"/>
  <c r="Q38" i="5"/>
  <c r="E37" i="5"/>
  <c r="Q37" i="5"/>
  <c r="G39" i="5"/>
  <c r="S39" i="5"/>
  <c r="G38" i="5"/>
  <c r="S38" i="5"/>
  <c r="R484" i="4"/>
  <c r="T486" i="4"/>
  <c r="V36" i="5" s="1"/>
  <c r="I39" i="5"/>
  <c r="U39" i="5"/>
  <c r="R477" i="4"/>
  <c r="R482" i="4"/>
  <c r="V469" i="4" s="1"/>
  <c r="K39" i="5"/>
  <c r="K38" i="5"/>
  <c r="L39" i="5"/>
  <c r="X39" i="5"/>
  <c r="R480" i="4"/>
  <c r="M39" i="5"/>
  <c r="M38" i="5"/>
  <c r="U185" i="4" l="1"/>
  <c r="V418" i="4"/>
  <c r="V444" i="4"/>
  <c r="V432" i="4"/>
  <c r="V455" i="4"/>
  <c r="V430" i="4"/>
  <c r="V468" i="4"/>
  <c r="V456" i="4"/>
  <c r="V427" i="4"/>
  <c r="V467" i="4"/>
  <c r="V442" i="4"/>
  <c r="V451" i="4"/>
  <c r="V416" i="4"/>
  <c r="V419" i="4"/>
  <c r="V417" i="4"/>
  <c r="V463" i="4"/>
  <c r="V448" i="4"/>
  <c r="V452" i="4"/>
  <c r="V479" i="4"/>
  <c r="V472" i="4"/>
  <c r="V434" i="4"/>
  <c r="V443" i="4"/>
  <c r="T143" i="4"/>
  <c r="U143" i="4"/>
  <c r="F37" i="5"/>
  <c r="U138" i="4"/>
  <c r="T395" i="4"/>
  <c r="V420" i="4"/>
  <c r="V52" i="4"/>
  <c r="V43" i="4"/>
  <c r="V191" i="4"/>
  <c r="V232" i="4"/>
  <c r="T232" i="4"/>
  <c r="V252" i="4"/>
  <c r="U13" i="4"/>
  <c r="V247" i="4"/>
  <c r="U43" i="4"/>
  <c r="T175" i="4"/>
  <c r="T477" i="4"/>
  <c r="V477" i="4"/>
  <c r="T478" i="4"/>
  <c r="U456" i="4"/>
  <c r="U477" i="4"/>
  <c r="T444" i="4"/>
  <c r="U357" i="4"/>
  <c r="U390" i="4"/>
  <c r="V373" i="4"/>
  <c r="V446" i="4"/>
  <c r="V376" i="4"/>
  <c r="T292" i="4"/>
  <c r="V415" i="4"/>
  <c r="V475" i="4"/>
  <c r="V318" i="4"/>
  <c r="V122" i="4"/>
  <c r="T122" i="4"/>
  <c r="U122" i="4"/>
  <c r="U383" i="4"/>
  <c r="V383" i="4"/>
  <c r="V114" i="4"/>
  <c r="V264" i="4"/>
  <c r="T50" i="4"/>
  <c r="V50" i="4"/>
  <c r="T40" i="4"/>
  <c r="T51" i="4"/>
  <c r="U31" i="4"/>
  <c r="U56" i="4"/>
  <c r="T44" i="4"/>
  <c r="U50" i="4"/>
  <c r="U345" i="4"/>
  <c r="T396" i="4"/>
  <c r="U224" i="4"/>
  <c r="T325" i="4"/>
  <c r="T407" i="4"/>
  <c r="T41" i="4"/>
  <c r="U260" i="4"/>
  <c r="T216" i="4"/>
  <c r="V107" i="4"/>
  <c r="V173" i="4"/>
  <c r="T380" i="4"/>
  <c r="V211" i="4"/>
  <c r="V119" i="4"/>
  <c r="T52" i="4"/>
  <c r="U221" i="4"/>
  <c r="V261" i="4"/>
  <c r="U153" i="4"/>
  <c r="T11" i="4"/>
  <c r="U120" i="4"/>
  <c r="T54" i="4"/>
  <c r="U54" i="4"/>
  <c r="V208" i="4"/>
  <c r="V147" i="4"/>
  <c r="V188" i="4"/>
  <c r="U207" i="4"/>
  <c r="T323" i="4"/>
  <c r="U249" i="4"/>
  <c r="T246" i="4"/>
  <c r="U257" i="4"/>
  <c r="T261" i="4"/>
  <c r="U246" i="4"/>
  <c r="T250" i="4"/>
  <c r="T258" i="4"/>
  <c r="U241" i="4"/>
  <c r="T265" i="4"/>
  <c r="U267" i="4"/>
  <c r="U276" i="4"/>
  <c r="U19" i="4"/>
  <c r="U78" i="4"/>
  <c r="U81" i="4"/>
  <c r="U79" i="4"/>
  <c r="U70" i="4"/>
  <c r="U2" i="4"/>
  <c r="U82" i="4"/>
  <c r="U76" i="4"/>
  <c r="U9" i="4"/>
  <c r="V57" i="4"/>
  <c r="V26" i="4"/>
  <c r="U73" i="4"/>
  <c r="V75" i="4"/>
  <c r="V19" i="4"/>
  <c r="V37" i="4"/>
  <c r="V62" i="4"/>
  <c r="V36" i="4"/>
  <c r="T8" i="4"/>
  <c r="J30" i="5" s="1"/>
  <c r="U8" i="4"/>
  <c r="U77" i="4"/>
  <c r="V40" i="4"/>
  <c r="V5" i="4"/>
  <c r="V28" i="4"/>
  <c r="V454" i="4"/>
  <c r="V136" i="4"/>
  <c r="U136" i="4"/>
  <c r="U161" i="4"/>
  <c r="U84" i="4"/>
  <c r="U97" i="4"/>
  <c r="U169" i="4"/>
  <c r="T146" i="4"/>
  <c r="T159" i="4"/>
  <c r="U167" i="4"/>
  <c r="U148" i="4"/>
  <c r="U159" i="4"/>
  <c r="V421" i="4"/>
  <c r="F39" i="5"/>
  <c r="V181" i="4"/>
  <c r="U417" i="4"/>
  <c r="I6" i="5"/>
  <c r="V153" i="4"/>
  <c r="V80" i="4"/>
  <c r="T214" i="4"/>
  <c r="T160" i="4"/>
  <c r="V228" i="4"/>
  <c r="T453" i="4"/>
  <c r="V441" i="4"/>
  <c r="T472" i="4"/>
  <c r="T473" i="4"/>
  <c r="T354" i="4"/>
  <c r="U354" i="4"/>
  <c r="T362" i="4"/>
  <c r="T446" i="4"/>
  <c r="U373" i="4"/>
  <c r="U366" i="4"/>
  <c r="V433" i="4"/>
  <c r="T220" i="4"/>
  <c r="V436" i="4"/>
  <c r="U440" i="4"/>
  <c r="T110" i="4"/>
  <c r="T378" i="4"/>
  <c r="T383" i="4"/>
  <c r="T102" i="4"/>
  <c r="V102" i="4"/>
  <c r="T234" i="4"/>
  <c r="U234" i="4"/>
  <c r="V461" i="4"/>
  <c r="V431" i="4"/>
  <c r="T376" i="4"/>
  <c r="T217" i="4"/>
  <c r="V338" i="4"/>
  <c r="U313" i="4"/>
  <c r="U375" i="4"/>
  <c r="U374" i="4"/>
  <c r="V101" i="4"/>
  <c r="T151" i="4"/>
  <c r="T10" i="4"/>
  <c r="U132" i="4"/>
  <c r="V194" i="4"/>
  <c r="T194" i="4"/>
  <c r="V207" i="4"/>
  <c r="T108" i="4"/>
  <c r="V96" i="4"/>
  <c r="U33" i="4"/>
  <c r="U209" i="4"/>
  <c r="T179" i="4"/>
  <c r="T30" i="4"/>
  <c r="V54" i="4"/>
  <c r="U64" i="4"/>
  <c r="U63" i="4"/>
  <c r="T63" i="4"/>
  <c r="U61" i="4"/>
  <c r="U188" i="4"/>
  <c r="T130" i="4"/>
  <c r="U206" i="4"/>
  <c r="V332" i="4"/>
  <c r="T332" i="4"/>
  <c r="V8" i="4"/>
  <c r="V482" i="4"/>
  <c r="U482" i="4"/>
  <c r="V281" i="4"/>
  <c r="V262" i="4"/>
  <c r="T239" i="4"/>
  <c r="V239" i="4"/>
  <c r="V244" i="4"/>
  <c r="V280" i="4"/>
  <c r="V246" i="4"/>
  <c r="V265" i="4"/>
  <c r="V266" i="4"/>
  <c r="V272" i="4"/>
  <c r="V282" i="4"/>
  <c r="V257" i="4"/>
  <c r="V236" i="4"/>
  <c r="V243" i="4"/>
  <c r="V258" i="4"/>
  <c r="V269" i="4"/>
  <c r="V255" i="4"/>
  <c r="V284" i="4"/>
  <c r="V267" i="4"/>
  <c r="V275" i="4"/>
  <c r="V276" i="4"/>
  <c r="V256" i="4"/>
  <c r="V241" i="4"/>
  <c r="V277" i="4"/>
  <c r="V279" i="4"/>
  <c r="V398" i="4"/>
  <c r="T136" i="4"/>
  <c r="U239" i="4"/>
  <c r="V314" i="4"/>
  <c r="U327" i="4"/>
  <c r="V132" i="4"/>
  <c r="T222" i="4"/>
  <c r="T223" i="4"/>
  <c r="V227" i="4"/>
  <c r="V402" i="4"/>
  <c r="V63" i="4"/>
  <c r="T468" i="4"/>
  <c r="U485" i="4"/>
  <c r="U359" i="4"/>
  <c r="V395" i="4"/>
  <c r="U422" i="4"/>
  <c r="U457" i="4"/>
  <c r="V298" i="4"/>
  <c r="U335" i="4"/>
  <c r="U298" i="4"/>
  <c r="T311" i="4"/>
  <c r="U294" i="4"/>
  <c r="T303" i="4"/>
  <c r="T298" i="4"/>
  <c r="T294" i="4"/>
  <c r="U323" i="4"/>
  <c r="T319" i="4"/>
  <c r="T295" i="4"/>
  <c r="U324" i="4"/>
  <c r="U315" i="4"/>
  <c r="U301" i="4"/>
  <c r="U326" i="4"/>
  <c r="T324" i="4"/>
  <c r="T301" i="4"/>
  <c r="U299" i="4"/>
  <c r="T329" i="4"/>
  <c r="U297" i="4"/>
  <c r="T293" i="4"/>
  <c r="T326" i="4"/>
  <c r="T307" i="4"/>
  <c r="U300" i="4"/>
  <c r="T317" i="4"/>
  <c r="T431" i="4"/>
  <c r="U155" i="4"/>
  <c r="U290" i="4"/>
  <c r="V327" i="4"/>
  <c r="V151" i="4"/>
  <c r="U65" i="4"/>
  <c r="V189" i="4"/>
  <c r="V70" i="4"/>
  <c r="V14" i="4"/>
  <c r="V145" i="4"/>
  <c r="V59" i="4"/>
  <c r="U229" i="4"/>
  <c r="U444" i="4"/>
  <c r="T465" i="4"/>
  <c r="V465" i="4"/>
  <c r="U479" i="4"/>
  <c r="U470" i="4"/>
  <c r="U352" i="4"/>
  <c r="V274" i="4"/>
  <c r="T203" i="4"/>
  <c r="U319" i="4"/>
  <c r="V133" i="4"/>
  <c r="V91" i="4"/>
  <c r="T327" i="4"/>
  <c r="U147" i="4"/>
  <c r="V287" i="4"/>
  <c r="V223" i="4"/>
  <c r="T62" i="4"/>
  <c r="U361" i="4"/>
  <c r="T189" i="4"/>
  <c r="V148" i="4"/>
  <c r="T88" i="4"/>
  <c r="V170" i="4"/>
  <c r="V155" i="4"/>
  <c r="V125" i="4"/>
  <c r="U94" i="4"/>
  <c r="V166" i="4"/>
  <c r="U90" i="4"/>
  <c r="V88" i="4"/>
  <c r="U88" i="4"/>
  <c r="T89" i="4"/>
  <c r="V124" i="4"/>
  <c r="V168" i="4"/>
  <c r="V163" i="4"/>
  <c r="V87" i="4"/>
  <c r="T91" i="4"/>
  <c r="T210" i="4"/>
  <c r="T55" i="4"/>
  <c r="T24" i="4"/>
  <c r="V187" i="4"/>
  <c r="U187" i="4"/>
  <c r="U179" i="4"/>
  <c r="U145" i="4"/>
  <c r="U329" i="4"/>
  <c r="V21" i="4"/>
  <c r="V49" i="4"/>
  <c r="T260" i="4"/>
  <c r="U213" i="4"/>
  <c r="U166" i="4"/>
  <c r="U27" i="4"/>
  <c r="V401" i="4"/>
  <c r="V180" i="4"/>
  <c r="V67" i="4"/>
  <c r="V408" i="4"/>
  <c r="V229" i="4"/>
  <c r="T384" i="4"/>
  <c r="U384" i="4"/>
  <c r="V237" i="4"/>
  <c r="T479" i="4"/>
  <c r="U212" i="4"/>
  <c r="T341" i="4"/>
  <c r="U342" i="4"/>
  <c r="G10" i="5"/>
  <c r="F10" i="5"/>
  <c r="V37" i="5"/>
  <c r="V38" i="5"/>
  <c r="V39" i="5"/>
  <c r="I10" i="5"/>
  <c r="V204" i="4"/>
  <c r="V79" i="4"/>
  <c r="V64" i="4"/>
  <c r="V483" i="4"/>
  <c r="T131" i="4"/>
  <c r="V184" i="4"/>
  <c r="U332" i="4"/>
  <c r="T199" i="4"/>
  <c r="V480" i="4"/>
  <c r="T480" i="4"/>
  <c r="T483" i="4"/>
  <c r="V447" i="4"/>
  <c r="T438" i="4"/>
  <c r="V486" i="4"/>
  <c r="T434" i="4"/>
  <c r="V273" i="4"/>
  <c r="U314" i="4"/>
  <c r="T343" i="4"/>
  <c r="U104" i="4"/>
  <c r="U217" i="4"/>
  <c r="V439" i="4"/>
  <c r="U186" i="4"/>
  <c r="U41" i="4"/>
  <c r="V375" i="4"/>
  <c r="B17" i="5"/>
  <c r="C17" i="5" s="1"/>
  <c r="V115" i="4"/>
  <c r="T115" i="4"/>
  <c r="U223" i="4"/>
  <c r="V83" i="4"/>
  <c r="V94" i="4"/>
  <c r="V221" i="4"/>
  <c r="U24" i="4"/>
  <c r="T187" i="4"/>
  <c r="V179" i="4"/>
  <c r="U402" i="4"/>
  <c r="U21" i="4"/>
  <c r="U20" i="4"/>
  <c r="U338" i="4"/>
  <c r="U170" i="4"/>
  <c r="V27" i="4"/>
  <c r="V200" i="4"/>
  <c r="V97" i="4"/>
  <c r="V10" i="4"/>
  <c r="V484" i="4"/>
  <c r="U435" i="4"/>
  <c r="U474" i="4"/>
  <c r="T485" i="4"/>
  <c r="U430" i="4"/>
  <c r="T356" i="4"/>
  <c r="V270" i="4"/>
  <c r="V365" i="4"/>
  <c r="V422" i="4"/>
  <c r="T330" i="4"/>
  <c r="U387" i="4"/>
  <c r="T387" i="4"/>
  <c r="T183" i="4"/>
  <c r="V38" i="4"/>
  <c r="T481" i="4"/>
  <c r="T441" i="4"/>
  <c r="U465" i="4"/>
  <c r="T432" i="4"/>
  <c r="T471" i="4"/>
  <c r="U467" i="4"/>
  <c r="T467" i="4"/>
  <c r="U423" i="4"/>
  <c r="V353" i="4"/>
  <c r="T244" i="4"/>
  <c r="V470" i="4"/>
  <c r="T365" i="4"/>
  <c r="V428" i="4"/>
  <c r="T422" i="4"/>
  <c r="V311" i="4"/>
  <c r="U330" i="4"/>
  <c r="V387" i="4"/>
  <c r="V354" i="4"/>
  <c r="V319" i="4"/>
  <c r="U183" i="4"/>
  <c r="T35" i="4"/>
  <c r="T133" i="4"/>
  <c r="T193" i="4"/>
  <c r="T87" i="4"/>
  <c r="U344" i="4"/>
  <c r="V68" i="4"/>
  <c r="T322" i="4"/>
  <c r="T129" i="4"/>
  <c r="V283" i="4"/>
  <c r="T94" i="4"/>
  <c r="U59" i="4"/>
  <c r="V271" i="4"/>
  <c r="U87" i="4"/>
  <c r="V210" i="4"/>
  <c r="U210" i="4"/>
  <c r="U55" i="4"/>
  <c r="V24" i="4"/>
  <c r="V65" i="4"/>
  <c r="U168" i="4"/>
  <c r="U67" i="4"/>
  <c r="T318" i="4"/>
  <c r="T21" i="4"/>
  <c r="U49" i="4"/>
  <c r="U248" i="4"/>
  <c r="U165" i="4"/>
  <c r="T27" i="4"/>
  <c r="V263" i="4"/>
  <c r="T408" i="4"/>
  <c r="U308" i="4"/>
  <c r="V397" i="4"/>
  <c r="V357" i="4"/>
  <c r="T357" i="4"/>
  <c r="T364" i="4"/>
  <c r="U368" i="4"/>
  <c r="U398" i="4"/>
  <c r="U356" i="4"/>
  <c r="U394" i="4"/>
  <c r="U360" i="4"/>
  <c r="U370" i="4"/>
  <c r="T361" i="4"/>
  <c r="U362" i="4"/>
  <c r="U372" i="4"/>
  <c r="T372" i="4"/>
  <c r="V388" i="4"/>
  <c r="T386" i="4"/>
  <c r="V356" i="4"/>
  <c r="T402" i="4"/>
  <c r="V411" i="4"/>
  <c r="U358" i="4"/>
  <c r="V407" i="4"/>
  <c r="U367" i="4"/>
  <c r="T368" i="4"/>
  <c r="U364" i="4"/>
  <c r="T371" i="4"/>
  <c r="U388" i="4"/>
  <c r="V355" i="4"/>
  <c r="V370" i="4"/>
  <c r="V358" i="4"/>
  <c r="U386" i="4"/>
  <c r="V367" i="4"/>
  <c r="U404" i="4"/>
  <c r="T394" i="4"/>
  <c r="T388" i="4"/>
  <c r="T355" i="4"/>
  <c r="T370" i="4"/>
  <c r="V359" i="4"/>
  <c r="T358" i="4"/>
  <c r="V391" i="4"/>
  <c r="T374" i="4"/>
  <c r="T367" i="4"/>
  <c r="T360" i="4"/>
  <c r="V400" i="4"/>
  <c r="V371" i="4"/>
  <c r="V351" i="4"/>
  <c r="U355" i="4"/>
  <c r="U378" i="4"/>
  <c r="V405" i="4"/>
  <c r="T404" i="4"/>
  <c r="U400" i="4"/>
  <c r="V378" i="4"/>
  <c r="V392" i="4"/>
  <c r="V385" i="4"/>
  <c r="U391" i="4"/>
  <c r="V374" i="4"/>
  <c r="V350" i="4"/>
  <c r="U396" i="4"/>
  <c r="T400" i="4"/>
  <c r="V348" i="4"/>
  <c r="U376" i="4"/>
  <c r="U363" i="4"/>
  <c r="V414" i="4"/>
  <c r="V352" i="4"/>
  <c r="V445" i="4"/>
  <c r="T126" i="4"/>
  <c r="V7" i="4"/>
  <c r="U157" i="4"/>
  <c r="T482" i="4"/>
  <c r="V485" i="4"/>
  <c r="V425" i="4"/>
  <c r="U451" i="4"/>
  <c r="U424" i="4"/>
  <c r="T451" i="4"/>
  <c r="T424" i="4"/>
  <c r="U434" i="4"/>
  <c r="U439" i="4"/>
  <c r="U472" i="4"/>
  <c r="T427" i="4"/>
  <c r="T436" i="4"/>
  <c r="U427" i="4"/>
  <c r="T423" i="4"/>
  <c r="T466" i="4"/>
  <c r="U436" i="4"/>
  <c r="T428" i="4"/>
  <c r="U428" i="4"/>
  <c r="T458" i="4"/>
  <c r="U461" i="4"/>
  <c r="U421" i="4"/>
  <c r="T452" i="4"/>
  <c r="T425" i="4"/>
  <c r="U458" i="4"/>
  <c r="U463" i="4"/>
  <c r="U464" i="4"/>
  <c r="T421" i="4"/>
  <c r="T463" i="4"/>
  <c r="T430" i="4"/>
  <c r="U462" i="4"/>
  <c r="T456" i="4"/>
  <c r="U468" i="4"/>
  <c r="U448" i="4"/>
  <c r="T454" i="4"/>
  <c r="T440" i="4"/>
  <c r="U449" i="4"/>
  <c r="V234" i="4"/>
  <c r="V190" i="4"/>
  <c r="T101" i="4"/>
  <c r="V33" i="4"/>
  <c r="U204" i="4"/>
  <c r="U184" i="4"/>
  <c r="U208" i="4"/>
  <c r="T195" i="4"/>
  <c r="U191" i="4"/>
  <c r="U195" i="4"/>
  <c r="T209" i="4"/>
  <c r="U218" i="4"/>
  <c r="T181" i="4"/>
  <c r="V215" i="4"/>
  <c r="U196" i="4"/>
  <c r="V222" i="4"/>
  <c r="U219" i="4"/>
  <c r="T198" i="4"/>
  <c r="T176" i="4"/>
  <c r="T221" i="4"/>
  <c r="T218" i="4"/>
  <c r="U177" i="4"/>
  <c r="T178" i="4"/>
  <c r="U205" i="4"/>
  <c r="U220" i="4"/>
  <c r="U202" i="4"/>
  <c r="U197" i="4"/>
  <c r="T219" i="4"/>
  <c r="V220" i="4"/>
  <c r="T205" i="4"/>
  <c r="U176" i="4"/>
  <c r="U190" i="4"/>
  <c r="V197" i="4"/>
  <c r="T201" i="4"/>
  <c r="U178" i="4"/>
  <c r="T191" i="4"/>
  <c r="U180" i="4"/>
  <c r="U199" i="4"/>
  <c r="T177" i="4"/>
  <c r="T186" i="4"/>
  <c r="T207" i="4"/>
  <c r="U200" i="4"/>
  <c r="T190" i="4"/>
  <c r="V206" i="4"/>
  <c r="U201" i="4"/>
  <c r="V212" i="4"/>
  <c r="V177" i="4"/>
  <c r="U181" i="4"/>
  <c r="U192" i="4"/>
  <c r="V226" i="4"/>
  <c r="V198" i="4"/>
  <c r="T213" i="4"/>
  <c r="U211" i="4"/>
  <c r="T206" i="4"/>
  <c r="T185" i="4"/>
  <c r="T196" i="4"/>
  <c r="T212" i="4"/>
  <c r="V213" i="4"/>
  <c r="V235" i="4"/>
  <c r="T184" i="4"/>
  <c r="V438" i="4"/>
  <c r="T462" i="4"/>
  <c r="V429" i="4"/>
  <c r="U429" i="4"/>
  <c r="T429" i="4"/>
  <c r="T459" i="4"/>
  <c r="U455" i="4"/>
  <c r="T455" i="4"/>
  <c r="V423" i="4"/>
  <c r="U343" i="4"/>
  <c r="T208" i="4"/>
  <c r="V466" i="4"/>
  <c r="T470" i="4"/>
  <c r="U365" i="4"/>
  <c r="U311" i="4"/>
  <c r="V78" i="4"/>
  <c r="T251" i="4"/>
  <c r="U251" i="4"/>
  <c r="T302" i="4"/>
  <c r="U203" i="4"/>
  <c r="T381" i="4"/>
  <c r="T363" i="4"/>
  <c r="V307" i="4"/>
  <c r="U175" i="4"/>
  <c r="T149" i="4"/>
  <c r="T144" i="4"/>
  <c r="U125" i="4"/>
  <c r="U105" i="4"/>
  <c r="U118" i="4"/>
  <c r="T125" i="4"/>
  <c r="T105" i="4"/>
  <c r="U98" i="4"/>
  <c r="U108" i="4"/>
  <c r="U154" i="4"/>
  <c r="T98" i="4"/>
  <c r="T154" i="4"/>
  <c r="U117" i="4"/>
  <c r="T116" i="4"/>
  <c r="U103" i="4"/>
  <c r="T134" i="4"/>
  <c r="U149" i="4"/>
  <c r="U126" i="4"/>
  <c r="U137" i="4"/>
  <c r="T109" i="4"/>
  <c r="U113" i="4"/>
  <c r="U141" i="4"/>
  <c r="T141" i="4"/>
  <c r="T103" i="4"/>
  <c r="U134" i="4"/>
  <c r="U116" i="4"/>
  <c r="V99" i="4"/>
  <c r="T113" i="4"/>
  <c r="U101" i="4"/>
  <c r="T114" i="4"/>
  <c r="T132" i="4"/>
  <c r="U142" i="4"/>
  <c r="T142" i="4"/>
  <c r="T121" i="4"/>
  <c r="U107" i="4"/>
  <c r="U152" i="4"/>
  <c r="U112" i="4"/>
  <c r="T100" i="4"/>
  <c r="T150" i="4"/>
  <c r="T124" i="4"/>
  <c r="T152" i="4"/>
  <c r="U150" i="4"/>
  <c r="U130" i="4"/>
  <c r="U127" i="4"/>
  <c r="U124" i="4"/>
  <c r="T112" i="4"/>
  <c r="U106" i="4"/>
  <c r="U114" i="4"/>
  <c r="U123" i="4"/>
  <c r="T120" i="4"/>
  <c r="U119" i="4"/>
  <c r="T127" i="4"/>
  <c r="U135" i="4"/>
  <c r="T118" i="4"/>
  <c r="U99" i="4"/>
  <c r="T106" i="4"/>
  <c r="T104" i="4"/>
  <c r="T123" i="4"/>
  <c r="T153" i="4"/>
  <c r="U144" i="4"/>
  <c r="U111" i="4"/>
  <c r="U129" i="4"/>
  <c r="U109" i="4"/>
  <c r="U193" i="4"/>
  <c r="V165" i="4"/>
  <c r="T47" i="4"/>
  <c r="U310" i="4"/>
  <c r="V139" i="4"/>
  <c r="U216" i="4"/>
  <c r="T139" i="4"/>
  <c r="U44" i="4"/>
  <c r="U268" i="4"/>
  <c r="V268" i="4"/>
  <c r="U162" i="4"/>
  <c r="T188" i="4"/>
  <c r="U385" i="4"/>
  <c r="V313" i="4"/>
  <c r="T60" i="4"/>
  <c r="U60" i="4"/>
  <c r="U100" i="4"/>
  <c r="V218" i="4"/>
  <c r="V30" i="4"/>
  <c r="V15" i="4"/>
  <c r="T61" i="4"/>
  <c r="T401" i="4"/>
  <c r="V154" i="4"/>
  <c r="T263" i="4"/>
  <c r="V259" i="4"/>
  <c r="V100" i="4"/>
  <c r="V460" i="4"/>
  <c r="V157" i="4"/>
  <c r="T202" i="4"/>
  <c r="U389" i="4"/>
  <c r="V369" i="4"/>
  <c r="T369" i="4"/>
  <c r="U53" i="4"/>
  <c r="V450" i="4"/>
  <c r="T359" i="4"/>
  <c r="V389" i="4"/>
  <c r="T439" i="4"/>
  <c r="T375" i="4"/>
  <c r="T140" i="4"/>
  <c r="V140" i="4"/>
  <c r="U481" i="4"/>
  <c r="U484" i="4"/>
  <c r="V481" i="4"/>
  <c r="V435" i="4"/>
  <c r="U459" i="4"/>
  <c r="T426" i="4"/>
  <c r="U450" i="4"/>
  <c r="U443" i="4"/>
  <c r="T443" i="4"/>
  <c r="J36" i="5"/>
  <c r="V340" i="4"/>
  <c r="V458" i="4"/>
  <c r="U466" i="4"/>
  <c r="U333" i="4"/>
  <c r="T412" i="4"/>
  <c r="T413" i="4"/>
  <c r="U406" i="4"/>
  <c r="U392" i="4"/>
  <c r="U348" i="4"/>
  <c r="U407" i="4"/>
  <c r="U409" i="4"/>
  <c r="T405" i="4"/>
  <c r="V478" i="4"/>
  <c r="T410" i="4"/>
  <c r="V410" i="4"/>
  <c r="V251" i="4"/>
  <c r="V302" i="4"/>
  <c r="V126" i="4"/>
  <c r="T403" i="4"/>
  <c r="T304" i="4"/>
  <c r="U254" i="4"/>
  <c r="T254" i="4"/>
  <c r="V254" i="4"/>
  <c r="T99" i="4"/>
  <c r="V193" i="4"/>
  <c r="T313" i="4"/>
  <c r="U265" i="4"/>
  <c r="T204" i="4"/>
  <c r="U478" i="4"/>
  <c r="U139" i="4"/>
  <c r="V44" i="4"/>
  <c r="T268" i="4"/>
  <c r="V158" i="4"/>
  <c r="U158" i="4"/>
  <c r="T158" i="4"/>
  <c r="U37" i="4"/>
  <c r="V164" i="4"/>
  <c r="T163" i="4"/>
  <c r="T169" i="4"/>
  <c r="T167" i="4"/>
  <c r="F6" i="5"/>
  <c r="T385" i="4"/>
  <c r="T308" i="4"/>
  <c r="V60" i="4"/>
  <c r="U74" i="4"/>
  <c r="U91" i="4"/>
  <c r="V285" i="4"/>
  <c r="V249" i="4"/>
  <c r="U11" i="4"/>
  <c r="V47" i="4"/>
  <c r="V286" i="4"/>
  <c r="U401" i="4"/>
  <c r="V104" i="4"/>
  <c r="V245" i="4"/>
  <c r="U222" i="4"/>
  <c r="U52" i="4"/>
  <c r="V437" i="4"/>
  <c r="T31" i="4"/>
  <c r="T66" i="4"/>
  <c r="T67" i="4"/>
  <c r="T69" i="4"/>
  <c r="T45" i="4"/>
  <c r="T53" i="4"/>
  <c r="T68" i="4"/>
  <c r="V459" i="4"/>
  <c r="V72" i="4"/>
  <c r="V362" i="4"/>
  <c r="V66" i="4"/>
  <c r="T366" i="4"/>
  <c r="T148" i="4"/>
  <c r="V110" i="4"/>
  <c r="U110" i="4"/>
  <c r="U431" i="4"/>
  <c r="V474" i="4"/>
  <c r="V453" i="4"/>
  <c r="T393" i="4"/>
  <c r="V393" i="4"/>
  <c r="V412" i="4"/>
  <c r="U480" i="4"/>
  <c r="T449" i="4"/>
  <c r="U405" i="4"/>
  <c r="U305" i="4"/>
  <c r="V305" i="4"/>
  <c r="T464" i="4"/>
  <c r="U469" i="4"/>
  <c r="U227" i="4"/>
  <c r="U302" i="4"/>
  <c r="T117" i="4"/>
  <c r="U381" i="4"/>
  <c r="T373" i="4"/>
  <c r="T300" i="4"/>
  <c r="T411" i="4"/>
  <c r="R35" i="5" s="1"/>
  <c r="T257" i="4"/>
  <c r="V92" i="4"/>
  <c r="V242" i="4"/>
  <c r="U62" i="4"/>
  <c r="T182" i="4"/>
  <c r="T460" i="4"/>
  <c r="T111" i="4"/>
  <c r="U322" i="4"/>
  <c r="U473" i="4"/>
  <c r="V196" i="4"/>
  <c r="V260" i="4"/>
  <c r="V150" i="4"/>
  <c r="F38" i="5"/>
  <c r="V45" i="4"/>
  <c r="V39" i="4"/>
  <c r="T180" i="4"/>
  <c r="U232" i="4"/>
  <c r="U274" i="4"/>
  <c r="V377" i="4"/>
  <c r="U14" i="4"/>
  <c r="U189" i="4"/>
  <c r="T42" i="4"/>
  <c r="U38" i="4"/>
  <c r="V214" i="4"/>
  <c r="V160" i="4"/>
  <c r="T211" i="4"/>
  <c r="U382" i="4"/>
  <c r="T379" i="4"/>
  <c r="T192" i="4"/>
  <c r="V143" i="4"/>
  <c r="U442" i="4"/>
  <c r="V440" i="4"/>
  <c r="U102" i="4"/>
  <c r="V290" i="4"/>
  <c r="V312" i="4"/>
  <c r="V295" i="4"/>
  <c r="V291" i="4"/>
  <c r="V347" i="4"/>
  <c r="V289" i="4"/>
  <c r="V331" i="4"/>
  <c r="V317" i="4"/>
  <c r="V334" i="4"/>
  <c r="V316" i="4"/>
  <c r="V337" i="4"/>
  <c r="V315" i="4"/>
  <c r="V300" i="4"/>
  <c r="V323" i="4"/>
  <c r="V328" i="4"/>
  <c r="V292" i="4"/>
  <c r="V296" i="4"/>
  <c r="V304" i="4"/>
  <c r="V288" i="4"/>
  <c r="V303" i="4"/>
  <c r="V297" i="4"/>
  <c r="V343" i="4"/>
  <c r="V322" i="4"/>
  <c r="V335" i="4"/>
  <c r="V301" i="4"/>
  <c r="V310" i="4"/>
  <c r="V336" i="4"/>
  <c r="V330" i="4"/>
  <c r="V333" i="4"/>
  <c r="V309" i="4"/>
  <c r="V325" i="4"/>
  <c r="V344" i="4"/>
  <c r="V326" i="4"/>
  <c r="V299" i="4"/>
  <c r="V329" i="4"/>
  <c r="U432" i="4"/>
  <c r="T447" i="4"/>
  <c r="T331" i="4"/>
  <c r="U454" i="4"/>
  <c r="T316" i="4"/>
  <c r="T484" i="4"/>
  <c r="V471" i="4"/>
  <c r="V426" i="4"/>
  <c r="U453" i="4"/>
  <c r="U393" i="4"/>
  <c r="U438" i="4"/>
  <c r="V409" i="4"/>
  <c r="V476" i="4"/>
  <c r="U403" i="4"/>
  <c r="T328" i="4"/>
  <c r="T399" i="4"/>
  <c r="U445" i="4"/>
  <c r="V449" i="4"/>
  <c r="V294" i="4"/>
  <c r="V406" i="4"/>
  <c r="V384" i="4"/>
  <c r="V464" i="4"/>
  <c r="T469" i="4"/>
  <c r="V98" i="4"/>
  <c r="U371" i="4"/>
  <c r="T382" i="4"/>
  <c r="T243" i="4"/>
  <c r="U133" i="4"/>
  <c r="V250" i="4"/>
  <c r="U18" i="4"/>
  <c r="T397" i="4"/>
  <c r="U131" i="4"/>
  <c r="U66" i="4"/>
  <c r="U379" i="4"/>
  <c r="T59" i="4"/>
  <c r="U182" i="4"/>
  <c r="U460" i="4"/>
  <c r="U325" i="4"/>
  <c r="U245" i="4"/>
  <c r="V473" i="4"/>
  <c r="T417" i="4"/>
  <c r="U253" i="4"/>
  <c r="V253" i="4"/>
  <c r="T253" i="4"/>
  <c r="T135" i="4"/>
  <c r="T147" i="4"/>
  <c r="T342" i="4"/>
  <c r="U164" i="4"/>
  <c r="V346" i="4"/>
  <c r="V324" i="4"/>
  <c r="V31" i="4"/>
  <c r="V29" i="4"/>
  <c r="U80" i="4"/>
  <c r="T138" i="4"/>
  <c r="U225" i="4"/>
  <c r="T248" i="4"/>
  <c r="U214" i="4"/>
  <c r="T233" i="4"/>
  <c r="T228" i="4"/>
  <c r="U230" i="4"/>
  <c r="U174" i="4"/>
  <c r="T247" i="4"/>
  <c r="V71" i="4"/>
  <c r="V293" i="4"/>
  <c r="V240" i="4"/>
  <c r="T197" i="4"/>
  <c r="T119" i="4"/>
  <c r="V278" i="4"/>
  <c r="U416" i="4"/>
  <c r="U419" i="4"/>
  <c r="U483" i="4"/>
  <c r="U476" i="4"/>
  <c r="U420" i="4"/>
  <c r="V203" i="4"/>
  <c r="V381" i="4"/>
  <c r="T17" i="4"/>
  <c r="U198" i="4"/>
  <c r="V95" i="4"/>
  <c r="U397" i="4"/>
  <c r="V339" i="4"/>
  <c r="U10" i="4"/>
  <c r="T25" i="4"/>
  <c r="U51" i="4"/>
  <c r="V51" i="4"/>
  <c r="T276" i="4"/>
  <c r="U226" i="4"/>
  <c r="V171" i="4"/>
  <c r="V205" i="4"/>
  <c r="V201" i="4"/>
  <c r="U171" i="4"/>
  <c r="U235" i="4"/>
  <c r="V195" i="4"/>
  <c r="V183" i="4"/>
  <c r="V217" i="4"/>
  <c r="V224" i="4"/>
  <c r="U163" i="4"/>
  <c r="U34" i="4"/>
  <c r="V230" i="4"/>
  <c r="V55" i="4"/>
  <c r="V3" i="4"/>
  <c r="V12" i="4"/>
  <c r="U42" i="4"/>
  <c r="T266" i="4"/>
  <c r="V89" i="4"/>
  <c r="V11" i="4"/>
  <c r="T168" i="4"/>
  <c r="U40" i="4"/>
  <c r="V248" i="4"/>
  <c r="V178" i="4"/>
  <c r="U15" i="4"/>
  <c r="V32" i="4"/>
  <c r="T245" i="4"/>
  <c r="V13" i="4"/>
  <c r="T107" i="4"/>
  <c r="V86" i="4"/>
  <c r="V23" i="4"/>
  <c r="T156" i="4"/>
  <c r="N33" i="5"/>
  <c r="T340" i="4"/>
  <c r="R34" i="5" s="1"/>
  <c r="U337" i="4"/>
  <c r="U347" i="4"/>
  <c r="U336" i="4"/>
  <c r="B20" i="5"/>
  <c r="C20" i="5" s="1"/>
  <c r="U12" i="4"/>
  <c r="U23" i="4"/>
  <c r="T39" i="4"/>
  <c r="T14" i="4"/>
  <c r="T277" i="4"/>
  <c r="U486" i="4"/>
  <c r="U475" i="4"/>
  <c r="T445" i="4"/>
  <c r="V341" i="4"/>
  <c r="U340" i="4"/>
  <c r="V186" i="4"/>
  <c r="U47" i="4"/>
  <c r="V209" i="4"/>
  <c r="U156" i="4"/>
  <c r="T95" i="4"/>
  <c r="U272" i="4"/>
  <c r="V167" i="4"/>
  <c r="T241" i="4"/>
  <c r="T437" i="4"/>
  <c r="U258" i="4"/>
  <c r="V364" i="4"/>
  <c r="V41" i="4"/>
  <c r="V174" i="4"/>
  <c r="T56" i="4"/>
  <c r="V192" i="4"/>
  <c r="U28" i="4"/>
  <c r="U412" i="4"/>
  <c r="V382" i="4"/>
  <c r="V372" i="4"/>
  <c r="V349" i="4"/>
  <c r="V368" i="4"/>
  <c r="V404" i="4"/>
  <c r="V396" i="4"/>
  <c r="V363" i="4"/>
  <c r="V403" i="4"/>
  <c r="U415" i="4"/>
  <c r="U413" i="4"/>
  <c r="V413" i="4"/>
  <c r="V399" i="4"/>
  <c r="U353" i="4"/>
  <c r="V366" i="4"/>
  <c r="V386" i="4"/>
  <c r="V394" i="4"/>
  <c r="V360" i="4"/>
  <c r="T230" i="4"/>
  <c r="V131" i="4"/>
  <c r="T37" i="4"/>
  <c r="T32" i="4"/>
  <c r="N30" i="5" s="1"/>
  <c r="U17" i="4"/>
  <c r="T12" i="4"/>
  <c r="T29" i="4"/>
  <c r="T20" i="4"/>
  <c r="U57" i="4"/>
  <c r="T57" i="4"/>
  <c r="U29" i="4"/>
  <c r="U48" i="4"/>
  <c r="V390" i="4"/>
  <c r="U256" i="4"/>
  <c r="T70" i="4"/>
  <c r="V120" i="4"/>
  <c r="U30" i="4"/>
  <c r="V73" i="4"/>
  <c r="V81" i="4"/>
  <c r="V16" i="4"/>
  <c r="U25" i="4"/>
  <c r="U282" i="4"/>
  <c r="W33" i="5" s="1"/>
  <c r="Y33" i="5" s="1"/>
  <c r="U271" i="4"/>
  <c r="U26" i="4"/>
  <c r="U288" i="4"/>
  <c r="V156" i="4"/>
  <c r="U437" i="4"/>
  <c r="T269" i="4"/>
  <c r="V108" i="4"/>
  <c r="T38" i="4"/>
  <c r="T22" i="4"/>
  <c r="V169" i="4"/>
  <c r="T162" i="4"/>
  <c r="R31" i="5" s="1"/>
  <c r="V128" i="4"/>
  <c r="U128" i="4"/>
  <c r="V219" i="4"/>
  <c r="V199" i="4"/>
  <c r="V127" i="4"/>
  <c r="T36" i="4"/>
  <c r="V123" i="4"/>
  <c r="U6" i="4"/>
  <c r="V42" i="4"/>
  <c r="T65" i="4"/>
  <c r="V185" i="4"/>
  <c r="V22" i="4"/>
  <c r="U5" i="4"/>
  <c r="T43" i="4"/>
  <c r="V130" i="4"/>
  <c r="V176" i="4"/>
  <c r="T15" i="4"/>
  <c r="T433" i="4"/>
  <c r="U341" i="4"/>
  <c r="U380" i="4"/>
  <c r="V380" i="4"/>
  <c r="T461" i="4"/>
  <c r="U339" i="4"/>
  <c r="U244" i="4"/>
  <c r="T262" i="4"/>
  <c r="T270" i="4"/>
  <c r="U262" i="4"/>
  <c r="T255" i="4"/>
  <c r="U243" i="4"/>
  <c r="U270" i="4"/>
  <c r="U273" i="4"/>
  <c r="U255" i="4"/>
  <c r="U261" i="4"/>
  <c r="U269" i="4"/>
  <c r="T19" i="4"/>
  <c r="U22" i="4"/>
  <c r="T215" i="4"/>
  <c r="V162" i="4"/>
  <c r="T128" i="4"/>
  <c r="V135" i="4"/>
  <c r="V111" i="4"/>
  <c r="U36" i="4"/>
  <c r="T346" i="4"/>
  <c r="T6" i="4"/>
  <c r="V142" i="4"/>
  <c r="T64" i="4"/>
  <c r="T78" i="4"/>
  <c r="V53" i="4"/>
  <c r="U89" i="4"/>
  <c r="U92" i="4"/>
  <c r="T93" i="4"/>
  <c r="V202" i="4"/>
  <c r="T377" i="4"/>
  <c r="T259" i="4"/>
  <c r="T71" i="4"/>
  <c r="V58" i="4"/>
  <c r="U293" i="4"/>
  <c r="V4" i="4"/>
  <c r="V231" i="4"/>
  <c r="T264" i="4"/>
  <c r="V35" i="4"/>
  <c r="U16" i="4"/>
  <c r="V216" i="4"/>
  <c r="T16" i="4"/>
  <c r="V106" i="4"/>
  <c r="U346" i="4"/>
  <c r="T18" i="4"/>
  <c r="U233" i="4"/>
  <c r="V121" i="4"/>
  <c r="V2" i="4"/>
  <c r="V17" i="4"/>
  <c r="V74" i="4"/>
  <c r="V9" i="4"/>
  <c r="T49" i="4"/>
  <c r="U266" i="4"/>
  <c r="V20" i="4"/>
  <c r="V48" i="4"/>
  <c r="V69" i="4"/>
  <c r="V90" i="4"/>
  <c r="U377" i="4"/>
  <c r="T242" i="4"/>
  <c r="U58" i="4"/>
  <c r="T23" i="4"/>
  <c r="U39" i="4"/>
  <c r="R33" i="5"/>
  <c r="V146" i="4"/>
  <c r="U146" i="4"/>
  <c r="U264" i="4"/>
  <c r="T345" i="4"/>
  <c r="U35" i="4"/>
  <c r="T344" i="4"/>
  <c r="V105" i="4"/>
  <c r="V159" i="4"/>
  <c r="V149" i="4"/>
  <c r="V113" i="4"/>
  <c r="V84" i="4"/>
  <c r="V117" i="4"/>
  <c r="V93" i="4"/>
  <c r="V137" i="4"/>
  <c r="V109" i="4"/>
  <c r="V103" i="4"/>
  <c r="V134" i="4"/>
  <c r="V144" i="4"/>
  <c r="V152" i="4"/>
  <c r="V85" i="4"/>
  <c r="U85" i="4"/>
  <c r="V141" i="4"/>
  <c r="V112" i="4"/>
  <c r="V116" i="4"/>
  <c r="T13" i="4"/>
  <c r="T249" i="4"/>
  <c r="U291" i="4"/>
  <c r="U69" i="4"/>
  <c r="U215" i="4"/>
  <c r="U68" i="4"/>
  <c r="V175" i="4"/>
  <c r="U96" i="4"/>
  <c r="T96" i="4"/>
  <c r="T33" i="4"/>
  <c r="V18" i="4"/>
  <c r="V233" i="4"/>
  <c r="V6" i="4"/>
  <c r="T82" i="4"/>
  <c r="T73" i="4"/>
  <c r="R30" i="5" s="1"/>
  <c r="U45" i="4"/>
  <c r="V82" i="4"/>
  <c r="V225" i="4"/>
  <c r="T34" i="4"/>
  <c r="V61" i="4"/>
  <c r="V46" i="4"/>
  <c r="V77" i="4"/>
  <c r="T58" i="4"/>
  <c r="U295" i="4"/>
  <c r="U292" i="4"/>
  <c r="T309" i="4"/>
  <c r="U312" i="4"/>
  <c r="T297" i="4"/>
  <c r="U321" i="4"/>
  <c r="T315" i="4"/>
  <c r="U307" i="4"/>
  <c r="U309" i="4"/>
  <c r="U320" i="4"/>
  <c r="U318" i="4"/>
  <c r="T299" i="4"/>
  <c r="U331" i="4"/>
  <c r="T321" i="4"/>
  <c r="U334" i="4"/>
  <c r="U303" i="4"/>
  <c r="U306" i="4"/>
  <c r="U317" i="4"/>
  <c r="T306" i="4"/>
  <c r="T312" i="4"/>
  <c r="T296" i="4"/>
  <c r="T320" i="4"/>
  <c r="U316" i="4"/>
  <c r="U304" i="4"/>
  <c r="U328" i="4"/>
  <c r="U296" i="4"/>
  <c r="U259" i="4"/>
  <c r="V76" i="4"/>
  <c r="W35" i="5" l="1"/>
  <c r="Y35" i="5" s="1"/>
  <c r="R32" i="5"/>
  <c r="I9" i="5" s="1"/>
  <c r="G7" i="5"/>
  <c r="F7" i="5"/>
  <c r="J37" i="5"/>
  <c r="J38" i="5"/>
  <c r="J39" i="5"/>
  <c r="I7" i="5"/>
  <c r="W30" i="5"/>
  <c r="B16" i="5"/>
  <c r="C16" i="5" s="1"/>
  <c r="R36" i="5"/>
  <c r="N31" i="5"/>
  <c r="N38" i="5" s="1"/>
  <c r="B19" i="5"/>
  <c r="C19" i="5" s="1"/>
  <c r="B18" i="5"/>
  <c r="C18" i="5" s="1"/>
  <c r="W36" i="5"/>
  <c r="Y36" i="5" s="1"/>
  <c r="W34" i="5"/>
  <c r="Y34" i="5" s="1"/>
  <c r="W31" i="5"/>
  <c r="Y31" i="5" s="1"/>
  <c r="B21" i="5"/>
  <c r="W32" i="5"/>
  <c r="Y32" i="5" s="1"/>
  <c r="F8" i="5" l="1"/>
  <c r="F11" i="5" s="1"/>
  <c r="G8" i="5"/>
  <c r="F9" i="5"/>
  <c r="R38" i="5"/>
  <c r="N37" i="5"/>
  <c r="I8" i="5"/>
  <c r="I11" i="5" s="1"/>
  <c r="R39" i="5"/>
  <c r="N39" i="5"/>
  <c r="G9" i="5"/>
  <c r="R37" i="5"/>
  <c r="Y30" i="5"/>
  <c r="Y38" i="5" s="1"/>
  <c r="W37" i="5"/>
  <c r="Y37" i="5" s="1"/>
  <c r="W38" i="5"/>
  <c r="W39" i="5"/>
  <c r="Y39" i="5" s="1"/>
  <c r="C21" i="5"/>
  <c r="B22" i="5"/>
  <c r="C22" i="5" s="1"/>
</calcChain>
</file>

<file path=xl/sharedStrings.xml><?xml version="1.0" encoding="utf-8"?>
<sst xmlns="http://schemas.openxmlformats.org/spreadsheetml/2006/main" count="18400" uniqueCount="852">
  <si>
    <t>run_id</t>
  </si>
  <si>
    <t>call_no</t>
  </si>
  <si>
    <t>timestamp</t>
  </si>
  <si>
    <t>stage</t>
  </si>
  <si>
    <t>provider</t>
  </si>
  <si>
    <t>model</t>
  </si>
  <si>
    <t>input_tokens</t>
  </si>
  <si>
    <t>cached_tokens</t>
  </si>
  <si>
    <t>output_tokens</t>
  </si>
  <si>
    <t>request_fee_usd</t>
  </si>
  <si>
    <t>cost_usd</t>
  </si>
  <si>
    <t>duration_s</t>
  </si>
  <si>
    <t>status</t>
  </si>
  <si>
    <t>note</t>
  </si>
  <si>
    <t>function</t>
  </si>
  <si>
    <t>location</t>
  </si>
  <si>
    <t>call_chain</t>
  </si>
  <si>
    <t>call_start</t>
  </si>
  <si>
    <t>call_end</t>
  </si>
  <si>
    <t>clock_s_within_stage_model</t>
  </si>
  <si>
    <t>clock_s_within_model</t>
  </si>
  <si>
    <t>clock_s_any_api</t>
  </si>
  <si>
    <t>20260923-193002-be03ec</t>
  </si>
  <si>
    <t>2026-09-23T19:30:06</t>
  </si>
  <si>
    <t>agent_reasoning</t>
  </si>
  <si>
    <t>openai</t>
  </si>
  <si>
    <t>gpt-4o</t>
  </si>
  <si>
    <t>ok</t>
  </si>
  <si>
    <t>chat</t>
  </si>
  <si>
    <t>agent.execute</t>
  </si>
  <si>
    <t>agent.py:39</t>
  </si>
  <si>
    <t>agent.__call__ &gt; agent.execute</t>
  </si>
  <si>
    <t>2026-09-23T19:30:08</t>
  </si>
  <si>
    <t>answer_theoretical/question_analysis</t>
  </si>
  <si>
    <t>gpt-4o-mini</t>
  </si>
  <si>
    <t>question_analysis.analyze_question</t>
  </si>
  <si>
    <t>tools/answer_theoretical/question_analysis.py:111</t>
  </si>
  <si>
    <t>answer_theoretical.answer_theoretical &gt; answer_theoretical.theoretical_answer_body &gt; question_analysis.analyze_question</t>
  </si>
  <si>
    <t>2026-09-23T19:30:41</t>
  </si>
  <si>
    <t>answer_theoretical/web_sources</t>
  </si>
  <si>
    <t>perplexity</t>
  </si>
  <si>
    <t>sonar</t>
  </si>
  <si>
    <t>chat, context=low, exact cost from API</t>
  </si>
  <si>
    <t>utils.fetch_perplexity_response</t>
  </si>
  <si>
    <t>tools/utils.py:141</t>
  </si>
  <si>
    <t>answer_theoretical.answer_theoretical &gt; answer_theoretical.theoretical_answer_body &gt; answer_theoretical._stage1 &gt; utils.fetch_perplexity_response</t>
  </si>
  <si>
    <t>2026-09-23T19:30:43</t>
  </si>
  <si>
    <t>serper</t>
  </si>
  <si>
    <t>google search</t>
  </si>
  <si>
    <t>answer_theoretical_links.search_google</t>
  </si>
  <si>
    <t>tools/answer_theoretical/answer_theoretical_links.py:36</t>
  </si>
  <si>
    <t>answer_theoretical.answer_theoretical &gt; answer_theoretical.theoretical_answer_body &gt; answer_theoretical._stage1 &gt; answer_theoretical_links.replace_links &gt; answer_theoretical_links.replacer &gt; answer_theoretical_links.search_google</t>
  </si>
  <si>
    <t>2026-09-23T19:30:44</t>
  </si>
  <si>
    <t>2026-09-23T19:30:45</t>
  </si>
  <si>
    <t>2026-09-23T19:31:04</t>
  </si>
  <si>
    <t>answer_theoretical/outline</t>
  </si>
  <si>
    <t>outline_planner.plan_outline</t>
  </si>
  <si>
    <t>tools/answer_theoretical/outline_planner.py:279</t>
  </si>
  <si>
    <t>answer_theoretical.answer_theoretical &gt; answer_theoretical.theoretical_answer_body &gt; answer_theoretical._compose_v3 &gt; outline_planner.plan_outline</t>
  </si>
  <si>
    <t>2026-09-23T19:31:20</t>
  </si>
  <si>
    <t>2026-09-23T19:32:02</t>
  </si>
  <si>
    <t>answer_theoretical/guideline_retrieval</t>
  </si>
  <si>
    <t>text-embedding-3-small</t>
  </si>
  <si>
    <t>embedding</t>
  </si>
  <si>
    <t>guideline_index.retrieve_passages</t>
  </si>
  <si>
    <t>tools/answer_theoretical/guideline_index.py:246</t>
  </si>
  <si>
    <t>answer_theoretical.answer_theoretical &gt; answer_theoretical.theoretical_answer_body &gt; answer_theoretical._compose_v3 &gt; guideline_index.retrieve_passages</t>
  </si>
  <si>
    <t>2026-09-23T19:32:03</t>
  </si>
  <si>
    <t>2026-09-23T19:32:04</t>
  </si>
  <si>
    <t>2026-09-23T19:32:05</t>
  </si>
  <si>
    <t>2026-09-23T19:32:06</t>
  </si>
  <si>
    <t>2026-09-23T19:32:07</t>
  </si>
  <si>
    <t>2026-09-23T19:32:08</t>
  </si>
  <si>
    <t>2026-09-23T19:32:09</t>
  </si>
  <si>
    <t>2026-09-23T19:32:10</t>
  </si>
  <si>
    <t>2026-09-23T19:32:11</t>
  </si>
  <si>
    <t>2026-09-23T19:32:12</t>
  </si>
  <si>
    <t>2026-09-23T19:32:13</t>
  </si>
  <si>
    <t>2026-09-23T19:32:14</t>
  </si>
  <si>
    <t>2026-09-23T19:32:15</t>
  </si>
  <si>
    <t>2026-09-23T19:32:16</t>
  </si>
  <si>
    <t>2026-09-23T19:32:35</t>
  </si>
  <si>
    <t>answer_theoretical/case_examples</t>
  </si>
  <si>
    <t>case_examples._db_case_background</t>
  </si>
  <si>
    <t>tools/answer_theoretical/case_examples.py:137</t>
  </si>
  <si>
    <t>answer_theoretical.answer_theoretical &gt; answer_theoretical.theoretical_answer_body &gt; answer_theoretical._compose_v3 &gt; case_examples.build_case_examples &gt; case_examples._db_case_background</t>
  </si>
  <si>
    <t>2026-09-23T19:32:44</t>
  </si>
  <si>
    <t>2026-09-23T19:32:45</t>
  </si>
  <si>
    <t>2026-09-23T19:32:46</t>
  </si>
  <si>
    <t>2026-09-23T19:32:47</t>
  </si>
  <si>
    <t>2026-09-23T19:32:48</t>
  </si>
  <si>
    <t>2026-09-23T19:32:52</t>
  </si>
  <si>
    <t>2026-09-23T19:32:53</t>
  </si>
  <si>
    <t>2026-09-23T19:32:54</t>
  </si>
  <si>
    <t>2026-09-23T19:32:55</t>
  </si>
  <si>
    <t>2026-09-23T19:33:29</t>
  </si>
  <si>
    <t>2026-09-23T19:33:38</t>
  </si>
  <si>
    <t>2026-09-23T19:33:39</t>
  </si>
  <si>
    <t>2026-09-23T19:33:40</t>
  </si>
  <si>
    <t>2026-09-23T19:33:41</t>
  </si>
  <si>
    <t>2026-09-23T19:34:14</t>
  </si>
  <si>
    <t>2026-09-23T19:34:23</t>
  </si>
  <si>
    <t>2026-09-23T19:34:24</t>
  </si>
  <si>
    <t>2026-09-23T19:34:25</t>
  </si>
  <si>
    <t>2026-09-23T19:34:26</t>
  </si>
  <si>
    <t>2026-09-23T19:34:29</t>
  </si>
  <si>
    <t>2026-09-23T19:34:30</t>
  </si>
  <si>
    <t>2026-09-23T19:34:31</t>
  </si>
  <si>
    <t>2026-09-23T19:34:44</t>
  </si>
  <si>
    <t>utils.case_index_setup</t>
  </si>
  <si>
    <t>tools/utils.py:337</t>
  </si>
  <si>
    <t>answer_theoretical.answer_theoretical &gt; answer_theoretical.theoretical_answer_body &gt; answer_theoretical._compose_v3 &gt; case_examples.build_database_examples &gt; case_examples.walk &gt; case_examples._db_case_walkthrough &gt; utils.case_index_setup</t>
  </si>
  <si>
    <t>2026-09-23T19:34:45</t>
  </si>
  <si>
    <t>case_examples._db_case_walkthrough</t>
  </si>
  <si>
    <t>tools/answer_theoretical/case_examples.py:203</t>
  </si>
  <si>
    <t>answer_theoretical.answer_theoretical &gt; answer_theoretical.theoretical_answer_body &gt; answer_theoretical._compose_v3 &gt; case_examples.build_database_examples &gt; case_examples.walk &gt; case_examples._db_case_walkthrough</t>
  </si>
  <si>
    <t>2026-09-23T19:34:46</t>
  </si>
  <si>
    <t>2026-09-23T19:34:54</t>
  </si>
  <si>
    <t>2026-09-23T19:34:55</t>
  </si>
  <si>
    <t>2026-09-23T19:34:58</t>
  </si>
  <si>
    <t>2026-09-23T19:35:08</t>
  </si>
  <si>
    <t>answer_theoretical/composition</t>
  </si>
  <si>
    <t>section_composer._call</t>
  </si>
  <si>
    <t>tools/answer_theoretical/section_composer.py:281</t>
  </si>
  <si>
    <t>answer_theoretical.answer_theoretical &gt; answer_theoretical.theoretical_answer_body &gt; answer_theoretical._compose_v3 &gt; section_composer.compose_all &gt; section_composer.run &gt; section_composer.work &gt; section_composer.compose_section &gt; section_composer._call</t>
  </si>
  <si>
    <t>2026-09-23T19:35:09</t>
  </si>
  <si>
    <t>2026-09-23T19:35:10</t>
  </si>
  <si>
    <t>2026-09-23T19:35:25</t>
  </si>
  <si>
    <t>2026-09-23T19:35:27</t>
  </si>
  <si>
    <t>2026-09-23T19:35:39</t>
  </si>
  <si>
    <t>2026-09-23T19:35:48</t>
  </si>
  <si>
    <t>2026-09-23T19:36:07</t>
  </si>
  <si>
    <t>2026-09-23T19:36:14</t>
  </si>
  <si>
    <t>answer_theoretical/overview</t>
  </si>
  <si>
    <t>answer_theoretical.answer_theoretical &gt; answer_theoretical.theoretical_answer_body &gt; answer_theoretical._compose_v3 &gt; section_composer.compose_overview &gt; section_composer._call</t>
  </si>
  <si>
    <t>20260923-194107-5fc246</t>
  </si>
  <si>
    <t>2026-09-23T19:41:10</t>
  </si>
  <si>
    <t>2026-09-23T19:41:13</t>
  </si>
  <si>
    <t>2026-09-23T19:41:44</t>
  </si>
  <si>
    <t>2026-09-23T19:41:46</t>
  </si>
  <si>
    <t>2026-09-23T19:41:47</t>
  </si>
  <si>
    <t>2026-09-23T19:41:48</t>
  </si>
  <si>
    <t>2026-09-23T19:41:49</t>
  </si>
  <si>
    <t>2026-09-23T19:41:50</t>
  </si>
  <si>
    <t>2026-09-23T19:41:51</t>
  </si>
  <si>
    <t>2026-09-23T19:41:53</t>
  </si>
  <si>
    <t>2026-09-23T19:41:54</t>
  </si>
  <si>
    <t>2026-09-23T19:41:55</t>
  </si>
  <si>
    <t>2026-09-23T19:41:56</t>
  </si>
  <si>
    <t>2026-09-23T19:42:18</t>
  </si>
  <si>
    <t>2026-09-23T19:42:19</t>
  </si>
  <si>
    <t>2026-09-23T19:42:20</t>
  </si>
  <si>
    <t>2026-09-23T19:42:22</t>
  </si>
  <si>
    <t>2026-09-23T19:42:23</t>
  </si>
  <si>
    <t>2026-09-23T19:42:24</t>
  </si>
  <si>
    <t>2026-09-23T19:42:25</t>
  </si>
  <si>
    <t>2026-09-23T19:42:26</t>
  </si>
  <si>
    <t>2026-09-23T19:42:27</t>
  </si>
  <si>
    <t>2026-09-23T19:42:28</t>
  </si>
  <si>
    <t>2026-09-23T19:42:29</t>
  </si>
  <si>
    <t>2026-09-23T19:42:30</t>
  </si>
  <si>
    <t>2026-09-23T19:42:31</t>
  </si>
  <si>
    <t>2026-09-23T19:42:32</t>
  </si>
  <si>
    <t>2026-09-23T19:42:33</t>
  </si>
  <si>
    <t>2026-09-23T19:42:35</t>
  </si>
  <si>
    <t>2026-09-23T19:42:42</t>
  </si>
  <si>
    <t>2026-09-23T19:42:43</t>
  </si>
  <si>
    <t>2026-09-23T19:42:49</t>
  </si>
  <si>
    <t>2026-09-23T19:42:50</t>
  </si>
  <si>
    <t>2026-09-23T19:42:51</t>
  </si>
  <si>
    <t>2026-09-23T19:42:53</t>
  </si>
  <si>
    <t>2026-09-23T19:42:54</t>
  </si>
  <si>
    <t>2026-09-23T19:43:00</t>
  </si>
  <si>
    <t>2026-09-23T19:43:04</t>
  </si>
  <si>
    <t>2026-09-23T19:43:10</t>
  </si>
  <si>
    <t>2026-09-23T19:43:11</t>
  </si>
  <si>
    <t>2026-09-23T19:43:12</t>
  </si>
  <si>
    <t>2026-09-23T19:43:13</t>
  </si>
  <si>
    <t>2026-09-23T19:43:18</t>
  </si>
  <si>
    <t>2026-09-23T19:43:27</t>
  </si>
  <si>
    <t>2026-09-23T19:43:29</t>
  </si>
  <si>
    <t>2026-09-23T19:43:38</t>
  </si>
  <si>
    <t>2026-09-23T19:43:39</t>
  </si>
  <si>
    <t>2026-09-23T19:43:52</t>
  </si>
  <si>
    <t>2026-09-23T19:43:55</t>
  </si>
  <si>
    <t>2026-09-23T19:44:04</t>
  </si>
  <si>
    <t>2026-09-23T19:44:10</t>
  </si>
  <si>
    <t>2026-09-23T19:44:26</t>
  </si>
  <si>
    <t>2026-09-23T19:44:31</t>
  </si>
  <si>
    <t>20260923-194518-bf4aed</t>
  </si>
  <si>
    <t>2026-09-23T19:45:20</t>
  </si>
  <si>
    <t>2026-09-23T19:45:25</t>
  </si>
  <si>
    <t>2026-09-23T19:45:56</t>
  </si>
  <si>
    <t>2026-09-23T19:46:14</t>
  </si>
  <si>
    <t>2026-09-23T19:46:15</t>
  </si>
  <si>
    <t>2026-09-23T19:46:16</t>
  </si>
  <si>
    <t>2026-09-23T19:46:17</t>
  </si>
  <si>
    <t>2026-09-23T19:46:18</t>
  </si>
  <si>
    <t>2026-09-23T19:46:19</t>
  </si>
  <si>
    <t>2026-09-23T19:46:20</t>
  </si>
  <si>
    <t>2026-09-23T19:46:21</t>
  </si>
  <si>
    <t>2026-09-23T19:46:22</t>
  </si>
  <si>
    <t>2026-09-23T19:46:23</t>
  </si>
  <si>
    <t>2026-09-23T19:46:24</t>
  </si>
  <si>
    <t>2026-09-23T19:46:25</t>
  </si>
  <si>
    <t>2026-09-23T19:46:26</t>
  </si>
  <si>
    <t>2026-09-23T19:46:27</t>
  </si>
  <si>
    <t>2026-09-23T19:46:28</t>
  </si>
  <si>
    <t>2026-09-23T19:46:29</t>
  </si>
  <si>
    <t>2026-09-23T19:46:30</t>
  </si>
  <si>
    <t>2026-09-23T19:46:31</t>
  </si>
  <si>
    <t>2026-09-23T19:46:32</t>
  </si>
  <si>
    <t>2026-09-23T19:46:33</t>
  </si>
  <si>
    <t>2026-09-23T19:46:34</t>
  </si>
  <si>
    <t>2026-09-23T19:46:35</t>
  </si>
  <si>
    <t>2026-09-23T19:46:41</t>
  </si>
  <si>
    <t>2026-09-23T19:46:42</t>
  </si>
  <si>
    <t>2026-09-23T19:46:50</t>
  </si>
  <si>
    <t>2026-09-23T19:46:52</t>
  </si>
  <si>
    <t>2026-09-23T19:47:04</t>
  </si>
  <si>
    <t>2026-09-23T19:47:06</t>
  </si>
  <si>
    <t>2026-09-23T19:47:08</t>
  </si>
  <si>
    <t>2026-09-23T19:47:27</t>
  </si>
  <si>
    <t>2026-09-23T19:47:30</t>
  </si>
  <si>
    <t>20260923-194809-50469e</t>
  </si>
  <si>
    <t>2026-09-23T19:48:11</t>
  </si>
  <si>
    <t>2026-09-23T19:48:13</t>
  </si>
  <si>
    <t>2026-09-23T19:48:38</t>
  </si>
  <si>
    <t>2026-09-23T19:48:39</t>
  </si>
  <si>
    <t>2026-09-23T19:48:56</t>
  </si>
  <si>
    <t>2026-09-23T19:48:57</t>
  </si>
  <si>
    <t>2026-09-23T19:48:58</t>
  </si>
  <si>
    <t>2026-09-23T19:48:59</t>
  </si>
  <si>
    <t>2026-09-23T19:49:00</t>
  </si>
  <si>
    <t>2026-09-23T19:49:01</t>
  </si>
  <si>
    <t>2026-09-23T19:49:02</t>
  </si>
  <si>
    <t>2026-09-23T19:49:03</t>
  </si>
  <si>
    <t>2026-09-23T19:49:04</t>
  </si>
  <si>
    <t>2026-09-23T19:49:05</t>
  </si>
  <si>
    <t>2026-09-23T19:49:06</t>
  </si>
  <si>
    <t>2026-09-23T19:49:11</t>
  </si>
  <si>
    <t>2026-09-23T19:49:12</t>
  </si>
  <si>
    <t>2026-09-23T19:49:15</t>
  </si>
  <si>
    <t>2026-09-23T19:49:16</t>
  </si>
  <si>
    <t>2026-09-23T19:49:19</t>
  </si>
  <si>
    <t>2026-09-23T19:49:20</t>
  </si>
  <si>
    <t>2026-09-23T19:49:25</t>
  </si>
  <si>
    <t>2026-09-23T19:49:29</t>
  </si>
  <si>
    <t>2026-09-23T19:49:35</t>
  </si>
  <si>
    <t>2026-09-23T19:49:36</t>
  </si>
  <si>
    <t>2026-09-23T19:49:49</t>
  </si>
  <si>
    <t>2026-09-23T19:49:51</t>
  </si>
  <si>
    <t>2026-09-23T19:49:52</t>
  </si>
  <si>
    <t>2026-09-23T19:49:56</t>
  </si>
  <si>
    <t>20260923-195016-d8b429</t>
  </si>
  <si>
    <t>2026-09-23T19:50:18</t>
  </si>
  <si>
    <t>2026-09-23T19:50:20</t>
  </si>
  <si>
    <t>2026-09-23T19:50:35</t>
  </si>
  <si>
    <t>2026-09-23T19:50:59</t>
  </si>
  <si>
    <t>2026-09-23T19:51:00</t>
  </si>
  <si>
    <t>2026-09-23T19:51:01</t>
  </si>
  <si>
    <t>2026-09-23T19:51:02</t>
  </si>
  <si>
    <t>2026-09-23T19:51:03</t>
  </si>
  <si>
    <t>2026-09-23T19:51:04</t>
  </si>
  <si>
    <t>2026-09-23T19:51:05</t>
  </si>
  <si>
    <t>2026-09-23T19:51:07</t>
  </si>
  <si>
    <t>2026-09-23T19:51:08</t>
  </si>
  <si>
    <t>2026-09-23T19:51:09</t>
  </si>
  <si>
    <t>2026-09-23T19:51:10</t>
  </si>
  <si>
    <t>2026-09-23T19:51:11</t>
  </si>
  <si>
    <t>2026-09-23T19:51:12</t>
  </si>
  <si>
    <t>2026-09-23T19:51:13</t>
  </si>
  <si>
    <t>2026-09-23T19:51:14</t>
  </si>
  <si>
    <t>2026-09-23T19:51:16</t>
  </si>
  <si>
    <t>2026-09-23T19:51:17</t>
  </si>
  <si>
    <t>2026-09-23T19:51:19</t>
  </si>
  <si>
    <t>2026-09-23T19:51:28</t>
  </si>
  <si>
    <t>2026-09-23T19:51:29</t>
  </si>
  <si>
    <t>2026-09-23T19:51:38</t>
  </si>
  <si>
    <t>2026-09-23T19:51:50</t>
  </si>
  <si>
    <t>2026-09-23T19:51:52</t>
  </si>
  <si>
    <t>2026-09-23T19:52:06</t>
  </si>
  <si>
    <t>2026-09-23T19:52:09</t>
  </si>
  <si>
    <t>2026-09-23T19:52:18</t>
  </si>
  <si>
    <t>2026-09-23T19:52:36</t>
  </si>
  <si>
    <t>2026-09-23T19:52:40</t>
  </si>
  <si>
    <t>20260923-195410-2a2deb</t>
  </si>
  <si>
    <t>2026-09-23T19:54:16</t>
  </si>
  <si>
    <t>2026-09-23T19:54:18</t>
  </si>
  <si>
    <t>2026-09-23T19:54:36</t>
  </si>
  <si>
    <t>2026-09-23T19:54:37</t>
  </si>
  <si>
    <t>2026-09-23T19:54:54</t>
  </si>
  <si>
    <t>2026-09-23T19:55:14</t>
  </si>
  <si>
    <t>2026-09-23T19:55:15</t>
  </si>
  <si>
    <t>2026-09-23T19:55:16</t>
  </si>
  <si>
    <t>2026-09-23T19:55:17</t>
  </si>
  <si>
    <t>2026-09-23T19:55:18</t>
  </si>
  <si>
    <t>2026-09-23T19:55:19</t>
  </si>
  <si>
    <t>2026-09-23T19:55:20</t>
  </si>
  <si>
    <t>2026-09-23T19:55:21</t>
  </si>
  <si>
    <t>2026-09-23T19:55:22</t>
  </si>
  <si>
    <t>2026-09-23T19:55:23</t>
  </si>
  <si>
    <t>2026-09-23T19:55:24</t>
  </si>
  <si>
    <t>2026-09-23T19:55:25</t>
  </si>
  <si>
    <t>2026-09-23T19:55:26</t>
  </si>
  <si>
    <t>2026-09-23T19:55:27</t>
  </si>
  <si>
    <t>2026-09-23T19:55:29</t>
  </si>
  <si>
    <t>2026-09-23T19:55:30</t>
  </si>
  <si>
    <t>2026-09-23T19:55:31</t>
  </si>
  <si>
    <t>2026-09-23T19:55:32</t>
  </si>
  <si>
    <t>2026-09-23T19:55:39</t>
  </si>
  <si>
    <t>2026-09-23T19:55:40</t>
  </si>
  <si>
    <t>2026-09-23T19:55:41</t>
  </si>
  <si>
    <t>2026-09-23T19:55:42</t>
  </si>
  <si>
    <t>2026-09-23T19:55:43</t>
  </si>
  <si>
    <t>2026-09-23T19:55:44</t>
  </si>
  <si>
    <t>2026-09-23T19:55:45</t>
  </si>
  <si>
    <t>2026-09-23T19:55:55</t>
  </si>
  <si>
    <t>2026-09-23T19:55:56</t>
  </si>
  <si>
    <t>2026-09-23T19:56:11</t>
  </si>
  <si>
    <t>2026-09-23T19:56:14</t>
  </si>
  <si>
    <t>2026-09-23T19:56:16</t>
  </si>
  <si>
    <t>2026-09-23T19:56:29</t>
  </si>
  <si>
    <t>2026-09-23T19:56:30</t>
  </si>
  <si>
    <t>2026-09-23T19:56:52</t>
  </si>
  <si>
    <t>2026-09-23T19:56:56</t>
  </si>
  <si>
    <t>20260923-195709-643294</t>
  </si>
  <si>
    <t>2026-09-23T19:57:11</t>
  </si>
  <si>
    <t>2026-09-23T19:57:13</t>
  </si>
  <si>
    <t>2026-09-23T19:57:44</t>
  </si>
  <si>
    <t>2026-09-23T19:58:08</t>
  </si>
  <si>
    <t>2026-09-23T19:58:31</t>
  </si>
  <si>
    <t>2026-09-23T19:58:32</t>
  </si>
  <si>
    <t>2026-09-23T19:58:33</t>
  </si>
  <si>
    <t>2026-09-23T19:58:34</t>
  </si>
  <si>
    <t>2026-09-23T19:58:35</t>
  </si>
  <si>
    <t>2026-09-23T19:58:36</t>
  </si>
  <si>
    <t>2026-09-23T19:58:37</t>
  </si>
  <si>
    <t>2026-09-23T19:58:38</t>
  </si>
  <si>
    <t>2026-09-23T19:58:39</t>
  </si>
  <si>
    <t>2026-09-23T19:58:43</t>
  </si>
  <si>
    <t>2026-09-23T19:58:51</t>
  </si>
  <si>
    <t>2026-09-23T19:58:52</t>
  </si>
  <si>
    <t>2026-09-23T19:58:53</t>
  </si>
  <si>
    <t>2026-09-23T19:58:55</t>
  </si>
  <si>
    <t>2026-09-23T19:58:56</t>
  </si>
  <si>
    <t>2026-09-23T19:58:57</t>
  </si>
  <si>
    <t>2026-09-23T19:58:58</t>
  </si>
  <si>
    <t>2026-09-23T19:58:59</t>
  </si>
  <si>
    <t>2026-09-23T19:59:00</t>
  </si>
  <si>
    <t>2026-09-23T19:59:01</t>
  </si>
  <si>
    <t>2026-09-23T19:59:02</t>
  </si>
  <si>
    <t>2026-09-23T19:59:03</t>
  </si>
  <si>
    <t>2026-09-23T19:59:04</t>
  </si>
  <si>
    <t>2026-09-23T19:59:05</t>
  </si>
  <si>
    <t>2026-09-23T19:59:06</t>
  </si>
  <si>
    <t>2026-09-23T19:59:07</t>
  </si>
  <si>
    <t>2026-09-23T19:59:08</t>
  </si>
  <si>
    <t>2026-09-23T19:59:20</t>
  </si>
  <si>
    <t>2026-09-23T19:59:23</t>
  </si>
  <si>
    <t>2026-09-23T19:59:24</t>
  </si>
  <si>
    <t>2026-09-23T19:59:35</t>
  </si>
  <si>
    <t>2026-09-23T19:59:36</t>
  </si>
  <si>
    <t>2026-09-23T19:59:56</t>
  </si>
  <si>
    <t>2026-09-23T19:59:57</t>
  </si>
  <si>
    <t>2026-09-23T19:59:59</t>
  </si>
  <si>
    <t>2026-09-23T20:00:01</t>
  </si>
  <si>
    <t>2026-09-23T20:00:19</t>
  </si>
  <si>
    <t>2026-09-23T20:00:22</t>
  </si>
  <si>
    <t>2026-09-23T20:00:27</t>
  </si>
  <si>
    <t>Per-question API call counts and sums by model type — route: answer_theoretical</t>
  </si>
  <si>
    <t>question</t>
  </si>
  <si>
    <t>perplexity_search</t>
  </si>
  <si>
    <t>sonar-pro</t>
  </si>
  <si>
    <t>text-embedding_3_small</t>
  </si>
  <si>
    <t>n_calls</t>
  </si>
  <si>
    <t>AVERAGE (per question in route)</t>
  </si>
  <si>
    <t>started_at</t>
  </si>
  <si>
    <t>route</t>
  </si>
  <si>
    <t>n_api_calls</t>
  </si>
  <si>
    <t>total_cost_usd</t>
  </si>
  <si>
    <t>openai_cost_usd</t>
  </si>
  <si>
    <t>perplexity_cost_usd</t>
  </si>
  <si>
    <t>serper_cost_usd</t>
  </si>
  <si>
    <t>total_time_s</t>
  </si>
  <si>
    <t>time_agent_reasoning_s</t>
  </si>
  <si>
    <t>time_search_database_s</t>
  </si>
  <si>
    <t>time_search_web_s</t>
  </si>
  <si>
    <t>time_answer_case_s</t>
  </si>
  <si>
    <t>time_answer_theoretical_s</t>
  </si>
  <si>
    <t>time_search_no_results_s</t>
  </si>
  <si>
    <t>time_ask_for_clarification_s</t>
  </si>
  <si>
    <t>time_other_s</t>
  </si>
  <si>
    <t>cost_agent_reasoning_usd</t>
  </si>
  <si>
    <t>cost_search_database_usd</t>
  </si>
  <si>
    <t>cost_search_web_usd</t>
  </si>
  <si>
    <t>cost_answer_case_usd</t>
  </si>
  <si>
    <t>cost_answer_theoretical_usd</t>
  </si>
  <si>
    <t>cost_search_no_results_usd</t>
  </si>
  <si>
    <t>cost_ask_for_clarification_usd</t>
  </si>
  <si>
    <t>cost_other_usd</t>
  </si>
  <si>
    <t>error</t>
  </si>
  <si>
    <t>time_at_question_analysis_s</t>
  </si>
  <si>
    <t>time_at_web_sources_s</t>
  </si>
  <si>
    <t>time_at_outline_s</t>
  </si>
  <si>
    <t>time_at_guideline_retrieval_s</t>
  </si>
  <si>
    <t>time_at_case_examples_s</t>
  </si>
  <si>
    <t>time_at_composition_s</t>
  </si>
  <si>
    <t>time_at_overview_s</t>
  </si>
  <si>
    <t>time_at_v2_shaping_s</t>
  </si>
  <si>
    <t>cost_at_question_analysis_usd</t>
  </si>
  <si>
    <t>cost_at_web_sources_usd</t>
  </si>
  <si>
    <t>cost_at_outline_usd</t>
  </si>
  <si>
    <t>cost_at_guideline_retrieval_usd</t>
  </si>
  <si>
    <t>cost_at_case_examples_usd</t>
  </si>
  <si>
    <t>cost_at_composition_usd</t>
  </si>
  <si>
    <t>cost_at_overview_usd</t>
  </si>
  <si>
    <t>cost_at_v2_shaping_usd</t>
  </si>
  <si>
    <t>20260904-185251-215fe1</t>
  </si>
  <si>
    <t>2026-09-04 18:52:51</t>
  </si>
  <si>
    <t>Get me a list of cases by Carrefour</t>
  </si>
  <si>
    <t>search_database</t>
  </si>
  <si>
    <t>20260904-185804-54b06b</t>
  </si>
  <si>
    <t>2026-09-04 18:58:04</t>
  </si>
  <si>
    <t>Get me Spanish abuse of dominance cases</t>
  </si>
  <si>
    <t>20260904-190137-7b10dd</t>
  </si>
  <si>
    <t>2026-09-04 19:01:37</t>
  </si>
  <si>
    <t>Get me the US case: United States v. Meridian Fastener Corp.,
No. 1:26-cr-00214 (E.D. Pa.)</t>
  </si>
  <si>
    <t>search_database -&gt; search_web</t>
  </si>
  <si>
    <t>20260904-190400-ed6e76</t>
  </si>
  <si>
    <t>2026-09-04 19:04:00</t>
  </si>
  <si>
    <t>Get me French cartel cases in the financial and insurance markets</t>
  </si>
  <si>
    <t>20260904-190634-fece08</t>
  </si>
  <si>
    <t>2026-09-04 19:06:34</t>
  </si>
  <si>
    <t>Get me merger cases by Microsoft</t>
  </si>
  <si>
    <t>20260904-190814-4ec57a</t>
  </si>
  <si>
    <t>2026-09-04 19:08:14</t>
  </si>
  <si>
    <t>Get me American cases by bank of america</t>
  </si>
  <si>
    <t>20260904-191049-25d121</t>
  </si>
  <si>
    <t>2026-09-04 19:10:49</t>
  </si>
  <si>
    <t>Give me a list of EU cases by Apple</t>
  </si>
  <si>
    <t>2026-09-23 19:30:02</t>
  </si>
  <si>
    <t>What are the remedies in merger cases in digital markets?</t>
  </si>
  <si>
    <t>answer_theoretical</t>
  </si>
  <si>
    <t>2026-09-23 19:41:07</t>
  </si>
  <si>
    <t>How to assess dominance in the digital market?</t>
  </si>
  <si>
    <t>2026-09-23 19:45:18</t>
  </si>
  <si>
    <t>How to assess dominance in multi-sided market?</t>
  </si>
  <si>
    <t>2026-09-23 19:48:09</t>
  </si>
  <si>
    <t>How to determine a price-fixing cartel?</t>
  </si>
  <si>
    <t>2026-09-23 19:50:16</t>
  </si>
  <si>
    <t>Explain resale price maintenance and why it is treated as a by-object restriction.</t>
  </si>
  <si>
    <t>2026-09-23 19:54:10</t>
  </si>
  <si>
    <t>What are the most important indicators used in merger assessment?</t>
  </si>
  <si>
    <t>2026-09-23 19:57:09</t>
  </si>
  <si>
    <t>What are the theories of harm in merger cases in digital market?</t>
  </si>
  <si>
    <t>order</t>
  </si>
  <si>
    <t>nested</t>
  </si>
  <si>
    <t>exclusive_s</t>
  </si>
  <si>
    <t>exclusive_cost_usd</t>
  </si>
  <si>
    <t>search_web</t>
  </si>
  <si>
    <t>2026-09-04T18:52:53</t>
  </si>
  <si>
    <t>2026-09-04T18:52:55</t>
  </si>
  <si>
    <t>extraction.extract_competition_fields</t>
  </si>
  <si>
    <t>tools/search_database/database_search_logic/extraction.py:41</t>
  </si>
  <si>
    <t>agent.run_search &gt; database_search.search_database &gt; extraction.extract_competition_fields</t>
  </si>
  <si>
    <t>2026-09-04T18:52:57</t>
  </si>
  <si>
    <t>extraction.analyse_question</t>
  </si>
  <si>
    <t>tools/search_database/database_search_logic/extraction.py:106</t>
  </si>
  <si>
    <t>agent.run_search &gt; database_search.search_database &gt; extraction.parse_extraction &gt; extraction.check_question &gt; extraction.analyse_question</t>
  </si>
  <si>
    <t>2026-09-04T18:53:00</t>
  </si>
  <si>
    <t>utils.case_question</t>
  </si>
  <si>
    <t>tools/utils.py:352</t>
  </si>
  <si>
    <t>agent.run_search &gt; database_search.search_database &gt; case_search_result_response.get_search_results_bot_response &gt; case_search_result_response.craft_search_result_response &gt; case_search_result_response.create_case_summary &gt; utils.case_question</t>
  </si>
  <si>
    <t>2026-09-04T18:53:02</t>
  </si>
  <si>
    <t>2026-09-04T18:53:06</t>
  </si>
  <si>
    <t>2026-09-04T18:53:10</t>
  </si>
  <si>
    <t>2026-09-04T18:53:11</t>
  </si>
  <si>
    <t>2026-09-04T18:53:15</t>
  </si>
  <si>
    <t>2026-09-04T18:53:18</t>
  </si>
  <si>
    <t>2026-09-04T18:53:22</t>
  </si>
  <si>
    <t>2026-09-04T18:53:23</t>
  </si>
  <si>
    <t>2026-09-04T18:53:25</t>
  </si>
  <si>
    <t>2026-09-04T18:53:28</t>
  </si>
  <si>
    <t>2026-09-04T18:53:32</t>
  </si>
  <si>
    <t>2026-09-04T18:53:33</t>
  </si>
  <si>
    <t>2026-09-04T18:53:36</t>
  </si>
  <si>
    <t>2026-09-04T18:53:40</t>
  </si>
  <si>
    <t>2026-09-04T18:53:43</t>
  </si>
  <si>
    <t>2026-09-04T18:53:45</t>
  </si>
  <si>
    <t>2026-09-04T18:53:48</t>
  </si>
  <si>
    <t>2026-09-04T18:53:51</t>
  </si>
  <si>
    <t>2026-09-04T18:53:55</t>
  </si>
  <si>
    <t>2026-09-04T18:53:59</t>
  </si>
  <si>
    <t>2026-09-04T18:54:02</t>
  </si>
  <si>
    <t>2026-09-04T18:54:03</t>
  </si>
  <si>
    <t>2026-09-04T18:54:07</t>
  </si>
  <si>
    <t>2026-09-04T18:54:08</t>
  </si>
  <si>
    <t>2026-09-04T18:54:10</t>
  </si>
  <si>
    <t>2026-09-04T18:54:11</t>
  </si>
  <si>
    <t>2026-09-04T18:54:14</t>
  </si>
  <si>
    <t>2026-09-04T18:54:18</t>
  </si>
  <si>
    <t>2026-09-04T18:54:21</t>
  </si>
  <si>
    <t>2026-09-04T18:54:22</t>
  </si>
  <si>
    <t>2026-09-04T18:54:25</t>
  </si>
  <si>
    <t>2026-09-04T18:54:26</t>
  </si>
  <si>
    <t>2026-09-04T18:54:29</t>
  </si>
  <si>
    <t>2026-09-04T18:54:30</t>
  </si>
  <si>
    <t>2026-09-04T18:54:32</t>
  </si>
  <si>
    <t>2026-09-04T18:54:35</t>
  </si>
  <si>
    <t>2026-09-04T18:54:39</t>
  </si>
  <si>
    <t>2026-09-04T18:54:42</t>
  </si>
  <si>
    <t>2026-09-04T18:54:43</t>
  </si>
  <si>
    <t>2026-09-04T18:54:46</t>
  </si>
  <si>
    <t>2026-09-04T18:54:49</t>
  </si>
  <si>
    <t>2026-09-04T18:58:06</t>
  </si>
  <si>
    <t>2026-09-04T18:58:10</t>
  </si>
  <si>
    <t>2026-09-04T18:58:12</t>
  </si>
  <si>
    <t>2026-09-04T18:58:17</t>
  </si>
  <si>
    <t>2026-09-04T18:58:19</t>
  </si>
  <si>
    <t>2026-09-04T18:58:20</t>
  </si>
  <si>
    <t>2026-09-04T18:58:23</t>
  </si>
  <si>
    <t>2026-09-04T18:58:29</t>
  </si>
  <si>
    <t>2026-09-04T18:58:34</t>
  </si>
  <si>
    <t>2026-09-04T18:58:38</t>
  </si>
  <si>
    <t>2026-09-04T18:58:42</t>
  </si>
  <si>
    <t>2026-09-04T18:58:43</t>
  </si>
  <si>
    <t>2026-09-04T18:58:45</t>
  </si>
  <si>
    <t>2026-09-04T18:58:49</t>
  </si>
  <si>
    <t>2026-09-04T18:58:56</t>
  </si>
  <si>
    <t>2026-09-04T18:59:00</t>
  </si>
  <si>
    <t>2026-09-04T18:59:01</t>
  </si>
  <si>
    <t>2026-09-04T18:59:06</t>
  </si>
  <si>
    <t>2026-09-04T18:59:13</t>
  </si>
  <si>
    <t>2026-09-04T18:59:14</t>
  </si>
  <si>
    <t>2026-09-04T18:59:17</t>
  </si>
  <si>
    <t>2026-09-04T18:59:20</t>
  </si>
  <si>
    <t>2026-09-04T18:59:21</t>
  </si>
  <si>
    <t>2026-09-04T18:59:25</t>
  </si>
  <si>
    <t>2026-09-04T18:59:29</t>
  </si>
  <si>
    <t>2026-09-04T18:59:32</t>
  </si>
  <si>
    <t>2026-09-04T18:59:36</t>
  </si>
  <si>
    <t>2026-09-04T18:59:37</t>
  </si>
  <si>
    <t>2026-09-04T18:59:39</t>
  </si>
  <si>
    <t>2026-09-04T18:59:43</t>
  </si>
  <si>
    <t>2026-09-04T18:59:44</t>
  </si>
  <si>
    <t>2026-09-04T18:59:48</t>
  </si>
  <si>
    <t>2026-09-04T18:59:53</t>
  </si>
  <si>
    <t>2026-09-04T18:59:57</t>
  </si>
  <si>
    <t>2026-09-04T19:00:01</t>
  </si>
  <si>
    <t>2026-09-04T19:00:03</t>
  </si>
  <si>
    <t>2026-09-04T19:00:05</t>
  </si>
  <si>
    <t>2026-09-04T19:00:09</t>
  </si>
  <si>
    <t>2026-09-04T19:00:14</t>
  </si>
  <si>
    <t>2026-09-04T19:00:18</t>
  </si>
  <si>
    <t>2026-09-04T19:00:22</t>
  </si>
  <si>
    <t>2026-09-04T19:00:23</t>
  </si>
  <si>
    <t>2026-09-04T19:00:27</t>
  </si>
  <si>
    <t>2026-09-04T19:01:40</t>
  </si>
  <si>
    <t>2026-09-04T19:01:43</t>
  </si>
  <si>
    <t>2026-09-04T19:01:45</t>
  </si>
  <si>
    <t>2026-09-04T19:01:48</t>
  </si>
  <si>
    <t>embeddings.get_embeddings</t>
  </si>
  <si>
    <t>tools/search_database/database_search_logic/embeddings.py:7</t>
  </si>
  <si>
    <t>agent.run_search &gt; database_search.search_database &gt; search.search_case_database &gt; search.find_similar_titles &gt; embeddings.get_embeddings</t>
  </si>
  <si>
    <t>2026-09-04T19:01:49</t>
  </si>
  <si>
    <t>2026-09-04T19:01:51</t>
  </si>
  <si>
    <t>2026-09-04T19:01:52</t>
  </si>
  <si>
    <t>2026-09-04T19:01:54</t>
  </si>
  <si>
    <t>2026-09-04T19:01:55</t>
  </si>
  <si>
    <t>2026-09-04T19:01:57</t>
  </si>
  <si>
    <t>2026-09-04T19:01:59</t>
  </si>
  <si>
    <t>2026-09-04T19:02:01</t>
  </si>
  <si>
    <t>2026-09-04T19:02:03</t>
  </si>
  <si>
    <t>2026-09-04T19:02:05</t>
  </si>
  <si>
    <t>2026-09-04T19:02:06</t>
  </si>
  <si>
    <t>2026-09-04T19:02:08</t>
  </si>
  <si>
    <t>2026-09-04T19:02:10</t>
  </si>
  <si>
    <t>2026-09-04T19:02:12</t>
  </si>
  <si>
    <t>2026-09-04T19:02:13</t>
  </si>
  <si>
    <t>2026-09-04T19:02:15</t>
  </si>
  <si>
    <t>2026-09-04T19:02:18</t>
  </si>
  <si>
    <t>2026-09-04T19:02:19</t>
  </si>
  <si>
    <t>2026-09-04T19:02:21</t>
  </si>
  <si>
    <t>2026-09-04T19:02:23</t>
  </si>
  <si>
    <t>2026-09-04T19:02:24</t>
  </si>
  <si>
    <t>2026-09-04T19:02:25</t>
  </si>
  <si>
    <t>2026-09-04T19:02:27</t>
  </si>
  <si>
    <t>2026-09-04T19:02:30</t>
  </si>
  <si>
    <t>2026-09-04T19:02:32</t>
  </si>
  <si>
    <t>case_search_query_metadata_extraction.get_case_search_metadata</t>
  </si>
  <si>
    <t>tools/search_web/web_search_logic/case_search_query_metadata_extraction.py:51</t>
  </si>
  <si>
    <t>agent.run_search &gt; web_search.search_web &gt; case_search_query_metadata_extraction.get_case_search_metadata</t>
  </si>
  <si>
    <t>2026-09-04T19:02:39</t>
  </si>
  <si>
    <t>chat, context=high, exact cost from API</t>
  </si>
  <si>
    <t>case_search_query_get_names.get_case_search_response_names_v2</t>
  </si>
  <si>
    <t>tools/search_web/web_search_logic/case_search_query_get_names.py:80</t>
  </si>
  <si>
    <t>agent.run_search &gt; web_search.search_web &gt; case_search_result_metadata_check.retrieve_and_validate_cases &gt; case_search_query_get_names.get_case_search_response_names_v2</t>
  </si>
  <si>
    <t>2026-09-04T19:02:41</t>
  </si>
  <si>
    <t>case_search_query_get_links.search_google</t>
  </si>
  <si>
    <t>tools/search_web/web_search_logic/case_search_query_get_links.py:37</t>
  </si>
  <si>
    <t>agent.run_search &gt; web_search.search_web &gt; case_search_result_metadata_check.retrieve_and_validate_cases &gt; case_search_result_existence_check.check_case_existence &gt; case_search_query_get_links.search_web_for_case &gt; case_search_query_get_links.search_google</t>
  </si>
  <si>
    <t>2026-09-04T19:02:43</t>
  </si>
  <si>
    <t>perplexity-search</t>
  </si>
  <si>
    <t>search API</t>
  </si>
  <si>
    <t>case_search_query_get_links.search_perplexity</t>
  </si>
  <si>
    <t>tools/search_web/web_search_logic/case_search_query_get_links.py:65</t>
  </si>
  <si>
    <t>agent.run_search &gt; web_search.search_web &gt; case_search_result_metadata_check.retrieve_and_validate_cases &gt; case_search_result_existence_check.check_case_existence &gt; case_search_query_get_links.search_web_for_case &gt; case_search_query_get_links.search_perplexity</t>
  </si>
  <si>
    <t>2026-09-04T19:02:46</t>
  </si>
  <si>
    <t>2026-09-04T19:02:48</t>
  </si>
  <si>
    <t>2026-09-04T19:02:49</t>
  </si>
  <si>
    <t>2026-09-04T19:02:52</t>
  </si>
  <si>
    <t>2026-09-04T19:02:53</t>
  </si>
  <si>
    <t>2026-09-04T19:02:56</t>
  </si>
  <si>
    <t>2026-09-04T19:02:57</t>
  </si>
  <si>
    <t>2026-09-04T19:02:59</t>
  </si>
  <si>
    <t>2026-09-04T19:03:04</t>
  </si>
  <si>
    <t>case_search_result_metadata_check.search_result_descr_metadata_check</t>
  </si>
  <si>
    <t>tools/search_web/web_search_logic/case_search_result_metadata_check.py:55</t>
  </si>
  <si>
    <t>agent.run_search &gt; web_search.search_web &gt; case_search_result_metadata_check.retrieve_and_validate_cases &gt; case_search_result_metadata_check.get_case_descr_metadata_check &gt; case_search_result_metadata_check.search_result_descr_metadata_check</t>
  </si>
  <si>
    <t>2026-09-04T19:03:09</t>
  </si>
  <si>
    <t>2026-09-04T19:03:13</t>
  </si>
  <si>
    <t>2026-09-04T19:03:22</t>
  </si>
  <si>
    <t>2026-09-04T19:03:27</t>
  </si>
  <si>
    <t>2026-09-04T19:03:31</t>
  </si>
  <si>
    <t>case_search_result_content_metadata_check.check_case_decision_match</t>
  </si>
  <si>
    <t>tools/search_web/web_search_logic/case_search_result_content_metadata_check.py:76</t>
  </si>
  <si>
    <t>agent.run_search &gt; web_search.search_web &gt; case_search_result_content_metadata_check.filter_post_search_cases &gt; case_search_result_content_metadata_check.check_case_decision_match</t>
  </si>
  <si>
    <t>tools/search_web/web_search_logic/case_search_result_content_metadata_check.py:95</t>
  </si>
  <si>
    <t>2026-09-04T19:03:32</t>
  </si>
  <si>
    <t>2026-09-04T19:03:38</t>
  </si>
  <si>
    <t>2026-09-04T19:03:39</t>
  </si>
  <si>
    <t>2026-09-04T19:03:44</t>
  </si>
  <si>
    <t>2026-09-04T19:04:03</t>
  </si>
  <si>
    <t>2026-09-04T19:04:06</t>
  </si>
  <si>
    <t>2026-09-04T19:04:11</t>
  </si>
  <si>
    <t>2026-09-04T19:04:18</t>
  </si>
  <si>
    <t>2026-09-04T19:04:22</t>
  </si>
  <si>
    <t>2026-09-04T19:04:26</t>
  </si>
  <si>
    <t>2026-09-04T19:04:31</t>
  </si>
  <si>
    <t>2026-09-04T19:04:35</t>
  </si>
  <si>
    <t>2026-09-04T19:04:39</t>
  </si>
  <si>
    <t>2026-09-04T19:04:40</t>
  </si>
  <si>
    <t>2026-09-04T19:04:45</t>
  </si>
  <si>
    <t>2026-09-04T19:04:46</t>
  </si>
  <si>
    <t>2026-09-04T19:04:48</t>
  </si>
  <si>
    <t>2026-09-04T19:04:49</t>
  </si>
  <si>
    <t>2026-09-04T19:04:52</t>
  </si>
  <si>
    <t>2026-09-04T19:04:56</t>
  </si>
  <si>
    <t>2026-09-04T19:04:57</t>
  </si>
  <si>
    <t>2026-09-04T19:05:00</t>
  </si>
  <si>
    <t>2026-09-04T19:05:04</t>
  </si>
  <si>
    <t>2026-09-04T19:05:08</t>
  </si>
  <si>
    <t>2026-09-04T19:05:09</t>
  </si>
  <si>
    <t>2026-09-04T19:05:12</t>
  </si>
  <si>
    <t>2026-09-04T19:05:15</t>
  </si>
  <si>
    <t>2026-09-04T19:05:16</t>
  </si>
  <si>
    <t>2026-09-04T19:05:21</t>
  </si>
  <si>
    <t>2026-09-04T19:05:22</t>
  </si>
  <si>
    <t>2026-09-04T19:05:25</t>
  </si>
  <si>
    <t>2026-09-04T19:05:26</t>
  </si>
  <si>
    <t>2026-09-04T19:05:31</t>
  </si>
  <si>
    <t>2026-09-04T19:05:36</t>
  </si>
  <si>
    <t>2026-09-04T19:05:37</t>
  </si>
  <si>
    <t>2026-09-04T19:05:40</t>
  </si>
  <si>
    <t>2026-09-04T19:05:41</t>
  </si>
  <si>
    <t>2026-09-04T19:05:44</t>
  </si>
  <si>
    <t>2026-09-04T19:05:49</t>
  </si>
  <si>
    <t>2026-09-04T19:05:53</t>
  </si>
  <si>
    <t>2026-09-04T19:05:54</t>
  </si>
  <si>
    <t>2026-09-04T19:05:58</t>
  </si>
  <si>
    <t>2026-09-04T19:06:02</t>
  </si>
  <si>
    <t>2026-09-04T19:06:04</t>
  </si>
  <si>
    <t>2026-09-04T19:06:06</t>
  </si>
  <si>
    <t>2026-09-04T19:06:10</t>
  </si>
  <si>
    <t>2026-09-04T19:06:16</t>
  </si>
  <si>
    <t>2026-09-04T19:06:17</t>
  </si>
  <si>
    <t>2026-09-04T19:06:21</t>
  </si>
  <si>
    <t>2026-09-04T19:06:25</t>
  </si>
  <si>
    <t>2026-09-04T19:06:29</t>
  </si>
  <si>
    <t>2026-09-04T19:06:37</t>
  </si>
  <si>
    <t>2026-09-04T19:06:39</t>
  </si>
  <si>
    <t>2026-09-04T19:06:41</t>
  </si>
  <si>
    <t>2026-09-04T19:06:50</t>
  </si>
  <si>
    <t>2026-09-04T19:06:52</t>
  </si>
  <si>
    <t>2026-09-04T19:06:55</t>
  </si>
  <si>
    <t>2026-09-04T19:07:00</t>
  </si>
  <si>
    <t>2026-09-04T19:07:04</t>
  </si>
  <si>
    <t>2026-09-04T19:07:08</t>
  </si>
  <si>
    <t>2026-09-04T19:07:13</t>
  </si>
  <si>
    <t>2026-09-04T19:07:16</t>
  </si>
  <si>
    <t>2026-09-04T19:07:20</t>
  </si>
  <si>
    <t>2026-09-04T19:07:24</t>
  </si>
  <si>
    <t>2026-09-04T19:07:25</t>
  </si>
  <si>
    <t>2026-09-04T19:07:28</t>
  </si>
  <si>
    <t>2026-09-04T19:07:32</t>
  </si>
  <si>
    <t>2026-09-04T19:07:33</t>
  </si>
  <si>
    <t>2026-09-04T19:07:36</t>
  </si>
  <si>
    <t>2026-09-04T19:07:37</t>
  </si>
  <si>
    <t>2026-09-04T19:07:40</t>
  </si>
  <si>
    <t>2026-09-04T19:07:43</t>
  </si>
  <si>
    <t>2026-09-04T19:07:44</t>
  </si>
  <si>
    <t>2026-09-04T19:07:48</t>
  </si>
  <si>
    <t>2026-09-04T19:07:52</t>
  </si>
  <si>
    <t>2026-09-04T19:07:53</t>
  </si>
  <si>
    <t>2026-09-04T19:07:57</t>
  </si>
  <si>
    <t>2026-09-04T19:08:01</t>
  </si>
  <si>
    <t>2026-09-04T19:08:17</t>
  </si>
  <si>
    <t>2026-09-04T19:08:19</t>
  </si>
  <si>
    <t>2026-09-04T19:08:22</t>
  </si>
  <si>
    <t>2026-09-04T19:08:24</t>
  </si>
  <si>
    <t>2026-09-04T19:08:26</t>
  </si>
  <si>
    <t>2026-09-04T19:08:35</t>
  </si>
  <si>
    <t>2026-09-04T19:08:37</t>
  </si>
  <si>
    <t>2026-09-04T19:08:40</t>
  </si>
  <si>
    <t>2026-09-04T19:08:42</t>
  </si>
  <si>
    <t>2026-09-04T19:08:44</t>
  </si>
  <si>
    <t>2026-09-04T19:08:45</t>
  </si>
  <si>
    <t>2026-09-04T19:08:48</t>
  </si>
  <si>
    <t>2026-09-04T19:08:49</t>
  </si>
  <si>
    <t>2026-09-04T19:08:56</t>
  </si>
  <si>
    <t>2026-09-04T19:08:58</t>
  </si>
  <si>
    <t>2026-09-04T19:09:00</t>
  </si>
  <si>
    <t>2026-09-04T19:09:05</t>
  </si>
  <si>
    <t>2026-09-04T19:09:09</t>
  </si>
  <si>
    <t>2026-09-04T19:09:14</t>
  </si>
  <si>
    <t>2026-09-04T19:09:19</t>
  </si>
  <si>
    <t>2026-09-04T19:09:24</t>
  </si>
  <si>
    <t>2026-09-04T19:09:25</t>
  </si>
  <si>
    <t>2026-09-04T19:09:26</t>
  </si>
  <si>
    <t>2026-09-04T19:09:38</t>
  </si>
  <si>
    <t>2026-09-04T19:09:39</t>
  </si>
  <si>
    <t>2026-09-04T19:09:40</t>
  </si>
  <si>
    <t>2026-09-04T19:09:51</t>
  </si>
  <si>
    <t>2026-09-04T19:09:52</t>
  </si>
  <si>
    <t>2026-09-04T19:09:59</t>
  </si>
  <si>
    <t>agent.run_search &gt; web_search.search_web &gt; case_search_result_response.get_search_results_bot_response &gt; case_search_result_response.create_search_indexes &gt; utils.case_index_setup</t>
  </si>
  <si>
    <t>2026-09-04T19:10:00</t>
  </si>
  <si>
    <t>agent.run_search &gt; web_search.search_web &gt; case_search_result_response.get_search_results_bot_response &gt; case_search_result_response.craft_search_result_response &gt; case_search_result_response.create_case_summary &gt; utils.case_question</t>
  </si>
  <si>
    <t>2026-09-04T19:10:03</t>
  </si>
  <si>
    <t>2026-09-04T19:10:04</t>
  </si>
  <si>
    <t>2026-09-04T19:10:09</t>
  </si>
  <si>
    <t>2026-09-04T19:10:10</t>
  </si>
  <si>
    <t>2026-09-04T19:10:13</t>
  </si>
  <si>
    <t>2026-09-04T19:10:17</t>
  </si>
  <si>
    <t>2026-09-04T19:10:21</t>
  </si>
  <si>
    <t>2026-09-04T19:10:22</t>
  </si>
  <si>
    <t>2026-09-04T19:10:25</t>
  </si>
  <si>
    <t>2026-09-04T19:10:28</t>
  </si>
  <si>
    <t>2026-09-04T19:10:32</t>
  </si>
  <si>
    <t>2026-09-04T19:10:35</t>
  </si>
  <si>
    <t>2026-09-04T19:10:36</t>
  </si>
  <si>
    <t>2026-09-04T19:10:39</t>
  </si>
  <si>
    <t>2026-09-04T19:10:52</t>
  </si>
  <si>
    <t>2026-09-04T19:10:54</t>
  </si>
  <si>
    <t>2026-09-04T19:10:56</t>
  </si>
  <si>
    <t>2026-09-04T19:11:30</t>
  </si>
  <si>
    <t>agent.run_search &gt; database_search.search_database &gt; case_search_result_response.get_search_results_bot_response &gt; case_search_result_response.create_search_indexes &gt; utils.case_index_setup</t>
  </si>
  <si>
    <t>2026-09-04T19:11:31</t>
  </si>
  <si>
    <t>2026-09-04T19:11:44</t>
  </si>
  <si>
    <t>2026-09-04T19:11:46</t>
  </si>
  <si>
    <t>2026-09-04T19:11:48</t>
  </si>
  <si>
    <t>2026-09-04T19:11:51</t>
  </si>
  <si>
    <t>2026-09-04T19:11:52</t>
  </si>
  <si>
    <t>2026-09-04T19:11:56</t>
  </si>
  <si>
    <t>2026-09-04T19:11:57</t>
  </si>
  <si>
    <t>2026-09-04T19:12:00</t>
  </si>
  <si>
    <t>2026-09-04T19:12:01</t>
  </si>
  <si>
    <t>2026-09-04T19:12:08</t>
  </si>
  <si>
    <t>2026-09-04T19:12:09</t>
  </si>
  <si>
    <t>2026-09-04T19:12:13</t>
  </si>
  <si>
    <t>2026-09-04T19:12:14</t>
  </si>
  <si>
    <t>2026-09-04T19:12:16</t>
  </si>
  <si>
    <t>2026-09-04T19:12:19</t>
  </si>
  <si>
    <t>2026-09-04T19:12:20</t>
  </si>
  <si>
    <t>2026-09-04T19:12:24</t>
  </si>
  <si>
    <t>2026-09-04T19:12:28</t>
  </si>
  <si>
    <t>2026-09-04T19:12:32</t>
  </si>
  <si>
    <t>2026-09-04T19:12:33</t>
  </si>
  <si>
    <t>2026-09-04T19:12:36</t>
  </si>
  <si>
    <t>2026-09-04T19:12:38</t>
  </si>
  <si>
    <t>2026-09-04T19:12:39</t>
  </si>
  <si>
    <t>2026-09-04T19:12:40</t>
  </si>
  <si>
    <t>2026-09-04T19:12:42</t>
  </si>
  <si>
    <t>2026-09-04T19:12:50</t>
  </si>
  <si>
    <t>2026-09-04T19:12:51</t>
  </si>
  <si>
    <t>2026-09-04T19:12:54</t>
  </si>
  <si>
    <t>2026-09-04T19:12:57</t>
  </si>
  <si>
    <t>2026-09-04T19:12:58</t>
  </si>
  <si>
    <t>2026-09-04T19:13:00</t>
  </si>
  <si>
    <t>2026-09-04T19:13:01</t>
  </si>
  <si>
    <t>2026-09-04T19:13:03</t>
  </si>
  <si>
    <t>2026-09-04T19:13:06</t>
  </si>
  <si>
    <t>2026-09-04T19:13:07</t>
  </si>
  <si>
    <t>2026-09-04T19:13:11</t>
  </si>
  <si>
    <t>2026-09-04T19:13:18</t>
  </si>
  <si>
    <t>2026-09-04T19:13:19</t>
  </si>
  <si>
    <t>2026-09-04T19:13:23</t>
  </si>
  <si>
    <t>2026-09-04T19:13:26</t>
  </si>
  <si>
    <t>2026-09-04T19:13:27</t>
  </si>
  <si>
    <t>2026-09-04T19:13:28</t>
  </si>
  <si>
    <t>2026-09-04T19:13:32</t>
  </si>
  <si>
    <t>2026-09-04T19:13:36</t>
  </si>
  <si>
    <t>2026-09-04T19:13:41</t>
  </si>
  <si>
    <t>2026-09-04T19:13:45</t>
  </si>
  <si>
    <t>2026-09-04T19:13:46</t>
  </si>
  <si>
    <t>2026-09-04T19:13:49</t>
  </si>
  <si>
    <t>answer_theoretical — gpt-4o cost, API calls and runtime by stage, accounting for parallel calls (23 Sep 2026 runs, n = 7)</t>
  </si>
  <si>
    <t>Summed call time adds every call’s duration. Clock time merges calls that overlap (start = end timestamp − duration; helper columns R–V on the answer_theoretical tab), so it is the time the question actually spent waiting. Timestamps are whole seconds, so clock times are ±~1 s.</t>
  </si>
  <si>
    <t>1. Per stage — gpt-4o calls only (per question)</t>
  </si>
  <si>
    <t>Stage</t>
  </si>
  <si>
    <t>Mean gpt-4o calls</t>
  </si>
  <si>
    <t>Mean cost (USD)</t>
  </si>
  <si>
    <t>Median cost (USD)</t>
  </si>
  <si>
    <t>Mean summed call time (s)</t>
  </si>
  <si>
    <t>Mean clock time (s)</t>
  </si>
  <si>
    <t>Median clock time (s)</t>
  </si>
  <si>
    <t>Share of route cost</t>
  </si>
  <si>
    <t>Share of route run time</t>
  </si>
  <si>
    <t>ReAct agent reasoning</t>
  </si>
  <si>
    <t>Stage 3 – Outline planner</t>
  </si>
  <si>
    <t>Stage 4 – Case descriptions</t>
  </si>
  <si>
    <t>Stage 5 – Section-by-section answer</t>
  </si>
  <si>
    <t>Stage 6 – Overview</t>
  </si>
  <si>
    <t>All five gpt-4o stages</t>
  </si>
  <si>
    <t>Medians are not additive, so the combined row shows means only. Cost is unaffected by parallelism: every call is billed.</t>
  </si>
  <si>
    <t>2. Where the run time goes — clock time per question, overlaps merged</t>
  </si>
  <si>
    <t>Component</t>
  </si>
  <si>
    <t>Share of run time</t>
  </si>
  <si>
    <t>gpt-4o (all five stages)</t>
  </si>
  <si>
    <t>Perplexity Sonar (web sources)</t>
  </si>
  <si>
    <t>Embeddings (guideline + case retrieval)</t>
  </si>
  <si>
    <t>Serper (Google search)</t>
  </si>
  <si>
    <t>gpt-4o-mini (question analysis)</t>
  </si>
  <si>
    <t>All API calls combined (overlaps across models merged)</t>
  </si>
  <si>
    <t>Outside API calls (local processing, retrieval logic)</t>
  </si>
  <si>
    <t>Total run time</t>
  </si>
  <si>
    <t>Model rows can slightly exceed the combined row because calls to different models sometimes overlap.</t>
  </si>
  <si>
    <t>3. Per question — gpt-4o calls only</t>
  </si>
  <si>
    <t>All gpt-4o</t>
  </si>
  <si>
    <t>gpt-4o calls</t>
  </si>
  <si>
    <t>Cost (USD)</t>
  </si>
  <si>
    <t>Summed call time (s)</t>
  </si>
  <si>
    <t>Clock time (s)</t>
  </si>
  <si>
    <t>Run time (s)</t>
  </si>
  <si>
    <t>gpt-4o share of run time</t>
  </si>
  <si>
    <t>Mean</t>
  </si>
  <si>
    <t>Median</t>
  </si>
  <si>
    <t>Total (7 questions)</t>
  </si>
  <si>
    <t>Per-question API call counts and sums by model type — route: search_database</t>
  </si>
  <si>
    <t>Per-question API call counts and sums by model type — route: search_database -&gt; search_web</t>
  </si>
  <si>
    <t>duration_s (parallel calls not taken into account, please check theoretical_by_stage)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</si>
</sst>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\$0.0000"/>
    <numFmt numFmtId="166" formatCode="0.0%"/>
    <numFmt numFmtId="167" formatCode="yyyy\-mm\-dd\ hh:mm:ss.000"/>
    <numFmt numFmtId="168" formatCode="0.000"/>
  </numFmts>
  <fonts count="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2"/>
      <name val="Cambria"/>
      <charset val="1"/>
    </font>
    <font>
      <b/>
      <sz val="12"/>
      <name val="Calibri"/>
    </font>
    <font>
      <i/>
      <sz val="11"/>
      <color rgb="FF595959"/>
      <name val="Calibri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BDD7EE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3" borderId="1" xfId="0" applyFont="1" applyFill="1" applyBorder="1"/>
    <xf numFmtId="0" fontId="0" fillId="2" borderId="0" xfId="0" applyFill="1"/>
    <xf numFmtId="0" fontId="2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5" xfId="0" applyBorder="1"/>
    <xf numFmtId="164" fontId="0" fillId="0" borderId="5" xfId="0" applyNumberFormat="1" applyBorder="1"/>
    <xf numFmtId="165" fontId="0" fillId="0" borderId="5" xfId="0" applyNumberFormat="1" applyBorder="1"/>
    <xf numFmtId="166" fontId="0" fillId="0" borderId="5" xfId="0" applyNumberFormat="1" applyBorder="1"/>
    <xf numFmtId="0" fontId="5" fillId="6" borderId="5" xfId="0" applyFont="1" applyFill="1" applyBorder="1"/>
    <xf numFmtId="164" fontId="5" fillId="6" borderId="5" xfId="0" applyNumberFormat="1" applyFont="1" applyFill="1" applyBorder="1"/>
    <xf numFmtId="165" fontId="5" fillId="6" borderId="5" xfId="0" applyNumberFormat="1" applyFont="1" applyFill="1" applyBorder="1"/>
    <xf numFmtId="166" fontId="5" fillId="6" borderId="5" xfId="0" applyNumberFormat="1" applyFont="1" applyFill="1" applyBorder="1"/>
    <xf numFmtId="0" fontId="5" fillId="5" borderId="5" xfId="0" applyFont="1" applyFill="1" applyBorder="1" applyAlignment="1">
      <alignment horizontal="center" vertical="center" wrapText="1"/>
    </xf>
    <xf numFmtId="1" fontId="0" fillId="0" borderId="5" xfId="0" applyNumberFormat="1" applyBorder="1"/>
    <xf numFmtId="1" fontId="5" fillId="6" borderId="5" xfId="0" applyNumberFormat="1" applyFont="1" applyFill="1" applyBorder="1"/>
    <xf numFmtId="167" fontId="0" fillId="0" borderId="0" xfId="0" applyNumberFormat="1"/>
    <xf numFmtId="168" fontId="0" fillId="0" borderId="0" xfId="0" applyNumberFormat="1"/>
    <xf numFmtId="0" fontId="1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/>
    <xf numFmtId="0" fontId="0" fillId="0" borderId="4" xfId="0" applyBorder="1"/>
    <xf numFmtId="0" fontId="5" fillId="7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5"/>
  <sheetViews>
    <sheetView topLeftCell="E1" zoomScaleNormal="100" workbookViewId="0">
      <pane ySplit="1" topLeftCell="A2" activePane="bottomLeft" state="frozen"/>
      <selection pane="bottomLeft" activeCell="K9" sqref="K9:K15"/>
    </sheetView>
  </sheetViews>
  <sheetFormatPr defaultColWidth="8.6328125" defaultRowHeight="14.5" x14ac:dyDescent="0.35"/>
  <cols>
    <col min="1" max="3" width="12" customWidth="1"/>
    <col min="4" max="4" width="68.7265625" customWidth="1"/>
    <col min="5" max="5" width="28.54296875" customWidth="1"/>
    <col min="6" max="6" width="13" customWidth="1"/>
    <col min="7" max="7" width="16" customWidth="1"/>
    <col min="8" max="8" width="17" customWidth="1"/>
    <col min="9" max="9" width="21" customWidth="1"/>
    <col min="10" max="10" width="17" customWidth="1"/>
    <col min="11" max="11" width="14" customWidth="1"/>
    <col min="12" max="13" width="24" customWidth="1"/>
    <col min="14" max="14" width="19" customWidth="1"/>
    <col min="15" max="15" width="20" customWidth="1"/>
    <col min="16" max="16" width="27" customWidth="1"/>
    <col min="17" max="17" width="26" customWidth="1"/>
    <col min="18" max="18" width="30" customWidth="1"/>
    <col min="19" max="19" width="14" customWidth="1"/>
    <col min="20" max="21" width="26" customWidth="1"/>
    <col min="22" max="22" width="21" customWidth="1"/>
    <col min="23" max="23" width="22" customWidth="1"/>
    <col min="24" max="24" width="29" customWidth="1"/>
    <col min="25" max="25" width="28" customWidth="1"/>
    <col min="26" max="26" width="32" customWidth="1"/>
    <col min="27" max="27" width="16" customWidth="1"/>
    <col min="28" max="28" width="12" customWidth="1"/>
    <col min="29" max="29" width="29" customWidth="1"/>
    <col min="30" max="30" width="23" customWidth="1"/>
    <col min="31" max="31" width="19" customWidth="1"/>
    <col min="32" max="32" width="31" customWidth="1"/>
    <col min="33" max="33" width="25" customWidth="1"/>
    <col min="34" max="34" width="23" customWidth="1"/>
    <col min="35" max="35" width="20" customWidth="1"/>
    <col min="36" max="36" width="22" customWidth="1"/>
    <col min="37" max="37" width="31" customWidth="1"/>
    <col min="38" max="38" width="25" customWidth="1"/>
    <col min="39" max="39" width="21" customWidth="1"/>
    <col min="40" max="40" width="33" customWidth="1"/>
    <col min="41" max="41" width="27" customWidth="1"/>
    <col min="42" max="42" width="25" customWidth="1"/>
    <col min="43" max="43" width="22" customWidth="1"/>
    <col min="44" max="44" width="24" customWidth="1"/>
  </cols>
  <sheetData>
    <row r="1" spans="1:44" ht="14.25" customHeight="1" x14ac:dyDescent="0.35">
      <c r="A1" t="s">
        <v>0</v>
      </c>
      <c r="B1" t="s">
        <v>377</v>
      </c>
      <c r="C1" t="s">
        <v>12</v>
      </c>
      <c r="D1" t="s">
        <v>371</v>
      </c>
      <c r="E1" t="s">
        <v>378</v>
      </c>
      <c r="F1" t="s">
        <v>379</v>
      </c>
      <c r="G1" t="s">
        <v>380</v>
      </c>
      <c r="H1" t="s">
        <v>381</v>
      </c>
      <c r="I1" t="s">
        <v>382</v>
      </c>
      <c r="J1" t="s">
        <v>383</v>
      </c>
      <c r="K1" t="s">
        <v>384</v>
      </c>
      <c r="L1" t="s">
        <v>385</v>
      </c>
      <c r="M1" t="s">
        <v>386</v>
      </c>
      <c r="N1" t="s">
        <v>387</v>
      </c>
      <c r="O1" t="s">
        <v>388</v>
      </c>
      <c r="P1" t="s">
        <v>389</v>
      </c>
      <c r="Q1" t="s">
        <v>390</v>
      </c>
      <c r="R1" t="s">
        <v>391</v>
      </c>
      <c r="S1" t="s">
        <v>392</v>
      </c>
      <c r="T1" t="s">
        <v>393</v>
      </c>
      <c r="U1" t="s">
        <v>394</v>
      </c>
      <c r="V1" t="s">
        <v>395</v>
      </c>
      <c r="W1" t="s">
        <v>396</v>
      </c>
      <c r="X1" t="s">
        <v>397</v>
      </c>
      <c r="Y1" t="s">
        <v>398</v>
      </c>
      <c r="Z1" t="s">
        <v>399</v>
      </c>
      <c r="AA1" t="s">
        <v>400</v>
      </c>
      <c r="AB1" t="s">
        <v>401</v>
      </c>
      <c r="AC1" t="s">
        <v>402</v>
      </c>
      <c r="AD1" t="s">
        <v>403</v>
      </c>
      <c r="AE1" t="s">
        <v>404</v>
      </c>
      <c r="AF1" t="s">
        <v>405</v>
      </c>
      <c r="AG1" t="s">
        <v>406</v>
      </c>
      <c r="AH1" t="s">
        <v>407</v>
      </c>
      <c r="AI1" t="s">
        <v>408</v>
      </c>
      <c r="AJ1" t="s">
        <v>409</v>
      </c>
      <c r="AK1" t="s">
        <v>410</v>
      </c>
      <c r="AL1" t="s">
        <v>411</v>
      </c>
      <c r="AM1" t="s">
        <v>412</v>
      </c>
      <c r="AN1" t="s">
        <v>413</v>
      </c>
      <c r="AO1" t="s">
        <v>414</v>
      </c>
      <c r="AP1" t="s">
        <v>415</v>
      </c>
      <c r="AQ1" t="s">
        <v>416</v>
      </c>
      <c r="AR1" t="s">
        <v>417</v>
      </c>
    </row>
    <row r="2" spans="1:44" ht="14.25" customHeight="1" x14ac:dyDescent="0.35">
      <c r="A2" t="s">
        <v>418</v>
      </c>
      <c r="B2" t="s">
        <v>419</v>
      </c>
      <c r="C2" t="s">
        <v>27</v>
      </c>
      <c r="D2" t="s">
        <v>420</v>
      </c>
      <c r="E2" t="s">
        <v>421</v>
      </c>
      <c r="F2">
        <v>63</v>
      </c>
      <c r="G2">
        <v>1.1049E-2</v>
      </c>
      <c r="H2">
        <v>1.1049E-2</v>
      </c>
      <c r="I2">
        <v>0</v>
      </c>
      <c r="J2">
        <v>0</v>
      </c>
      <c r="K2">
        <v>118.248</v>
      </c>
      <c r="L2">
        <v>1.5860000000000001</v>
      </c>
      <c r="M2">
        <v>115.996</v>
      </c>
      <c r="N2">
        <v>0</v>
      </c>
      <c r="O2">
        <v>0</v>
      </c>
      <c r="P2">
        <v>0</v>
      </c>
      <c r="Q2">
        <v>0</v>
      </c>
      <c r="R2">
        <v>0</v>
      </c>
      <c r="S2">
        <v>0.66500000000000004</v>
      </c>
      <c r="T2">
        <v>2.0830000000000002E-3</v>
      </c>
      <c r="U2">
        <v>8.966E-3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44" ht="14.25" customHeight="1" x14ac:dyDescent="0.35">
      <c r="A3" t="s">
        <v>422</v>
      </c>
      <c r="B3" t="s">
        <v>423</v>
      </c>
      <c r="C3" t="s">
        <v>27</v>
      </c>
      <c r="D3" t="s">
        <v>424</v>
      </c>
      <c r="E3" t="s">
        <v>421</v>
      </c>
      <c r="F3">
        <v>63</v>
      </c>
      <c r="G3">
        <v>2.946E-2</v>
      </c>
      <c r="H3">
        <v>2.946E-2</v>
      </c>
      <c r="I3">
        <v>0</v>
      </c>
      <c r="J3">
        <v>0</v>
      </c>
      <c r="K3">
        <v>143.50899999999999</v>
      </c>
      <c r="L3">
        <v>2.0299999999999998</v>
      </c>
      <c r="M3">
        <v>140.81399999999999</v>
      </c>
      <c r="N3">
        <v>0</v>
      </c>
      <c r="O3">
        <v>0</v>
      </c>
      <c r="P3">
        <v>0</v>
      </c>
      <c r="Q3">
        <v>0</v>
      </c>
      <c r="R3">
        <v>0</v>
      </c>
      <c r="S3">
        <v>0.66500000000000004</v>
      </c>
      <c r="T3">
        <v>2.15E-3</v>
      </c>
      <c r="U3">
        <v>2.7310000000000001E-2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44" s="2" customFormat="1" ht="14.25" customHeight="1" x14ac:dyDescent="0.35">
      <c r="A4" t="s">
        <v>425</v>
      </c>
      <c r="B4" t="s">
        <v>426</v>
      </c>
      <c r="C4" t="s">
        <v>27</v>
      </c>
      <c r="D4" t="s">
        <v>427</v>
      </c>
      <c r="E4" t="s">
        <v>428</v>
      </c>
      <c r="F4">
        <v>52</v>
      </c>
      <c r="G4">
        <v>9.6383999999999997E-2</v>
      </c>
      <c r="H4">
        <v>1.7513999999999998E-2</v>
      </c>
      <c r="I4">
        <v>7.3870000000000005E-2</v>
      </c>
      <c r="J4">
        <v>5.0000000000000001E-3</v>
      </c>
      <c r="K4">
        <v>127.28400000000001</v>
      </c>
      <c r="L4">
        <v>7.12</v>
      </c>
      <c r="M4">
        <v>47.317</v>
      </c>
      <c r="N4">
        <v>72.204999999999998</v>
      </c>
      <c r="O4">
        <v>0</v>
      </c>
      <c r="P4">
        <v>0</v>
      </c>
      <c r="Q4">
        <v>0</v>
      </c>
      <c r="R4">
        <v>0</v>
      </c>
      <c r="S4">
        <v>0.64300000000000002</v>
      </c>
      <c r="T4">
        <v>9.7870000000000006E-3</v>
      </c>
      <c r="U4">
        <v>6.7539999999999996E-3</v>
      </c>
      <c r="V4">
        <v>7.9842999999999997E-2</v>
      </c>
      <c r="W4">
        <v>0</v>
      </c>
      <c r="X4">
        <v>0</v>
      </c>
      <c r="Y4">
        <v>0</v>
      </c>
      <c r="Z4">
        <v>0</v>
      </c>
      <c r="AA4">
        <v>0</v>
      </c>
    </row>
    <row r="5" spans="1:44" ht="14.25" customHeight="1" x14ac:dyDescent="0.35">
      <c r="A5" t="s">
        <v>429</v>
      </c>
      <c r="B5" t="s">
        <v>430</v>
      </c>
      <c r="C5" t="s">
        <v>27</v>
      </c>
      <c r="D5" t="s">
        <v>431</v>
      </c>
      <c r="E5" t="s">
        <v>421</v>
      </c>
      <c r="F5">
        <v>63</v>
      </c>
      <c r="G5">
        <v>3.3387E-2</v>
      </c>
      <c r="H5">
        <v>3.3387E-2</v>
      </c>
      <c r="I5">
        <v>0</v>
      </c>
      <c r="J5">
        <v>0</v>
      </c>
      <c r="K5">
        <v>148.738</v>
      </c>
      <c r="L5">
        <v>2.06</v>
      </c>
      <c r="M5">
        <v>146.03200000000001</v>
      </c>
      <c r="N5">
        <v>0</v>
      </c>
      <c r="O5">
        <v>0</v>
      </c>
      <c r="P5">
        <v>0</v>
      </c>
      <c r="Q5">
        <v>0</v>
      </c>
      <c r="R5">
        <v>0</v>
      </c>
      <c r="S5">
        <v>0.64500000000000002</v>
      </c>
      <c r="T5">
        <v>3.5300000000000002E-3</v>
      </c>
      <c r="U5">
        <v>2.9857000000000002E-2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44" ht="14.25" customHeight="1" x14ac:dyDescent="0.35">
      <c r="A6" t="s">
        <v>432</v>
      </c>
      <c r="B6" t="s">
        <v>433</v>
      </c>
      <c r="C6" t="s">
        <v>27</v>
      </c>
      <c r="D6" t="s">
        <v>434</v>
      </c>
      <c r="E6" t="s">
        <v>421</v>
      </c>
      <c r="F6">
        <v>39</v>
      </c>
      <c r="G6">
        <v>1.2872E-2</v>
      </c>
      <c r="H6">
        <v>1.2872E-2</v>
      </c>
      <c r="I6">
        <v>0</v>
      </c>
      <c r="J6">
        <v>0</v>
      </c>
      <c r="K6">
        <v>86.421999999999997</v>
      </c>
      <c r="L6">
        <v>2.0819999999999999</v>
      </c>
      <c r="M6">
        <v>83.665999999999997</v>
      </c>
      <c r="N6">
        <v>0</v>
      </c>
      <c r="O6">
        <v>0</v>
      </c>
      <c r="P6">
        <v>0</v>
      </c>
      <c r="Q6">
        <v>0</v>
      </c>
      <c r="R6">
        <v>0</v>
      </c>
      <c r="S6">
        <v>0.67400000000000004</v>
      </c>
      <c r="T6">
        <v>2.1069999999999999E-3</v>
      </c>
      <c r="U6">
        <v>1.0763999999999999E-2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44" ht="14.25" customHeight="1" x14ac:dyDescent="0.35">
      <c r="A7" t="s">
        <v>435</v>
      </c>
      <c r="B7" t="s">
        <v>436</v>
      </c>
      <c r="C7" t="s">
        <v>27</v>
      </c>
      <c r="D7" t="s">
        <v>437</v>
      </c>
      <c r="E7" t="s">
        <v>428</v>
      </c>
      <c r="F7">
        <v>50</v>
      </c>
      <c r="G7">
        <v>9.0233999999999995E-2</v>
      </c>
      <c r="H7">
        <v>1.4893999999999999E-2</v>
      </c>
      <c r="I7">
        <v>7.034E-2</v>
      </c>
      <c r="J7">
        <v>5.0000000000000001E-3</v>
      </c>
      <c r="K7">
        <v>145.126</v>
      </c>
      <c r="L7">
        <v>4.2489999999999997</v>
      </c>
      <c r="M7">
        <v>5.0469999999999997</v>
      </c>
      <c r="N7">
        <v>135.16800000000001</v>
      </c>
      <c r="O7">
        <v>0</v>
      </c>
      <c r="P7">
        <v>0</v>
      </c>
      <c r="Q7">
        <v>0</v>
      </c>
      <c r="R7">
        <v>0</v>
      </c>
      <c r="S7">
        <v>0.66300000000000003</v>
      </c>
      <c r="T7">
        <v>4.5100000000000001E-3</v>
      </c>
      <c r="U7">
        <v>1.866E-3</v>
      </c>
      <c r="V7">
        <v>8.3858000000000002E-2</v>
      </c>
      <c r="W7">
        <v>0</v>
      </c>
      <c r="X7">
        <v>0</v>
      </c>
      <c r="Y7">
        <v>0</v>
      </c>
      <c r="Z7">
        <v>0</v>
      </c>
      <c r="AA7">
        <v>0</v>
      </c>
    </row>
    <row r="8" spans="1:44" ht="14.25" customHeight="1" x14ac:dyDescent="0.35">
      <c r="A8" t="s">
        <v>438</v>
      </c>
      <c r="B8" t="s">
        <v>439</v>
      </c>
      <c r="C8" t="s">
        <v>27</v>
      </c>
      <c r="D8" t="s">
        <v>440</v>
      </c>
      <c r="E8" t="s">
        <v>421</v>
      </c>
      <c r="F8">
        <v>66</v>
      </c>
      <c r="G8">
        <v>2.5794000000000001E-2</v>
      </c>
      <c r="H8">
        <v>2.5794000000000001E-2</v>
      </c>
      <c r="I8">
        <v>0</v>
      </c>
      <c r="J8">
        <v>0</v>
      </c>
      <c r="K8">
        <v>180.55199999999999</v>
      </c>
      <c r="L8">
        <v>2.64</v>
      </c>
      <c r="M8">
        <v>177.357</v>
      </c>
      <c r="N8">
        <v>0</v>
      </c>
      <c r="O8">
        <v>0</v>
      </c>
      <c r="P8">
        <v>0</v>
      </c>
      <c r="Q8">
        <v>0</v>
      </c>
      <c r="R8">
        <v>0</v>
      </c>
      <c r="S8">
        <v>0.55500000000000005</v>
      </c>
      <c r="T8">
        <v>2.215E-3</v>
      </c>
      <c r="U8">
        <v>2.3578999999999999E-2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44" ht="14.25" customHeight="1" x14ac:dyDescent="0.35">
      <c r="A9" t="s">
        <v>22</v>
      </c>
      <c r="B9" t="s">
        <v>441</v>
      </c>
      <c r="C9" t="s">
        <v>27</v>
      </c>
      <c r="D9" t="s">
        <v>442</v>
      </c>
      <c r="E9" t="s">
        <v>443</v>
      </c>
      <c r="F9">
        <v>82</v>
      </c>
      <c r="G9">
        <v>0.57526999999999995</v>
      </c>
      <c r="H9">
        <v>0.56428999999999996</v>
      </c>
      <c r="I9">
        <v>7.9799999999999992E-3</v>
      </c>
      <c r="J9">
        <v>3.0000000000000001E-3</v>
      </c>
      <c r="K9">
        <v>371.113</v>
      </c>
      <c r="L9">
        <v>2.5939999999999999</v>
      </c>
      <c r="M9">
        <v>0</v>
      </c>
      <c r="N9">
        <v>0</v>
      </c>
      <c r="O9">
        <v>0</v>
      </c>
      <c r="P9">
        <v>367.834</v>
      </c>
      <c r="Q9">
        <v>0</v>
      </c>
      <c r="R9">
        <v>0</v>
      </c>
      <c r="S9">
        <v>0.68600000000000005</v>
      </c>
      <c r="T9">
        <v>2.14E-3</v>
      </c>
      <c r="U9">
        <v>0</v>
      </c>
      <c r="V9">
        <v>0</v>
      </c>
      <c r="W9">
        <v>0</v>
      </c>
      <c r="X9">
        <v>0.57313000000000003</v>
      </c>
      <c r="Y9">
        <v>0</v>
      </c>
      <c r="Z9">
        <v>0</v>
      </c>
      <c r="AA9">
        <v>0</v>
      </c>
      <c r="AC9">
        <v>2.7410000000000001</v>
      </c>
      <c r="AD9">
        <v>36.472000000000001</v>
      </c>
      <c r="AE9">
        <v>35.523000000000003</v>
      </c>
      <c r="AF9">
        <v>73.691000000000003</v>
      </c>
      <c r="AG9">
        <v>145.19499999999999</v>
      </c>
      <c r="AH9">
        <v>67.948999999999998</v>
      </c>
      <c r="AI9">
        <v>6.1920000000000002</v>
      </c>
      <c r="AJ9">
        <v>0</v>
      </c>
      <c r="AK9">
        <v>1.22E-4</v>
      </c>
      <c r="AL9">
        <v>1.098E-2</v>
      </c>
      <c r="AM9">
        <v>7.7408000000000005E-2</v>
      </c>
      <c r="AN9">
        <v>6.0000000000000002E-6</v>
      </c>
      <c r="AO9">
        <v>0.110595</v>
      </c>
      <c r="AP9">
        <v>0.36264299999999999</v>
      </c>
      <c r="AQ9">
        <v>1.1377999999999999E-2</v>
      </c>
      <c r="AR9">
        <v>0</v>
      </c>
    </row>
    <row r="10" spans="1:44" ht="14.25" customHeight="1" x14ac:dyDescent="0.35">
      <c r="A10" t="s">
        <v>135</v>
      </c>
      <c r="B10" t="s">
        <v>444</v>
      </c>
      <c r="C10" t="s">
        <v>27</v>
      </c>
      <c r="D10" t="s">
        <v>445</v>
      </c>
      <c r="E10" t="s">
        <v>443</v>
      </c>
      <c r="F10">
        <v>87</v>
      </c>
      <c r="G10">
        <v>0.50785800000000003</v>
      </c>
      <c r="H10">
        <v>0.48955799999999999</v>
      </c>
      <c r="I10">
        <v>8.3000000000000001E-3</v>
      </c>
      <c r="J10">
        <v>0.01</v>
      </c>
      <c r="K10">
        <v>203.91300000000001</v>
      </c>
      <c r="L10">
        <v>2.2349999999999999</v>
      </c>
      <c r="M10">
        <v>0</v>
      </c>
      <c r="N10">
        <v>0</v>
      </c>
      <c r="O10">
        <v>0</v>
      </c>
      <c r="P10">
        <v>200.88399999999999</v>
      </c>
      <c r="Q10">
        <v>0</v>
      </c>
      <c r="R10">
        <v>0</v>
      </c>
      <c r="S10">
        <v>0.79400000000000004</v>
      </c>
      <c r="T10">
        <v>2.1949999999999999E-3</v>
      </c>
      <c r="U10">
        <v>0</v>
      </c>
      <c r="V10">
        <v>0</v>
      </c>
      <c r="W10">
        <v>0</v>
      </c>
      <c r="X10">
        <v>0.50566299999999997</v>
      </c>
      <c r="Y10">
        <v>0</v>
      </c>
      <c r="Z10">
        <v>0</v>
      </c>
      <c r="AA10">
        <v>0</v>
      </c>
      <c r="AC10">
        <v>2.2679999999999998</v>
      </c>
      <c r="AD10">
        <v>43.68</v>
      </c>
      <c r="AE10">
        <v>22.016999999999999</v>
      </c>
      <c r="AF10">
        <v>20.956</v>
      </c>
      <c r="AG10">
        <v>50.143000000000001</v>
      </c>
      <c r="AH10">
        <v>56.779000000000003</v>
      </c>
      <c r="AI10">
        <v>5.0309999999999997</v>
      </c>
      <c r="AJ10">
        <v>0</v>
      </c>
      <c r="AK10">
        <v>1.08E-4</v>
      </c>
      <c r="AL10">
        <v>1.83E-2</v>
      </c>
      <c r="AM10">
        <v>3.1071999999999999E-2</v>
      </c>
      <c r="AN10">
        <v>6.0000000000000002E-6</v>
      </c>
      <c r="AO10">
        <v>0.13678699999999999</v>
      </c>
      <c r="AP10">
        <v>0.30979499999999999</v>
      </c>
      <c r="AQ10">
        <v>9.5949999999999994E-3</v>
      </c>
      <c r="AR10">
        <v>0</v>
      </c>
    </row>
    <row r="11" spans="1:44" x14ac:dyDescent="0.35">
      <c r="A11" t="s">
        <v>189</v>
      </c>
      <c r="B11" t="s">
        <v>446</v>
      </c>
      <c r="C11" t="s">
        <v>27</v>
      </c>
      <c r="D11" t="s">
        <v>447</v>
      </c>
      <c r="E11" t="s">
        <v>443</v>
      </c>
      <c r="F11">
        <v>65</v>
      </c>
      <c r="G11">
        <v>0.37740099999999999</v>
      </c>
      <c r="H11">
        <v>0.36878100000000003</v>
      </c>
      <c r="I11">
        <v>8.6199999999999992E-3</v>
      </c>
      <c r="J11">
        <v>0</v>
      </c>
      <c r="K11">
        <v>132.155</v>
      </c>
      <c r="L11">
        <v>1.756</v>
      </c>
      <c r="M11">
        <v>0</v>
      </c>
      <c r="N11">
        <v>0</v>
      </c>
      <c r="O11">
        <v>0</v>
      </c>
      <c r="P11">
        <v>129.99600000000001</v>
      </c>
      <c r="Q11">
        <v>0</v>
      </c>
      <c r="R11">
        <v>0</v>
      </c>
      <c r="S11">
        <v>0.40300000000000002</v>
      </c>
      <c r="T11">
        <v>2.2049999999999999E-3</v>
      </c>
      <c r="U11">
        <v>0</v>
      </c>
      <c r="V11">
        <v>0</v>
      </c>
      <c r="W11">
        <v>0</v>
      </c>
      <c r="X11">
        <v>0.37519599999999997</v>
      </c>
      <c r="Y11">
        <v>0</v>
      </c>
      <c r="Z11">
        <v>0</v>
      </c>
      <c r="AA11">
        <v>0</v>
      </c>
      <c r="AC11">
        <v>4.851</v>
      </c>
      <c r="AD11">
        <v>31.419</v>
      </c>
      <c r="AE11">
        <v>17.792000000000002</v>
      </c>
      <c r="AF11">
        <v>19.007999999999999</v>
      </c>
      <c r="AG11">
        <v>9.1440000000000001</v>
      </c>
      <c r="AH11">
        <v>44.77</v>
      </c>
      <c r="AI11">
        <v>3.0049999999999999</v>
      </c>
      <c r="AJ11">
        <v>0</v>
      </c>
      <c r="AK11">
        <v>1.0900000000000001E-4</v>
      </c>
      <c r="AL11">
        <v>8.6199999999999992E-3</v>
      </c>
      <c r="AM11">
        <v>4.2735000000000002E-2</v>
      </c>
      <c r="AN11">
        <v>5.0000000000000004E-6</v>
      </c>
      <c r="AO11">
        <v>7.0110000000000006E-2</v>
      </c>
      <c r="AP11">
        <v>0.245005</v>
      </c>
      <c r="AQ11">
        <v>8.6130000000000009E-3</v>
      </c>
      <c r="AR11">
        <v>0</v>
      </c>
    </row>
    <row r="12" spans="1:44" s="2" customFormat="1" ht="14.25" customHeight="1" x14ac:dyDescent="0.35">
      <c r="A12" t="s">
        <v>224</v>
      </c>
      <c r="B12" t="s">
        <v>448</v>
      </c>
      <c r="C12" t="s">
        <v>27</v>
      </c>
      <c r="D12" t="s">
        <v>449</v>
      </c>
      <c r="E12" t="s">
        <v>443</v>
      </c>
      <c r="F12">
        <v>52</v>
      </c>
      <c r="G12">
        <v>0.315415</v>
      </c>
      <c r="H12">
        <v>0.30687500000000001</v>
      </c>
      <c r="I12">
        <v>7.5399999999999998E-3</v>
      </c>
      <c r="J12">
        <v>1E-3</v>
      </c>
      <c r="K12">
        <v>106.807</v>
      </c>
      <c r="L12">
        <v>1.6539999999999999</v>
      </c>
      <c r="M12">
        <v>0</v>
      </c>
      <c r="N12">
        <v>0</v>
      </c>
      <c r="O12">
        <v>0</v>
      </c>
      <c r="P12">
        <v>104.82599999999999</v>
      </c>
      <c r="Q12">
        <v>0</v>
      </c>
      <c r="R12">
        <v>0</v>
      </c>
      <c r="S12">
        <v>0.32700000000000001</v>
      </c>
      <c r="T12">
        <v>2.1949999999999999E-3</v>
      </c>
      <c r="U12">
        <v>0</v>
      </c>
      <c r="V12">
        <v>0</v>
      </c>
      <c r="W12">
        <v>0</v>
      </c>
      <c r="X12">
        <v>0.31322</v>
      </c>
      <c r="Y12">
        <v>0</v>
      </c>
      <c r="Z12">
        <v>0</v>
      </c>
      <c r="AA12">
        <v>0</v>
      </c>
      <c r="AC12">
        <v>2.0230000000000001</v>
      </c>
      <c r="AD12">
        <v>25.486999999999998</v>
      </c>
      <c r="AE12">
        <v>17.434000000000001</v>
      </c>
      <c r="AF12">
        <v>9.3109999999999999</v>
      </c>
      <c r="AG12">
        <v>23.446999999999999</v>
      </c>
      <c r="AH12">
        <v>22.706</v>
      </c>
      <c r="AI12">
        <v>4.4109999999999996</v>
      </c>
      <c r="AJ12">
        <v>0</v>
      </c>
      <c r="AK12">
        <v>1.1900000000000001E-4</v>
      </c>
      <c r="AL12">
        <v>8.5400000000000007E-3</v>
      </c>
      <c r="AM12">
        <v>4.156E-2</v>
      </c>
      <c r="AN12">
        <v>3.9999999999999998E-6</v>
      </c>
      <c r="AO12">
        <v>8.0703999999999998E-2</v>
      </c>
      <c r="AP12">
        <v>0.172957</v>
      </c>
      <c r="AQ12">
        <v>9.3349999999999995E-3</v>
      </c>
      <c r="AR12">
        <v>0</v>
      </c>
    </row>
    <row r="13" spans="1:44" ht="14.25" customHeight="1" x14ac:dyDescent="0.35">
      <c r="A13" t="s">
        <v>254</v>
      </c>
      <c r="B13" t="s">
        <v>450</v>
      </c>
      <c r="C13" t="s">
        <v>27</v>
      </c>
      <c r="D13" t="s">
        <v>451</v>
      </c>
      <c r="E13" t="s">
        <v>443</v>
      </c>
      <c r="F13">
        <v>60</v>
      </c>
      <c r="G13">
        <v>0.39369300000000002</v>
      </c>
      <c r="H13">
        <v>0.38670300000000002</v>
      </c>
      <c r="I13">
        <v>6.9899999999999997E-3</v>
      </c>
      <c r="J13">
        <v>0</v>
      </c>
      <c r="K13">
        <v>144.572</v>
      </c>
      <c r="L13">
        <v>1.99</v>
      </c>
      <c r="M13">
        <v>0</v>
      </c>
      <c r="N13">
        <v>0</v>
      </c>
      <c r="O13">
        <v>0</v>
      </c>
      <c r="P13">
        <v>142.203</v>
      </c>
      <c r="Q13">
        <v>0</v>
      </c>
      <c r="R13">
        <v>0</v>
      </c>
      <c r="S13">
        <v>0.379</v>
      </c>
      <c r="T13">
        <v>2.2599999999999999E-3</v>
      </c>
      <c r="U13">
        <v>0</v>
      </c>
      <c r="V13">
        <v>0</v>
      </c>
      <c r="W13">
        <v>0</v>
      </c>
      <c r="X13">
        <v>0.39143299999999998</v>
      </c>
      <c r="Y13">
        <v>0</v>
      </c>
      <c r="Z13">
        <v>0</v>
      </c>
      <c r="AA13">
        <v>0</v>
      </c>
      <c r="AC13">
        <v>1.575</v>
      </c>
      <c r="AD13">
        <v>15.547000000000001</v>
      </c>
      <c r="AE13">
        <v>23.777000000000001</v>
      </c>
      <c r="AF13">
        <v>15.836</v>
      </c>
      <c r="AG13">
        <v>23.31</v>
      </c>
      <c r="AH13">
        <v>57.389000000000003</v>
      </c>
      <c r="AI13">
        <v>4.7510000000000003</v>
      </c>
      <c r="AJ13">
        <v>0</v>
      </c>
      <c r="AK13">
        <v>1.1400000000000001E-4</v>
      </c>
      <c r="AL13">
        <v>6.9899999999999997E-3</v>
      </c>
      <c r="AM13">
        <v>4.539E-2</v>
      </c>
      <c r="AN13">
        <v>5.0000000000000004E-6</v>
      </c>
      <c r="AO13">
        <v>7.0140999999999995E-2</v>
      </c>
      <c r="AP13">
        <v>0.25728800000000002</v>
      </c>
      <c r="AQ13">
        <v>1.1505E-2</v>
      </c>
      <c r="AR13">
        <v>0</v>
      </c>
    </row>
    <row r="14" spans="1:44" s="2" customFormat="1" ht="14.25" customHeight="1" x14ac:dyDescent="0.35">
      <c r="A14" t="s">
        <v>286</v>
      </c>
      <c r="B14" t="s">
        <v>452</v>
      </c>
      <c r="C14" t="s">
        <v>27</v>
      </c>
      <c r="D14" t="s">
        <v>453</v>
      </c>
      <c r="E14" t="s">
        <v>443</v>
      </c>
      <c r="F14">
        <v>68</v>
      </c>
      <c r="G14">
        <v>0.410445</v>
      </c>
      <c r="H14">
        <v>0.402285</v>
      </c>
      <c r="I14">
        <v>7.1599999999999997E-3</v>
      </c>
      <c r="J14">
        <v>1E-3</v>
      </c>
      <c r="K14">
        <v>166.11799999999999</v>
      </c>
      <c r="L14">
        <v>5.165</v>
      </c>
      <c r="M14">
        <v>0</v>
      </c>
      <c r="N14">
        <v>0</v>
      </c>
      <c r="O14">
        <v>0</v>
      </c>
      <c r="P14">
        <v>160.60400000000001</v>
      </c>
      <c r="Q14">
        <v>0</v>
      </c>
      <c r="R14">
        <v>0</v>
      </c>
      <c r="S14">
        <v>0.34899999999999998</v>
      </c>
      <c r="T14">
        <v>4.8799999999999998E-3</v>
      </c>
      <c r="U14">
        <v>0</v>
      </c>
      <c r="V14">
        <v>0</v>
      </c>
      <c r="W14">
        <v>0</v>
      </c>
      <c r="X14">
        <v>0.40556500000000001</v>
      </c>
      <c r="Y14">
        <v>0</v>
      </c>
      <c r="Z14">
        <v>0</v>
      </c>
      <c r="AA14">
        <v>0</v>
      </c>
      <c r="AC14">
        <v>2.0539999999999998</v>
      </c>
      <c r="AD14">
        <v>19.170000000000002</v>
      </c>
      <c r="AE14">
        <v>36.427999999999997</v>
      </c>
      <c r="AF14">
        <v>20.533999999999999</v>
      </c>
      <c r="AG14">
        <v>12.164999999999999</v>
      </c>
      <c r="AH14">
        <v>65.796000000000006</v>
      </c>
      <c r="AI14">
        <v>4.4390000000000001</v>
      </c>
      <c r="AJ14">
        <v>0</v>
      </c>
      <c r="AK14">
        <v>1.13E-4</v>
      </c>
      <c r="AL14">
        <v>8.1600000000000006E-3</v>
      </c>
      <c r="AM14">
        <v>7.5225E-2</v>
      </c>
      <c r="AN14">
        <v>6.0000000000000002E-6</v>
      </c>
      <c r="AO14">
        <v>1.6844999999999999E-2</v>
      </c>
      <c r="AP14">
        <v>0.29476799999999997</v>
      </c>
      <c r="AQ14">
        <v>1.0448000000000001E-2</v>
      </c>
      <c r="AR14">
        <v>0</v>
      </c>
    </row>
    <row r="15" spans="1:44" ht="14.25" customHeight="1" x14ac:dyDescent="0.35">
      <c r="A15" t="s">
        <v>326</v>
      </c>
      <c r="B15" t="s">
        <v>454</v>
      </c>
      <c r="C15" t="s">
        <v>27</v>
      </c>
      <c r="D15" t="s">
        <v>455</v>
      </c>
      <c r="E15" t="s">
        <v>443</v>
      </c>
      <c r="F15">
        <v>71</v>
      </c>
      <c r="G15">
        <v>0.52477300000000004</v>
      </c>
      <c r="H15">
        <v>0.51623300000000005</v>
      </c>
      <c r="I15">
        <v>8.5400000000000007E-3</v>
      </c>
      <c r="J15">
        <v>0</v>
      </c>
      <c r="K15">
        <v>198.072</v>
      </c>
      <c r="L15">
        <v>1.93</v>
      </c>
      <c r="M15">
        <v>0</v>
      </c>
      <c r="N15">
        <v>0</v>
      </c>
      <c r="O15">
        <v>0</v>
      </c>
      <c r="P15">
        <v>195.81200000000001</v>
      </c>
      <c r="Q15">
        <v>0</v>
      </c>
      <c r="R15">
        <v>0</v>
      </c>
      <c r="S15">
        <v>0.32900000000000001</v>
      </c>
      <c r="T15">
        <v>2.1949999999999999E-3</v>
      </c>
      <c r="U15">
        <v>0</v>
      </c>
      <c r="V15">
        <v>0</v>
      </c>
      <c r="W15">
        <v>0</v>
      </c>
      <c r="X15">
        <v>0.52257799999999999</v>
      </c>
      <c r="Y15">
        <v>0</v>
      </c>
      <c r="Z15">
        <v>0</v>
      </c>
      <c r="AA15">
        <v>0</v>
      </c>
      <c r="AC15">
        <v>2.1040000000000001</v>
      </c>
      <c r="AD15">
        <v>30.908000000000001</v>
      </c>
      <c r="AE15">
        <v>46.415999999999997</v>
      </c>
      <c r="AF15">
        <v>19.193999999999999</v>
      </c>
      <c r="AG15">
        <v>34.404000000000003</v>
      </c>
      <c r="AH15">
        <v>57.866</v>
      </c>
      <c r="AI15">
        <v>4.8940000000000001</v>
      </c>
      <c r="AJ15">
        <v>0</v>
      </c>
      <c r="AK15">
        <v>1.2400000000000001E-4</v>
      </c>
      <c r="AL15">
        <v>8.5400000000000007E-3</v>
      </c>
      <c r="AM15">
        <v>7.8312999999999994E-2</v>
      </c>
      <c r="AN15">
        <v>5.0000000000000004E-6</v>
      </c>
      <c r="AO15">
        <v>8.5316000000000003E-2</v>
      </c>
      <c r="AP15">
        <v>0.33862799999999998</v>
      </c>
      <c r="AQ15">
        <v>1.1651999999999999E-2</v>
      </c>
      <c r="AR15">
        <v>0</v>
      </c>
    </row>
  </sheetData>
  <autoFilter ref="E1:E15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9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5" width="12" customWidth="1"/>
    <col min="6" max="6" width="13" customWidth="1"/>
    <col min="7" max="7" width="12" customWidth="1"/>
    <col min="8" max="8" width="20" customWidth="1"/>
    <col min="9" max="9" width="12" customWidth="1"/>
  </cols>
  <sheetData>
    <row r="1" spans="1:9" ht="14.25" customHeight="1" x14ac:dyDescent="0.35">
      <c r="A1" t="s">
        <v>0</v>
      </c>
      <c r="B1" t="s">
        <v>456</v>
      </c>
      <c r="C1" t="s">
        <v>3</v>
      </c>
      <c r="D1" t="s">
        <v>457</v>
      </c>
      <c r="E1" t="s">
        <v>11</v>
      </c>
      <c r="F1" t="s">
        <v>458</v>
      </c>
      <c r="G1" t="s">
        <v>10</v>
      </c>
      <c r="H1" t="s">
        <v>459</v>
      </c>
      <c r="I1" t="s">
        <v>375</v>
      </c>
    </row>
    <row r="2" spans="1:9" ht="14.25" customHeight="1" x14ac:dyDescent="0.35">
      <c r="A2" t="s">
        <v>418</v>
      </c>
      <c r="B2">
        <v>1</v>
      </c>
      <c r="C2" t="s">
        <v>24</v>
      </c>
      <c r="D2">
        <v>0</v>
      </c>
      <c r="E2">
        <v>1.5860000000000001</v>
      </c>
      <c r="F2">
        <v>1.5860000000000001</v>
      </c>
      <c r="G2">
        <v>2.0830000000000002E-3</v>
      </c>
      <c r="H2">
        <v>2.0830000000000002E-3</v>
      </c>
      <c r="I2">
        <v>1</v>
      </c>
    </row>
    <row r="3" spans="1:9" ht="14.25" customHeight="1" x14ac:dyDescent="0.35">
      <c r="A3" t="s">
        <v>418</v>
      </c>
      <c r="B3">
        <v>2</v>
      </c>
      <c r="C3" t="s">
        <v>421</v>
      </c>
      <c r="D3">
        <v>0</v>
      </c>
      <c r="E3">
        <v>115.996</v>
      </c>
      <c r="F3">
        <v>115.996</v>
      </c>
      <c r="G3">
        <v>8.966E-3</v>
      </c>
      <c r="H3">
        <v>8.966E-3</v>
      </c>
      <c r="I3">
        <v>62</v>
      </c>
    </row>
    <row r="4" spans="1:9" ht="14.25" customHeight="1" x14ac:dyDescent="0.35">
      <c r="A4" t="s">
        <v>422</v>
      </c>
      <c r="B4">
        <v>1</v>
      </c>
      <c r="C4" t="s">
        <v>24</v>
      </c>
      <c r="D4">
        <v>0</v>
      </c>
      <c r="E4">
        <v>2.0299999999999998</v>
      </c>
      <c r="F4">
        <v>2.0299999999999998</v>
      </c>
      <c r="G4">
        <v>2.15E-3</v>
      </c>
      <c r="H4">
        <v>2.15E-3</v>
      </c>
      <c r="I4">
        <v>1</v>
      </c>
    </row>
    <row r="5" spans="1:9" ht="14.25" customHeight="1" x14ac:dyDescent="0.35">
      <c r="A5" t="s">
        <v>422</v>
      </c>
      <c r="B5">
        <v>2</v>
      </c>
      <c r="C5" t="s">
        <v>421</v>
      </c>
      <c r="D5">
        <v>0</v>
      </c>
      <c r="E5">
        <v>140.81399999999999</v>
      </c>
      <c r="F5">
        <v>140.81399999999999</v>
      </c>
      <c r="G5">
        <v>2.7310000000000001E-2</v>
      </c>
      <c r="H5">
        <v>2.7310000000000001E-2</v>
      </c>
      <c r="I5">
        <v>62</v>
      </c>
    </row>
    <row r="6" spans="1:9" ht="14.25" customHeight="1" x14ac:dyDescent="0.35">
      <c r="A6" t="s">
        <v>425</v>
      </c>
      <c r="B6">
        <v>1</v>
      </c>
      <c r="C6" t="s">
        <v>24</v>
      </c>
      <c r="D6">
        <v>0</v>
      </c>
      <c r="E6">
        <v>2.7610000000000001</v>
      </c>
      <c r="F6">
        <v>2.7610000000000001</v>
      </c>
      <c r="G6">
        <v>2.7100000000000002E-3</v>
      </c>
      <c r="H6">
        <v>2.7100000000000002E-3</v>
      </c>
      <c r="I6">
        <v>1</v>
      </c>
    </row>
    <row r="7" spans="1:9" ht="14.25" customHeight="1" x14ac:dyDescent="0.35">
      <c r="A7" t="s">
        <v>425</v>
      </c>
      <c r="B7">
        <v>2</v>
      </c>
      <c r="C7" t="s">
        <v>421</v>
      </c>
      <c r="D7">
        <v>0</v>
      </c>
      <c r="E7">
        <v>47.317</v>
      </c>
      <c r="F7">
        <v>47.317</v>
      </c>
      <c r="G7">
        <v>6.7539999999999996E-3</v>
      </c>
      <c r="H7">
        <v>6.7539999999999996E-3</v>
      </c>
      <c r="I7">
        <v>26</v>
      </c>
    </row>
    <row r="8" spans="1:9" ht="14.25" customHeight="1" x14ac:dyDescent="0.35">
      <c r="A8" t="s">
        <v>425</v>
      </c>
      <c r="B8">
        <v>3</v>
      </c>
      <c r="C8" t="s">
        <v>24</v>
      </c>
      <c r="D8">
        <v>0</v>
      </c>
      <c r="E8">
        <v>2.0169999999999999</v>
      </c>
      <c r="F8">
        <v>2.0169999999999999</v>
      </c>
      <c r="G8">
        <v>4.1320000000000003E-3</v>
      </c>
      <c r="H8">
        <v>4.1320000000000003E-3</v>
      </c>
      <c r="I8">
        <v>1</v>
      </c>
    </row>
    <row r="9" spans="1:9" ht="14.25" customHeight="1" x14ac:dyDescent="0.35">
      <c r="A9" t="s">
        <v>425</v>
      </c>
      <c r="B9">
        <v>4</v>
      </c>
      <c r="C9" t="s">
        <v>460</v>
      </c>
      <c r="D9">
        <v>0</v>
      </c>
      <c r="E9">
        <v>72.204999999999998</v>
      </c>
      <c r="F9">
        <v>72.204999999999998</v>
      </c>
      <c r="G9">
        <v>7.9842999999999997E-2</v>
      </c>
      <c r="H9">
        <v>7.9842999999999997E-2</v>
      </c>
      <c r="I9">
        <v>23</v>
      </c>
    </row>
    <row r="10" spans="1:9" ht="14.25" customHeight="1" x14ac:dyDescent="0.35">
      <c r="A10" t="s">
        <v>425</v>
      </c>
      <c r="B10">
        <v>5</v>
      </c>
      <c r="C10" t="s">
        <v>24</v>
      </c>
      <c r="D10">
        <v>0</v>
      </c>
      <c r="E10">
        <v>2.3410000000000002</v>
      </c>
      <c r="F10">
        <v>2.3410000000000002</v>
      </c>
      <c r="G10">
        <v>2.9450000000000001E-3</v>
      </c>
      <c r="H10">
        <v>2.9450000000000001E-3</v>
      </c>
      <c r="I10">
        <v>1</v>
      </c>
    </row>
    <row r="11" spans="1:9" ht="14.25" customHeight="1" x14ac:dyDescent="0.35">
      <c r="A11" t="s">
        <v>429</v>
      </c>
      <c r="B11">
        <v>1</v>
      </c>
      <c r="C11" t="s">
        <v>24</v>
      </c>
      <c r="D11">
        <v>0</v>
      </c>
      <c r="E11">
        <v>2.06</v>
      </c>
      <c r="F11">
        <v>2.06</v>
      </c>
      <c r="G11">
        <v>3.5300000000000002E-3</v>
      </c>
      <c r="H11">
        <v>3.5300000000000002E-3</v>
      </c>
      <c r="I11">
        <v>1</v>
      </c>
    </row>
    <row r="12" spans="1:9" ht="14.25" customHeight="1" x14ac:dyDescent="0.35">
      <c r="A12" t="s">
        <v>429</v>
      </c>
      <c r="B12">
        <v>2</v>
      </c>
      <c r="C12" t="s">
        <v>421</v>
      </c>
      <c r="D12">
        <v>0</v>
      </c>
      <c r="E12">
        <v>146.03200000000001</v>
      </c>
      <c r="F12">
        <v>146.03200000000001</v>
      </c>
      <c r="G12">
        <v>2.9857000000000002E-2</v>
      </c>
      <c r="H12">
        <v>2.9857000000000002E-2</v>
      </c>
      <c r="I12">
        <v>62</v>
      </c>
    </row>
    <row r="13" spans="1:9" ht="14.25" customHeight="1" x14ac:dyDescent="0.35">
      <c r="A13" t="s">
        <v>432</v>
      </c>
      <c r="B13">
        <v>1</v>
      </c>
      <c r="C13" t="s">
        <v>24</v>
      </c>
      <c r="D13">
        <v>0</v>
      </c>
      <c r="E13">
        <v>2.0819999999999999</v>
      </c>
      <c r="F13">
        <v>2.0819999999999999</v>
      </c>
      <c r="G13">
        <v>2.1069999999999999E-3</v>
      </c>
      <c r="H13">
        <v>2.1069999999999999E-3</v>
      </c>
      <c r="I13">
        <v>1</v>
      </c>
    </row>
    <row r="14" spans="1:9" ht="14.25" customHeight="1" x14ac:dyDescent="0.35">
      <c r="A14" t="s">
        <v>432</v>
      </c>
      <c r="B14">
        <v>2</v>
      </c>
      <c r="C14" t="s">
        <v>421</v>
      </c>
      <c r="D14">
        <v>0</v>
      </c>
      <c r="E14">
        <v>83.665999999999997</v>
      </c>
      <c r="F14">
        <v>83.665999999999997</v>
      </c>
      <c r="G14">
        <v>1.0763999999999999E-2</v>
      </c>
      <c r="H14">
        <v>1.0763999999999999E-2</v>
      </c>
      <c r="I14">
        <v>38</v>
      </c>
    </row>
    <row r="15" spans="1:9" ht="14.25" customHeight="1" x14ac:dyDescent="0.35">
      <c r="A15" t="s">
        <v>435</v>
      </c>
      <c r="B15">
        <v>1</v>
      </c>
      <c r="C15" t="s">
        <v>24</v>
      </c>
      <c r="D15">
        <v>0</v>
      </c>
      <c r="E15">
        <v>1.722</v>
      </c>
      <c r="F15">
        <v>1.722</v>
      </c>
      <c r="G15">
        <v>2.1819999999999999E-3</v>
      </c>
      <c r="H15">
        <v>2.1819999999999999E-3</v>
      </c>
      <c r="I15">
        <v>1</v>
      </c>
    </row>
    <row r="16" spans="1:9" ht="14.25" customHeight="1" x14ac:dyDescent="0.35">
      <c r="A16" t="s">
        <v>435</v>
      </c>
      <c r="B16">
        <v>2</v>
      </c>
      <c r="C16" t="s">
        <v>421</v>
      </c>
      <c r="D16">
        <v>0</v>
      </c>
      <c r="E16">
        <v>5.0469999999999997</v>
      </c>
      <c r="F16">
        <v>5.0469999999999997</v>
      </c>
      <c r="G16">
        <v>1.866E-3</v>
      </c>
      <c r="H16">
        <v>1.866E-3</v>
      </c>
      <c r="I16">
        <v>2</v>
      </c>
    </row>
    <row r="17" spans="1:9" ht="14.25" customHeight="1" x14ac:dyDescent="0.35">
      <c r="A17" t="s">
        <v>435</v>
      </c>
      <c r="B17">
        <v>3</v>
      </c>
      <c r="C17" t="s">
        <v>24</v>
      </c>
      <c r="D17">
        <v>0</v>
      </c>
      <c r="E17">
        <v>2.5270000000000001</v>
      </c>
      <c r="F17">
        <v>2.5270000000000001</v>
      </c>
      <c r="G17">
        <v>2.3280000000000002E-3</v>
      </c>
      <c r="H17">
        <v>2.3280000000000002E-3</v>
      </c>
      <c r="I17">
        <v>1</v>
      </c>
    </row>
    <row r="18" spans="1:9" ht="14.25" customHeight="1" x14ac:dyDescent="0.35">
      <c r="A18" t="s">
        <v>435</v>
      </c>
      <c r="B18">
        <v>4</v>
      </c>
      <c r="C18" t="s">
        <v>460</v>
      </c>
      <c r="D18">
        <v>0</v>
      </c>
      <c r="E18">
        <v>135.16800000000001</v>
      </c>
      <c r="F18">
        <v>135.16800000000001</v>
      </c>
      <c r="G18">
        <v>8.3858000000000002E-2</v>
      </c>
      <c r="H18">
        <v>8.3858000000000002E-2</v>
      </c>
      <c r="I18">
        <v>46</v>
      </c>
    </row>
    <row r="19" spans="1:9" ht="14.25" customHeight="1" x14ac:dyDescent="0.35">
      <c r="A19" t="s">
        <v>438</v>
      </c>
      <c r="B19">
        <v>1</v>
      </c>
      <c r="C19" t="s">
        <v>24</v>
      </c>
      <c r="D19">
        <v>0</v>
      </c>
      <c r="E19">
        <v>2.64</v>
      </c>
      <c r="F19">
        <v>2.64</v>
      </c>
      <c r="G19">
        <v>2.215E-3</v>
      </c>
      <c r="H19">
        <v>2.215E-3</v>
      </c>
      <c r="I19">
        <v>1</v>
      </c>
    </row>
    <row r="20" spans="1:9" ht="14.25" customHeight="1" x14ac:dyDescent="0.35">
      <c r="A20" t="s">
        <v>438</v>
      </c>
      <c r="B20">
        <v>2</v>
      </c>
      <c r="C20" t="s">
        <v>421</v>
      </c>
      <c r="D20">
        <v>0</v>
      </c>
      <c r="E20">
        <v>177.357</v>
      </c>
      <c r="F20">
        <v>177.357</v>
      </c>
      <c r="G20">
        <v>2.3578999999999999E-2</v>
      </c>
      <c r="H20">
        <v>2.3578999999999999E-2</v>
      </c>
      <c r="I20">
        <v>65</v>
      </c>
    </row>
    <row r="21" spans="1:9" ht="14.25" customHeight="1" x14ac:dyDescent="0.35">
      <c r="A21" t="s">
        <v>22</v>
      </c>
      <c r="B21">
        <v>1</v>
      </c>
      <c r="C21" t="s">
        <v>24</v>
      </c>
      <c r="D21">
        <v>0</v>
      </c>
      <c r="E21">
        <v>2.5939999999999999</v>
      </c>
      <c r="F21">
        <v>2.5939999999999999</v>
      </c>
      <c r="G21">
        <v>2.14E-3</v>
      </c>
      <c r="H21">
        <v>2.14E-3</v>
      </c>
      <c r="I21">
        <v>1</v>
      </c>
    </row>
    <row r="22" spans="1:9" ht="14.25" customHeight="1" x14ac:dyDescent="0.35">
      <c r="A22" t="s">
        <v>22</v>
      </c>
      <c r="B22">
        <v>2</v>
      </c>
      <c r="C22" t="s">
        <v>33</v>
      </c>
      <c r="D22">
        <v>1</v>
      </c>
      <c r="E22">
        <v>2.7410000000000001</v>
      </c>
      <c r="F22">
        <v>2.7410000000000001</v>
      </c>
      <c r="G22">
        <v>1.22E-4</v>
      </c>
      <c r="H22">
        <v>1.22E-4</v>
      </c>
      <c r="I22">
        <v>1</v>
      </c>
    </row>
    <row r="23" spans="1:9" ht="14.25" customHeight="1" x14ac:dyDescent="0.35">
      <c r="A23" t="s">
        <v>22</v>
      </c>
      <c r="B23">
        <v>3</v>
      </c>
      <c r="C23" t="s">
        <v>39</v>
      </c>
      <c r="D23">
        <v>1</v>
      </c>
      <c r="E23">
        <v>36.472000000000001</v>
      </c>
      <c r="F23">
        <v>36.472000000000001</v>
      </c>
      <c r="G23">
        <v>1.098E-2</v>
      </c>
      <c r="H23">
        <v>1.098E-2</v>
      </c>
      <c r="I23">
        <v>4</v>
      </c>
    </row>
    <row r="24" spans="1:9" ht="14.25" customHeight="1" x14ac:dyDescent="0.35">
      <c r="A24" t="s">
        <v>22</v>
      </c>
      <c r="B24">
        <v>4</v>
      </c>
      <c r="C24" t="s">
        <v>55</v>
      </c>
      <c r="D24">
        <v>1</v>
      </c>
      <c r="E24">
        <v>35.523000000000003</v>
      </c>
      <c r="F24">
        <v>35.523000000000003</v>
      </c>
      <c r="G24">
        <v>7.7408000000000005E-2</v>
      </c>
      <c r="H24">
        <v>7.7408000000000005E-2</v>
      </c>
      <c r="I24">
        <v>2</v>
      </c>
    </row>
    <row r="25" spans="1:9" ht="14.25" customHeight="1" x14ac:dyDescent="0.35">
      <c r="A25" t="s">
        <v>22</v>
      </c>
      <c r="B25">
        <v>5</v>
      </c>
      <c r="C25" t="s">
        <v>61</v>
      </c>
      <c r="D25">
        <v>1</v>
      </c>
      <c r="E25">
        <v>44.942</v>
      </c>
      <c r="F25">
        <v>44.942</v>
      </c>
      <c r="G25">
        <v>0</v>
      </c>
      <c r="H25">
        <v>0</v>
      </c>
      <c r="I25">
        <v>5</v>
      </c>
    </row>
    <row r="26" spans="1:9" ht="14.25" customHeight="1" x14ac:dyDescent="0.35">
      <c r="A26" t="s">
        <v>22</v>
      </c>
      <c r="B26">
        <v>6</v>
      </c>
      <c r="C26" t="s">
        <v>61</v>
      </c>
      <c r="D26">
        <v>1</v>
      </c>
      <c r="E26">
        <v>3.1070000000000002</v>
      </c>
      <c r="F26">
        <v>3.1070000000000002</v>
      </c>
      <c r="G26">
        <v>0</v>
      </c>
      <c r="H26">
        <v>0</v>
      </c>
      <c r="I26">
        <v>5</v>
      </c>
    </row>
    <row r="27" spans="1:9" ht="14.25" customHeight="1" x14ac:dyDescent="0.35">
      <c r="A27" t="s">
        <v>22</v>
      </c>
      <c r="B27">
        <v>7</v>
      </c>
      <c r="C27" t="s">
        <v>61</v>
      </c>
      <c r="D27">
        <v>1</v>
      </c>
      <c r="E27">
        <v>3.6110000000000002</v>
      </c>
      <c r="F27">
        <v>3.6110000000000002</v>
      </c>
      <c r="G27">
        <v>0</v>
      </c>
      <c r="H27">
        <v>0</v>
      </c>
      <c r="I27">
        <v>5</v>
      </c>
    </row>
    <row r="28" spans="1:9" ht="14.25" customHeight="1" x14ac:dyDescent="0.35">
      <c r="A28" t="s">
        <v>22</v>
      </c>
      <c r="B28">
        <v>8</v>
      </c>
      <c r="C28" t="s">
        <v>61</v>
      </c>
      <c r="D28">
        <v>1</v>
      </c>
      <c r="E28">
        <v>4.4779999999999998</v>
      </c>
      <c r="F28">
        <v>4.4779999999999998</v>
      </c>
      <c r="G28">
        <v>9.9999999999999995E-7</v>
      </c>
      <c r="H28">
        <v>9.9999999999999995E-7</v>
      </c>
      <c r="I28">
        <v>6</v>
      </c>
    </row>
    <row r="29" spans="1:9" ht="14.25" customHeight="1" x14ac:dyDescent="0.35">
      <c r="A29" t="s">
        <v>22</v>
      </c>
      <c r="B29">
        <v>9</v>
      </c>
      <c r="C29" t="s">
        <v>82</v>
      </c>
      <c r="D29">
        <v>1</v>
      </c>
      <c r="E29">
        <v>27.366</v>
      </c>
      <c r="F29">
        <v>27.366</v>
      </c>
      <c r="G29">
        <v>1.3315E-2</v>
      </c>
      <c r="H29">
        <v>1.3315E-2</v>
      </c>
      <c r="I29">
        <v>2</v>
      </c>
    </row>
    <row r="30" spans="1:9" ht="14.25" customHeight="1" x14ac:dyDescent="0.35">
      <c r="A30" t="s">
        <v>22</v>
      </c>
      <c r="B30">
        <v>10</v>
      </c>
      <c r="C30" t="s">
        <v>61</v>
      </c>
      <c r="D30">
        <v>1</v>
      </c>
      <c r="E30">
        <v>4.2149999999999999</v>
      </c>
      <c r="F30">
        <v>4.2149999999999999</v>
      </c>
      <c r="G30">
        <v>9.9999999999999995E-7</v>
      </c>
      <c r="H30">
        <v>9.9999999999999995E-7</v>
      </c>
      <c r="I30">
        <v>6</v>
      </c>
    </row>
    <row r="31" spans="1:9" ht="14.25" customHeight="1" x14ac:dyDescent="0.35">
      <c r="A31" t="s">
        <v>22</v>
      </c>
      <c r="B31">
        <v>11</v>
      </c>
      <c r="C31" t="s">
        <v>82</v>
      </c>
      <c r="D31">
        <v>1</v>
      </c>
      <c r="E31">
        <v>3.548</v>
      </c>
      <c r="F31">
        <v>3.548</v>
      </c>
      <c r="G31">
        <v>0</v>
      </c>
      <c r="H31">
        <v>0</v>
      </c>
      <c r="I31">
        <v>0</v>
      </c>
    </row>
    <row r="32" spans="1:9" ht="14.25" customHeight="1" x14ac:dyDescent="0.35">
      <c r="A32" t="s">
        <v>22</v>
      </c>
      <c r="B32">
        <v>12</v>
      </c>
      <c r="C32" t="s">
        <v>61</v>
      </c>
      <c r="D32">
        <v>1</v>
      </c>
      <c r="E32">
        <v>3.8119999999999998</v>
      </c>
      <c r="F32">
        <v>3.8119999999999998</v>
      </c>
      <c r="G32">
        <v>9.9999999999999995E-7</v>
      </c>
      <c r="H32">
        <v>9.9999999999999995E-7</v>
      </c>
      <c r="I32">
        <v>6</v>
      </c>
    </row>
    <row r="33" spans="1:9" ht="14.25" customHeight="1" x14ac:dyDescent="0.35">
      <c r="A33" t="s">
        <v>22</v>
      </c>
      <c r="B33">
        <v>13</v>
      </c>
      <c r="C33" t="s">
        <v>82</v>
      </c>
      <c r="D33">
        <v>1</v>
      </c>
      <c r="E33">
        <v>42.445999999999998</v>
      </c>
      <c r="F33">
        <v>42.445999999999998</v>
      </c>
      <c r="G33">
        <v>1.7864999999999999E-2</v>
      </c>
      <c r="H33">
        <v>1.7864999999999999E-2</v>
      </c>
      <c r="I33">
        <v>2</v>
      </c>
    </row>
    <row r="34" spans="1:9" ht="14.25" customHeight="1" x14ac:dyDescent="0.35">
      <c r="A34" t="s">
        <v>22</v>
      </c>
      <c r="B34">
        <v>14</v>
      </c>
      <c r="C34" t="s">
        <v>61</v>
      </c>
      <c r="D34">
        <v>1</v>
      </c>
      <c r="E34">
        <v>3.3210000000000002</v>
      </c>
      <c r="F34">
        <v>3.3210000000000002</v>
      </c>
      <c r="G34">
        <v>9.9999999999999995E-7</v>
      </c>
      <c r="H34">
        <v>9.9999999999999995E-7</v>
      </c>
      <c r="I34">
        <v>6</v>
      </c>
    </row>
    <row r="35" spans="1:9" x14ac:dyDescent="0.35">
      <c r="A35" t="s">
        <v>22</v>
      </c>
      <c r="B35">
        <v>15</v>
      </c>
      <c r="C35" t="s">
        <v>82</v>
      </c>
      <c r="D35">
        <v>1</v>
      </c>
      <c r="E35">
        <v>41.514000000000003</v>
      </c>
      <c r="F35">
        <v>41.514000000000003</v>
      </c>
      <c r="G35">
        <v>1.5318E-2</v>
      </c>
      <c r="H35">
        <v>1.5318E-2</v>
      </c>
      <c r="I35">
        <v>2</v>
      </c>
    </row>
    <row r="36" spans="1:9" x14ac:dyDescent="0.35">
      <c r="A36" t="s">
        <v>22</v>
      </c>
      <c r="B36">
        <v>16</v>
      </c>
      <c r="C36" t="s">
        <v>61</v>
      </c>
      <c r="D36">
        <v>1</v>
      </c>
      <c r="E36">
        <v>3.5070000000000001</v>
      </c>
      <c r="F36">
        <v>3.5070000000000001</v>
      </c>
      <c r="G36">
        <v>9.9999999999999995E-7</v>
      </c>
      <c r="H36">
        <v>9.9999999999999995E-7</v>
      </c>
      <c r="I36">
        <v>6</v>
      </c>
    </row>
    <row r="37" spans="1:9" x14ac:dyDescent="0.35">
      <c r="A37" t="s">
        <v>22</v>
      </c>
      <c r="B37">
        <v>17</v>
      </c>
      <c r="C37" t="s">
        <v>82</v>
      </c>
      <c r="D37">
        <v>1</v>
      </c>
      <c r="E37">
        <v>2.1680000000000001</v>
      </c>
      <c r="F37">
        <v>2.1680000000000001</v>
      </c>
      <c r="G37">
        <v>0</v>
      </c>
      <c r="H37">
        <v>0</v>
      </c>
      <c r="I37">
        <v>0</v>
      </c>
    </row>
    <row r="38" spans="1:9" x14ac:dyDescent="0.35">
      <c r="A38" t="s">
        <v>22</v>
      </c>
      <c r="B38">
        <v>18</v>
      </c>
      <c r="C38" t="s">
        <v>61</v>
      </c>
      <c r="D38">
        <v>1</v>
      </c>
      <c r="E38">
        <v>2.7</v>
      </c>
      <c r="F38">
        <v>2.7</v>
      </c>
      <c r="G38">
        <v>9.9999999999999995E-7</v>
      </c>
      <c r="H38">
        <v>9.9999999999999995E-7</v>
      </c>
      <c r="I38">
        <v>5</v>
      </c>
    </row>
    <row r="39" spans="1:9" x14ac:dyDescent="0.35">
      <c r="A39" t="s">
        <v>22</v>
      </c>
      <c r="B39">
        <v>19</v>
      </c>
      <c r="C39" t="s">
        <v>82</v>
      </c>
      <c r="D39">
        <v>1</v>
      </c>
      <c r="E39">
        <v>28.152000000000001</v>
      </c>
      <c r="F39">
        <v>28.152000000000001</v>
      </c>
      <c r="G39">
        <v>6.4096E-2</v>
      </c>
      <c r="H39">
        <v>6.4096E-2</v>
      </c>
      <c r="I39">
        <v>7</v>
      </c>
    </row>
    <row r="40" spans="1:9" x14ac:dyDescent="0.35">
      <c r="A40" t="s">
        <v>22</v>
      </c>
      <c r="B40">
        <v>20</v>
      </c>
      <c r="C40" t="s">
        <v>121</v>
      </c>
      <c r="D40">
        <v>1</v>
      </c>
      <c r="E40">
        <v>67.948999999999998</v>
      </c>
      <c r="F40">
        <v>67.948999999999998</v>
      </c>
      <c r="G40">
        <v>0.36264299999999999</v>
      </c>
      <c r="H40">
        <v>0.36264299999999999</v>
      </c>
      <c r="I40">
        <v>10</v>
      </c>
    </row>
    <row r="41" spans="1:9" x14ac:dyDescent="0.35">
      <c r="A41" t="s">
        <v>22</v>
      </c>
      <c r="B41">
        <v>21</v>
      </c>
      <c r="C41" t="s">
        <v>133</v>
      </c>
      <c r="D41">
        <v>1</v>
      </c>
      <c r="E41">
        <v>6.1920000000000002</v>
      </c>
      <c r="F41">
        <v>6.1920000000000002</v>
      </c>
      <c r="G41">
        <v>1.1377999999999999E-2</v>
      </c>
      <c r="H41">
        <v>1.1377999999999999E-2</v>
      </c>
      <c r="I41">
        <v>1</v>
      </c>
    </row>
    <row r="42" spans="1:9" x14ac:dyDescent="0.35">
      <c r="A42" t="s">
        <v>22</v>
      </c>
      <c r="B42">
        <v>22</v>
      </c>
      <c r="C42" t="s">
        <v>443</v>
      </c>
      <c r="D42">
        <v>0</v>
      </c>
      <c r="E42">
        <v>367.834</v>
      </c>
      <c r="F42">
        <v>7.1999999999999995E-2</v>
      </c>
      <c r="G42">
        <v>0.57313000000000003</v>
      </c>
      <c r="H42">
        <v>0</v>
      </c>
      <c r="I42">
        <v>81</v>
      </c>
    </row>
    <row r="43" spans="1:9" x14ac:dyDescent="0.35">
      <c r="A43" t="s">
        <v>135</v>
      </c>
      <c r="B43">
        <v>1</v>
      </c>
      <c r="C43" t="s">
        <v>24</v>
      </c>
      <c r="D43">
        <v>0</v>
      </c>
      <c r="E43">
        <v>2.2349999999999999</v>
      </c>
      <c r="F43">
        <v>2.2349999999999999</v>
      </c>
      <c r="G43">
        <v>2.1949999999999999E-3</v>
      </c>
      <c r="H43">
        <v>2.1949999999999999E-3</v>
      </c>
      <c r="I43">
        <v>1</v>
      </c>
    </row>
    <row r="44" spans="1:9" x14ac:dyDescent="0.35">
      <c r="A44" t="s">
        <v>135</v>
      </c>
      <c r="B44">
        <v>2</v>
      </c>
      <c r="C44" t="s">
        <v>33</v>
      </c>
      <c r="D44">
        <v>1</v>
      </c>
      <c r="E44">
        <v>2.2679999999999998</v>
      </c>
      <c r="F44">
        <v>2.2679999999999998</v>
      </c>
      <c r="G44">
        <v>1.08E-4</v>
      </c>
      <c r="H44">
        <v>1.08E-4</v>
      </c>
      <c r="I44">
        <v>1</v>
      </c>
    </row>
    <row r="45" spans="1:9" x14ac:dyDescent="0.35">
      <c r="A45" t="s">
        <v>135</v>
      </c>
      <c r="B45">
        <v>3</v>
      </c>
      <c r="C45" t="s">
        <v>39</v>
      </c>
      <c r="D45">
        <v>1</v>
      </c>
      <c r="E45">
        <v>43.68</v>
      </c>
      <c r="F45">
        <v>43.68</v>
      </c>
      <c r="G45">
        <v>1.83E-2</v>
      </c>
      <c r="H45">
        <v>1.83E-2</v>
      </c>
      <c r="I45">
        <v>11</v>
      </c>
    </row>
    <row r="46" spans="1:9" x14ac:dyDescent="0.35">
      <c r="A46" t="s">
        <v>135</v>
      </c>
      <c r="B46">
        <v>4</v>
      </c>
      <c r="C46" t="s">
        <v>55</v>
      </c>
      <c r="D46">
        <v>1</v>
      </c>
      <c r="E46">
        <v>22.016999999999999</v>
      </c>
      <c r="F46">
        <v>22.016999999999999</v>
      </c>
      <c r="G46">
        <v>3.1071999999999999E-2</v>
      </c>
      <c r="H46">
        <v>3.1071999999999999E-2</v>
      </c>
      <c r="I46">
        <v>1</v>
      </c>
    </row>
    <row r="47" spans="1:9" x14ac:dyDescent="0.35">
      <c r="A47" t="s">
        <v>135</v>
      </c>
      <c r="B47">
        <v>5</v>
      </c>
      <c r="C47" t="s">
        <v>61</v>
      </c>
      <c r="D47">
        <v>1</v>
      </c>
      <c r="E47">
        <v>5.0510000000000002</v>
      </c>
      <c r="F47">
        <v>5.0510000000000002</v>
      </c>
      <c r="G47">
        <v>9.9999999999999995E-7</v>
      </c>
      <c r="H47">
        <v>9.9999999999999995E-7</v>
      </c>
      <c r="I47">
        <v>8</v>
      </c>
    </row>
    <row r="48" spans="1:9" x14ac:dyDescent="0.35">
      <c r="A48" t="s">
        <v>135</v>
      </c>
      <c r="B48">
        <v>6</v>
      </c>
      <c r="C48" t="s">
        <v>61</v>
      </c>
      <c r="D48">
        <v>1</v>
      </c>
      <c r="E48">
        <v>2.298</v>
      </c>
      <c r="F48">
        <v>2.298</v>
      </c>
      <c r="G48">
        <v>9.9999999999999995E-7</v>
      </c>
      <c r="H48">
        <v>9.9999999999999995E-7</v>
      </c>
      <c r="I48">
        <v>7</v>
      </c>
    </row>
    <row r="49" spans="1:9" x14ac:dyDescent="0.35">
      <c r="A49" t="s">
        <v>135</v>
      </c>
      <c r="B49">
        <v>7</v>
      </c>
      <c r="C49" t="s">
        <v>61</v>
      </c>
      <c r="D49">
        <v>1</v>
      </c>
      <c r="E49">
        <v>2.6070000000000002</v>
      </c>
      <c r="F49">
        <v>2.6070000000000002</v>
      </c>
      <c r="G49">
        <v>9.9999999999999995E-7</v>
      </c>
      <c r="H49">
        <v>9.9999999999999995E-7</v>
      </c>
      <c r="I49">
        <v>8</v>
      </c>
    </row>
    <row r="50" spans="1:9" x14ac:dyDescent="0.35">
      <c r="A50" t="s">
        <v>135</v>
      </c>
      <c r="B50">
        <v>8</v>
      </c>
      <c r="C50" t="s">
        <v>82</v>
      </c>
      <c r="D50">
        <v>1</v>
      </c>
      <c r="E50">
        <v>0.28699999999999998</v>
      </c>
      <c r="F50">
        <v>0.28699999999999998</v>
      </c>
      <c r="G50">
        <v>0</v>
      </c>
      <c r="H50">
        <v>0</v>
      </c>
      <c r="I50">
        <v>0</v>
      </c>
    </row>
    <row r="51" spans="1:9" x14ac:dyDescent="0.35">
      <c r="A51" t="s">
        <v>135</v>
      </c>
      <c r="B51">
        <v>9</v>
      </c>
      <c r="C51" t="s">
        <v>61</v>
      </c>
      <c r="D51">
        <v>1</v>
      </c>
      <c r="E51">
        <v>2.0270000000000001</v>
      </c>
      <c r="F51">
        <v>2.0270000000000001</v>
      </c>
      <c r="G51">
        <v>9.9999999999999995E-7</v>
      </c>
      <c r="H51">
        <v>9.9999999999999995E-7</v>
      </c>
      <c r="I51">
        <v>7</v>
      </c>
    </row>
    <row r="52" spans="1:9" x14ac:dyDescent="0.35">
      <c r="A52" t="s">
        <v>135</v>
      </c>
      <c r="B52">
        <v>10</v>
      </c>
      <c r="C52" t="s">
        <v>82</v>
      </c>
      <c r="D52">
        <v>1</v>
      </c>
      <c r="E52">
        <v>0.3</v>
      </c>
      <c r="F52">
        <v>0.3</v>
      </c>
      <c r="G52">
        <v>0</v>
      </c>
      <c r="H52">
        <v>0</v>
      </c>
      <c r="I52">
        <v>0</v>
      </c>
    </row>
    <row r="53" spans="1:9" x14ac:dyDescent="0.35">
      <c r="A53" t="s">
        <v>135</v>
      </c>
      <c r="B53">
        <v>11</v>
      </c>
      <c r="C53" t="s">
        <v>61</v>
      </c>
      <c r="D53">
        <v>1</v>
      </c>
      <c r="E53">
        <v>2.14</v>
      </c>
      <c r="F53">
        <v>2.14</v>
      </c>
      <c r="G53">
        <v>9.9999999999999995E-7</v>
      </c>
      <c r="H53">
        <v>9.9999999999999995E-7</v>
      </c>
      <c r="I53">
        <v>7</v>
      </c>
    </row>
    <row r="54" spans="1:9" x14ac:dyDescent="0.35">
      <c r="A54" t="s">
        <v>135</v>
      </c>
      <c r="B54">
        <v>12</v>
      </c>
      <c r="C54" t="s">
        <v>82</v>
      </c>
      <c r="D54">
        <v>1</v>
      </c>
      <c r="E54">
        <v>16.350000000000001</v>
      </c>
      <c r="F54">
        <v>16.350000000000001</v>
      </c>
      <c r="G54">
        <v>2.9853000000000001E-2</v>
      </c>
      <c r="H54">
        <v>2.9853000000000001E-2</v>
      </c>
      <c r="I54">
        <v>4</v>
      </c>
    </row>
    <row r="55" spans="1:9" x14ac:dyDescent="0.35">
      <c r="A55" t="s">
        <v>135</v>
      </c>
      <c r="B55">
        <v>13</v>
      </c>
      <c r="C55" t="s">
        <v>61</v>
      </c>
      <c r="D55">
        <v>1</v>
      </c>
      <c r="E55">
        <v>3.7050000000000001</v>
      </c>
      <c r="F55">
        <v>3.7050000000000001</v>
      </c>
      <c r="G55">
        <v>9.9999999999999995E-7</v>
      </c>
      <c r="H55">
        <v>9.9999999999999995E-7</v>
      </c>
      <c r="I55">
        <v>6</v>
      </c>
    </row>
    <row r="56" spans="1:9" x14ac:dyDescent="0.35">
      <c r="A56" t="s">
        <v>135</v>
      </c>
      <c r="B56">
        <v>14</v>
      </c>
      <c r="C56" t="s">
        <v>82</v>
      </c>
      <c r="D56">
        <v>1</v>
      </c>
      <c r="E56">
        <v>16.873999999999999</v>
      </c>
      <c r="F56">
        <v>16.873999999999999</v>
      </c>
      <c r="G56">
        <v>3.1036000000000001E-2</v>
      </c>
      <c r="H56">
        <v>3.1036000000000001E-2</v>
      </c>
      <c r="I56">
        <v>4</v>
      </c>
    </row>
    <row r="57" spans="1:9" x14ac:dyDescent="0.35">
      <c r="A57" t="s">
        <v>135</v>
      </c>
      <c r="B57">
        <v>15</v>
      </c>
      <c r="C57" t="s">
        <v>61</v>
      </c>
      <c r="D57">
        <v>1</v>
      </c>
      <c r="E57">
        <v>3.1269999999999998</v>
      </c>
      <c r="F57">
        <v>3.1269999999999998</v>
      </c>
      <c r="G57">
        <v>9.9999999999999995E-7</v>
      </c>
      <c r="H57">
        <v>9.9999999999999995E-7</v>
      </c>
      <c r="I57">
        <v>6</v>
      </c>
    </row>
    <row r="58" spans="1:9" x14ac:dyDescent="0.35">
      <c r="A58" t="s">
        <v>135</v>
      </c>
      <c r="B58">
        <v>16</v>
      </c>
      <c r="C58" t="s">
        <v>82</v>
      </c>
      <c r="D58">
        <v>1</v>
      </c>
      <c r="E58">
        <v>16.332000000000001</v>
      </c>
      <c r="F58">
        <v>16.332000000000001</v>
      </c>
      <c r="G58">
        <v>7.5897999999999993E-2</v>
      </c>
      <c r="H58">
        <v>7.5897999999999993E-2</v>
      </c>
      <c r="I58">
        <v>6</v>
      </c>
    </row>
    <row r="59" spans="1:9" x14ac:dyDescent="0.35">
      <c r="A59" t="s">
        <v>135</v>
      </c>
      <c r="B59">
        <v>17</v>
      </c>
      <c r="C59" t="s">
        <v>121</v>
      </c>
      <c r="D59">
        <v>1</v>
      </c>
      <c r="E59">
        <v>56.779000000000003</v>
      </c>
      <c r="F59">
        <v>56.779000000000003</v>
      </c>
      <c r="G59">
        <v>0.30979499999999999</v>
      </c>
      <c r="H59">
        <v>0.30979499999999999</v>
      </c>
      <c r="I59">
        <v>9</v>
      </c>
    </row>
    <row r="60" spans="1:9" x14ac:dyDescent="0.35">
      <c r="A60" t="s">
        <v>135</v>
      </c>
      <c r="B60">
        <v>18</v>
      </c>
      <c r="C60" t="s">
        <v>133</v>
      </c>
      <c r="D60">
        <v>1</v>
      </c>
      <c r="E60">
        <v>5.0309999999999997</v>
      </c>
      <c r="F60">
        <v>5.0309999999999997</v>
      </c>
      <c r="G60">
        <v>9.5949999999999994E-3</v>
      </c>
      <c r="H60">
        <v>9.5949999999999994E-3</v>
      </c>
      <c r="I60">
        <v>1</v>
      </c>
    </row>
    <row r="61" spans="1:9" x14ac:dyDescent="0.35">
      <c r="A61" t="s">
        <v>135</v>
      </c>
      <c r="B61">
        <v>19</v>
      </c>
      <c r="C61" t="s">
        <v>443</v>
      </c>
      <c r="D61">
        <v>0</v>
      </c>
      <c r="E61">
        <v>200.88399999999999</v>
      </c>
      <c r="F61">
        <v>0.01</v>
      </c>
      <c r="G61">
        <v>0.50566299999999997</v>
      </c>
      <c r="H61">
        <v>0</v>
      </c>
      <c r="I61">
        <v>86</v>
      </c>
    </row>
    <row r="62" spans="1:9" x14ac:dyDescent="0.35">
      <c r="A62" t="s">
        <v>189</v>
      </c>
      <c r="B62">
        <v>1</v>
      </c>
      <c r="C62" t="s">
        <v>24</v>
      </c>
      <c r="D62">
        <v>0</v>
      </c>
      <c r="E62">
        <v>1.756</v>
      </c>
      <c r="F62">
        <v>1.756</v>
      </c>
      <c r="G62">
        <v>2.2049999999999999E-3</v>
      </c>
      <c r="H62">
        <v>2.2049999999999999E-3</v>
      </c>
      <c r="I62">
        <v>1</v>
      </c>
    </row>
    <row r="63" spans="1:9" x14ac:dyDescent="0.35">
      <c r="A63" t="s">
        <v>189</v>
      </c>
      <c r="B63">
        <v>2</v>
      </c>
      <c r="C63" t="s">
        <v>33</v>
      </c>
      <c r="D63">
        <v>1</v>
      </c>
      <c r="E63">
        <v>4.851</v>
      </c>
      <c r="F63">
        <v>4.851</v>
      </c>
      <c r="G63">
        <v>1.0900000000000001E-4</v>
      </c>
      <c r="H63">
        <v>1.0900000000000001E-4</v>
      </c>
      <c r="I63">
        <v>1</v>
      </c>
    </row>
    <row r="64" spans="1:9" x14ac:dyDescent="0.35">
      <c r="A64" t="s">
        <v>189</v>
      </c>
      <c r="B64">
        <v>3</v>
      </c>
      <c r="C64" t="s">
        <v>39</v>
      </c>
      <c r="D64">
        <v>1</v>
      </c>
      <c r="E64">
        <v>31.419</v>
      </c>
      <c r="F64">
        <v>31.419</v>
      </c>
      <c r="G64">
        <v>8.6199999999999992E-3</v>
      </c>
      <c r="H64">
        <v>8.6199999999999992E-3</v>
      </c>
      <c r="I64">
        <v>1</v>
      </c>
    </row>
    <row r="65" spans="1:9" x14ac:dyDescent="0.35">
      <c r="A65" t="s">
        <v>189</v>
      </c>
      <c r="B65">
        <v>4</v>
      </c>
      <c r="C65" t="s">
        <v>55</v>
      </c>
      <c r="D65">
        <v>1</v>
      </c>
      <c r="E65">
        <v>17.792000000000002</v>
      </c>
      <c r="F65">
        <v>17.792000000000002</v>
      </c>
      <c r="G65">
        <v>4.2735000000000002E-2</v>
      </c>
      <c r="H65">
        <v>4.2735000000000002E-2</v>
      </c>
      <c r="I65">
        <v>1</v>
      </c>
    </row>
    <row r="66" spans="1:9" x14ac:dyDescent="0.35">
      <c r="A66" t="s">
        <v>189</v>
      </c>
      <c r="B66">
        <v>5</v>
      </c>
      <c r="C66" t="s">
        <v>61</v>
      </c>
      <c r="D66">
        <v>1</v>
      </c>
      <c r="E66">
        <v>3.3719999999999999</v>
      </c>
      <c r="F66">
        <v>3.3719999999999999</v>
      </c>
      <c r="G66">
        <v>9.9999999999999995E-7</v>
      </c>
      <c r="H66">
        <v>9.9999999999999995E-7</v>
      </c>
      <c r="I66">
        <v>8</v>
      </c>
    </row>
    <row r="67" spans="1:9" x14ac:dyDescent="0.35">
      <c r="A67" t="s">
        <v>189</v>
      </c>
      <c r="B67">
        <v>6</v>
      </c>
      <c r="C67" t="s">
        <v>61</v>
      </c>
      <c r="D67">
        <v>1</v>
      </c>
      <c r="E67">
        <v>3.9950000000000001</v>
      </c>
      <c r="F67">
        <v>3.9950000000000001</v>
      </c>
      <c r="G67">
        <v>9.9999999999999995E-7</v>
      </c>
      <c r="H67">
        <v>9.9999999999999995E-7</v>
      </c>
      <c r="I67">
        <v>8</v>
      </c>
    </row>
    <row r="68" spans="1:9" x14ac:dyDescent="0.35">
      <c r="A68" t="s">
        <v>189</v>
      </c>
      <c r="B68">
        <v>7</v>
      </c>
      <c r="C68" t="s">
        <v>61</v>
      </c>
      <c r="D68">
        <v>1</v>
      </c>
      <c r="E68">
        <v>3.7519999999999998</v>
      </c>
      <c r="F68">
        <v>3.7519999999999998</v>
      </c>
      <c r="G68">
        <v>9.9999999999999995E-7</v>
      </c>
      <c r="H68">
        <v>9.9999999999999995E-7</v>
      </c>
      <c r="I68">
        <v>8</v>
      </c>
    </row>
    <row r="69" spans="1:9" x14ac:dyDescent="0.35">
      <c r="A69" t="s">
        <v>189</v>
      </c>
      <c r="B69">
        <v>8</v>
      </c>
      <c r="C69" t="s">
        <v>82</v>
      </c>
      <c r="D69">
        <v>1</v>
      </c>
      <c r="E69">
        <v>0.72099999999999997</v>
      </c>
      <c r="F69">
        <v>0.72099999999999997</v>
      </c>
      <c r="G69">
        <v>0</v>
      </c>
      <c r="H69">
        <v>0</v>
      </c>
      <c r="I69">
        <v>0</v>
      </c>
    </row>
    <row r="70" spans="1:9" x14ac:dyDescent="0.35">
      <c r="A70" t="s">
        <v>189</v>
      </c>
      <c r="B70">
        <v>9</v>
      </c>
      <c r="C70" t="s">
        <v>61</v>
      </c>
      <c r="D70">
        <v>1</v>
      </c>
      <c r="E70">
        <v>2.5310000000000001</v>
      </c>
      <c r="F70">
        <v>2.5310000000000001</v>
      </c>
      <c r="G70">
        <v>9.9999999999999995E-7</v>
      </c>
      <c r="H70">
        <v>9.9999999999999995E-7</v>
      </c>
      <c r="I70">
        <v>8</v>
      </c>
    </row>
    <row r="71" spans="1:9" x14ac:dyDescent="0.35">
      <c r="A71" t="s">
        <v>189</v>
      </c>
      <c r="B71">
        <v>10</v>
      </c>
      <c r="C71" t="s">
        <v>82</v>
      </c>
      <c r="D71">
        <v>1</v>
      </c>
      <c r="E71">
        <v>0.16</v>
      </c>
      <c r="F71">
        <v>0.16</v>
      </c>
      <c r="G71">
        <v>0</v>
      </c>
      <c r="H71">
        <v>0</v>
      </c>
      <c r="I71">
        <v>0</v>
      </c>
    </row>
    <row r="72" spans="1:9" x14ac:dyDescent="0.35">
      <c r="A72" t="s">
        <v>189</v>
      </c>
      <c r="B72">
        <v>11</v>
      </c>
      <c r="C72" t="s">
        <v>61</v>
      </c>
      <c r="D72">
        <v>1</v>
      </c>
      <c r="E72">
        <v>2.3769999999999998</v>
      </c>
      <c r="F72">
        <v>2.3769999999999998</v>
      </c>
      <c r="G72">
        <v>9.9999999999999995E-7</v>
      </c>
      <c r="H72">
        <v>9.9999999999999995E-7</v>
      </c>
      <c r="I72">
        <v>8</v>
      </c>
    </row>
    <row r="73" spans="1:9" x14ac:dyDescent="0.35">
      <c r="A73" t="s">
        <v>189</v>
      </c>
      <c r="B73">
        <v>12</v>
      </c>
      <c r="C73" t="s">
        <v>82</v>
      </c>
      <c r="D73">
        <v>1</v>
      </c>
      <c r="E73">
        <v>0.39400000000000002</v>
      </c>
      <c r="F73">
        <v>0.39400000000000002</v>
      </c>
      <c r="G73">
        <v>0</v>
      </c>
      <c r="H73">
        <v>0</v>
      </c>
      <c r="I73">
        <v>0</v>
      </c>
    </row>
    <row r="74" spans="1:9" x14ac:dyDescent="0.35">
      <c r="A74" t="s">
        <v>189</v>
      </c>
      <c r="B74">
        <v>13</v>
      </c>
      <c r="C74" t="s">
        <v>61</v>
      </c>
      <c r="D74">
        <v>1</v>
      </c>
      <c r="E74">
        <v>2.9820000000000002</v>
      </c>
      <c r="F74">
        <v>2.9820000000000002</v>
      </c>
      <c r="G74">
        <v>9.9999999999999995E-7</v>
      </c>
      <c r="H74">
        <v>9.9999999999999995E-7</v>
      </c>
      <c r="I74">
        <v>7</v>
      </c>
    </row>
    <row r="75" spans="1:9" x14ac:dyDescent="0.35">
      <c r="A75" t="s">
        <v>189</v>
      </c>
      <c r="B75">
        <v>14</v>
      </c>
      <c r="C75" t="s">
        <v>82</v>
      </c>
      <c r="D75">
        <v>1</v>
      </c>
      <c r="E75">
        <v>7.8680000000000003</v>
      </c>
      <c r="F75">
        <v>7.8680000000000003</v>
      </c>
      <c r="G75">
        <v>7.0110000000000006E-2</v>
      </c>
      <c r="H75">
        <v>7.0110000000000006E-2</v>
      </c>
      <c r="I75">
        <v>6</v>
      </c>
    </row>
    <row r="76" spans="1:9" x14ac:dyDescent="0.35">
      <c r="A76" t="s">
        <v>189</v>
      </c>
      <c r="B76">
        <v>15</v>
      </c>
      <c r="C76" t="s">
        <v>121</v>
      </c>
      <c r="D76">
        <v>1</v>
      </c>
      <c r="E76">
        <v>44.77</v>
      </c>
      <c r="F76">
        <v>44.77</v>
      </c>
      <c r="G76">
        <v>0.245005</v>
      </c>
      <c r="H76">
        <v>0.245005</v>
      </c>
      <c r="I76">
        <v>7</v>
      </c>
    </row>
    <row r="77" spans="1:9" x14ac:dyDescent="0.35">
      <c r="A77" t="s">
        <v>189</v>
      </c>
      <c r="B77">
        <v>16</v>
      </c>
      <c r="C77" t="s">
        <v>133</v>
      </c>
      <c r="D77">
        <v>1</v>
      </c>
      <c r="E77">
        <v>3.0049999999999999</v>
      </c>
      <c r="F77">
        <v>3.0049999999999999</v>
      </c>
      <c r="G77">
        <v>8.6130000000000009E-3</v>
      </c>
      <c r="H77">
        <v>8.6130000000000009E-3</v>
      </c>
      <c r="I77">
        <v>1</v>
      </c>
    </row>
    <row r="78" spans="1:9" x14ac:dyDescent="0.35">
      <c r="A78" t="s">
        <v>189</v>
      </c>
      <c r="B78">
        <v>17</v>
      </c>
      <c r="C78" t="s">
        <v>443</v>
      </c>
      <c r="D78">
        <v>0</v>
      </c>
      <c r="E78">
        <v>129.99600000000001</v>
      </c>
      <c r="F78">
        <v>7.0000000000000001E-3</v>
      </c>
      <c r="G78">
        <v>0.37519599999999997</v>
      </c>
      <c r="H78">
        <v>0</v>
      </c>
      <c r="I78">
        <v>64</v>
      </c>
    </row>
    <row r="79" spans="1:9" x14ac:dyDescent="0.35">
      <c r="A79" t="s">
        <v>224</v>
      </c>
      <c r="B79">
        <v>1</v>
      </c>
      <c r="C79" t="s">
        <v>24</v>
      </c>
      <c r="D79">
        <v>0</v>
      </c>
      <c r="E79">
        <v>1.6539999999999999</v>
      </c>
      <c r="F79">
        <v>1.6539999999999999</v>
      </c>
      <c r="G79">
        <v>2.1949999999999999E-3</v>
      </c>
      <c r="H79">
        <v>2.1949999999999999E-3</v>
      </c>
      <c r="I79">
        <v>1</v>
      </c>
    </row>
    <row r="80" spans="1:9" x14ac:dyDescent="0.35">
      <c r="A80" t="s">
        <v>224</v>
      </c>
      <c r="B80">
        <v>2</v>
      </c>
      <c r="C80" t="s">
        <v>33</v>
      </c>
      <c r="D80">
        <v>1</v>
      </c>
      <c r="E80">
        <v>2.0230000000000001</v>
      </c>
      <c r="F80">
        <v>2.0230000000000001</v>
      </c>
      <c r="G80">
        <v>1.1900000000000001E-4</v>
      </c>
      <c r="H80">
        <v>1.1900000000000001E-4</v>
      </c>
      <c r="I80">
        <v>1</v>
      </c>
    </row>
    <row r="81" spans="1:9" x14ac:dyDescent="0.35">
      <c r="A81" t="s">
        <v>224</v>
      </c>
      <c r="B81">
        <v>3</v>
      </c>
      <c r="C81" t="s">
        <v>39</v>
      </c>
      <c r="D81">
        <v>1</v>
      </c>
      <c r="E81">
        <v>25.486999999999998</v>
      </c>
      <c r="F81">
        <v>25.486999999999998</v>
      </c>
      <c r="G81">
        <v>8.5400000000000007E-3</v>
      </c>
      <c r="H81">
        <v>8.5400000000000007E-3</v>
      </c>
      <c r="I81">
        <v>2</v>
      </c>
    </row>
    <row r="82" spans="1:9" x14ac:dyDescent="0.35">
      <c r="A82" t="s">
        <v>224</v>
      </c>
      <c r="B82">
        <v>4</v>
      </c>
      <c r="C82" t="s">
        <v>55</v>
      </c>
      <c r="D82">
        <v>1</v>
      </c>
      <c r="E82">
        <v>17.434000000000001</v>
      </c>
      <c r="F82">
        <v>17.434000000000001</v>
      </c>
      <c r="G82">
        <v>4.156E-2</v>
      </c>
      <c r="H82">
        <v>4.156E-2</v>
      </c>
      <c r="I82">
        <v>1</v>
      </c>
    </row>
    <row r="83" spans="1:9" x14ac:dyDescent="0.35">
      <c r="A83" t="s">
        <v>224</v>
      </c>
      <c r="B83">
        <v>5</v>
      </c>
      <c r="C83" t="s">
        <v>61</v>
      </c>
      <c r="D83">
        <v>1</v>
      </c>
      <c r="E83">
        <v>1.794</v>
      </c>
      <c r="F83">
        <v>1.794</v>
      </c>
      <c r="G83">
        <v>9.9999999999999995E-7</v>
      </c>
      <c r="H83">
        <v>9.9999999999999995E-7</v>
      </c>
      <c r="I83">
        <v>4</v>
      </c>
    </row>
    <row r="84" spans="1:9" x14ac:dyDescent="0.35">
      <c r="A84" t="s">
        <v>224</v>
      </c>
      <c r="B84">
        <v>6</v>
      </c>
      <c r="C84" t="s">
        <v>61</v>
      </c>
      <c r="D84">
        <v>1</v>
      </c>
      <c r="E84">
        <v>1.325</v>
      </c>
      <c r="F84">
        <v>1.325</v>
      </c>
      <c r="G84">
        <v>0</v>
      </c>
      <c r="H84">
        <v>0</v>
      </c>
      <c r="I84">
        <v>5</v>
      </c>
    </row>
    <row r="85" spans="1:9" x14ac:dyDescent="0.35">
      <c r="A85" t="s">
        <v>224</v>
      </c>
      <c r="B85">
        <v>7</v>
      </c>
      <c r="C85" t="s">
        <v>61</v>
      </c>
      <c r="D85">
        <v>1</v>
      </c>
      <c r="E85">
        <v>1.3779999999999999</v>
      </c>
      <c r="F85">
        <v>1.3779999999999999</v>
      </c>
      <c r="G85">
        <v>9.9999999999999995E-7</v>
      </c>
      <c r="H85">
        <v>9.9999999999999995E-7</v>
      </c>
      <c r="I85">
        <v>5</v>
      </c>
    </row>
    <row r="86" spans="1:9" x14ac:dyDescent="0.35">
      <c r="A86" t="s">
        <v>224</v>
      </c>
      <c r="B86">
        <v>8</v>
      </c>
      <c r="C86" t="s">
        <v>82</v>
      </c>
      <c r="D86">
        <v>1</v>
      </c>
      <c r="E86">
        <v>0.128</v>
      </c>
      <c r="F86">
        <v>0.128</v>
      </c>
      <c r="G86">
        <v>0</v>
      </c>
      <c r="H86">
        <v>0</v>
      </c>
      <c r="I86">
        <v>0</v>
      </c>
    </row>
    <row r="87" spans="1:9" x14ac:dyDescent="0.35">
      <c r="A87" t="s">
        <v>224</v>
      </c>
      <c r="B87">
        <v>9</v>
      </c>
      <c r="C87" t="s">
        <v>61</v>
      </c>
      <c r="D87">
        <v>1</v>
      </c>
      <c r="E87">
        <v>2.0139999999999998</v>
      </c>
      <c r="F87">
        <v>2.0139999999999998</v>
      </c>
      <c r="G87">
        <v>9.9999999999999995E-7</v>
      </c>
      <c r="H87">
        <v>9.9999999999999995E-7</v>
      </c>
      <c r="I87">
        <v>6</v>
      </c>
    </row>
    <row r="88" spans="1:9" x14ac:dyDescent="0.35">
      <c r="A88" t="s">
        <v>224</v>
      </c>
      <c r="B88">
        <v>10</v>
      </c>
      <c r="C88" t="s">
        <v>82</v>
      </c>
      <c r="D88">
        <v>1</v>
      </c>
      <c r="E88">
        <v>7.8E-2</v>
      </c>
      <c r="F88">
        <v>7.8E-2</v>
      </c>
      <c r="G88">
        <v>0</v>
      </c>
      <c r="H88">
        <v>0</v>
      </c>
      <c r="I88">
        <v>0</v>
      </c>
    </row>
    <row r="89" spans="1:9" x14ac:dyDescent="0.35">
      <c r="A89" t="s">
        <v>224</v>
      </c>
      <c r="B89">
        <v>11</v>
      </c>
      <c r="C89" t="s">
        <v>61</v>
      </c>
      <c r="D89">
        <v>1</v>
      </c>
      <c r="E89">
        <v>1.3140000000000001</v>
      </c>
      <c r="F89">
        <v>1.3140000000000001</v>
      </c>
      <c r="G89">
        <v>9.9999999999999995E-7</v>
      </c>
      <c r="H89">
        <v>9.9999999999999995E-7</v>
      </c>
      <c r="I89">
        <v>5</v>
      </c>
    </row>
    <row r="90" spans="1:9" x14ac:dyDescent="0.35">
      <c r="A90" t="s">
        <v>224</v>
      </c>
      <c r="B90">
        <v>12</v>
      </c>
      <c r="C90" t="s">
        <v>82</v>
      </c>
      <c r="D90">
        <v>1</v>
      </c>
      <c r="E90">
        <v>2.8000000000000001E-2</v>
      </c>
      <c r="F90">
        <v>2.8000000000000001E-2</v>
      </c>
      <c r="G90">
        <v>0</v>
      </c>
      <c r="H90">
        <v>0</v>
      </c>
      <c r="I90">
        <v>0</v>
      </c>
    </row>
    <row r="91" spans="1:9" x14ac:dyDescent="0.35">
      <c r="A91" t="s">
        <v>224</v>
      </c>
      <c r="B91">
        <v>13</v>
      </c>
      <c r="C91" t="s">
        <v>61</v>
      </c>
      <c r="D91">
        <v>1</v>
      </c>
      <c r="E91">
        <v>1.4870000000000001</v>
      </c>
      <c r="F91">
        <v>1.4870000000000001</v>
      </c>
      <c r="G91">
        <v>9.9999999999999995E-7</v>
      </c>
      <c r="H91">
        <v>9.9999999999999995E-7</v>
      </c>
      <c r="I91">
        <v>5</v>
      </c>
    </row>
    <row r="92" spans="1:9" x14ac:dyDescent="0.35">
      <c r="A92" t="s">
        <v>224</v>
      </c>
      <c r="B92">
        <v>14</v>
      </c>
      <c r="C92" t="s">
        <v>82</v>
      </c>
      <c r="D92">
        <v>1</v>
      </c>
      <c r="E92">
        <v>23.213000000000001</v>
      </c>
      <c r="F92">
        <v>23.213000000000001</v>
      </c>
      <c r="G92">
        <v>8.0703999999999998E-2</v>
      </c>
      <c r="H92">
        <v>8.0703999999999998E-2</v>
      </c>
      <c r="I92">
        <v>10</v>
      </c>
    </row>
    <row r="93" spans="1:9" x14ac:dyDescent="0.35">
      <c r="A93" t="s">
        <v>224</v>
      </c>
      <c r="B93">
        <v>15</v>
      </c>
      <c r="C93" t="s">
        <v>121</v>
      </c>
      <c r="D93">
        <v>1</v>
      </c>
      <c r="E93">
        <v>22.706</v>
      </c>
      <c r="F93">
        <v>22.706</v>
      </c>
      <c r="G93">
        <v>0.172957</v>
      </c>
      <c r="H93">
        <v>0.172957</v>
      </c>
      <c r="I93">
        <v>6</v>
      </c>
    </row>
    <row r="94" spans="1:9" x14ac:dyDescent="0.35">
      <c r="A94" t="s">
        <v>224</v>
      </c>
      <c r="B94">
        <v>16</v>
      </c>
      <c r="C94" t="s">
        <v>133</v>
      </c>
      <c r="D94">
        <v>1</v>
      </c>
      <c r="E94">
        <v>4.4109999999999996</v>
      </c>
      <c r="F94">
        <v>4.4109999999999996</v>
      </c>
      <c r="G94">
        <v>9.3349999999999995E-3</v>
      </c>
      <c r="H94">
        <v>9.3349999999999995E-3</v>
      </c>
      <c r="I94">
        <v>1</v>
      </c>
    </row>
    <row r="95" spans="1:9" x14ac:dyDescent="0.35">
      <c r="A95" t="s">
        <v>224</v>
      </c>
      <c r="B95">
        <v>17</v>
      </c>
      <c r="C95" t="s">
        <v>443</v>
      </c>
      <c r="D95">
        <v>0</v>
      </c>
      <c r="E95">
        <v>104.82599999999999</v>
      </c>
      <c r="F95">
        <v>7.0000000000000001E-3</v>
      </c>
      <c r="G95">
        <v>0.31322</v>
      </c>
      <c r="H95">
        <v>0</v>
      </c>
      <c r="I95">
        <v>51</v>
      </c>
    </row>
    <row r="96" spans="1:9" x14ac:dyDescent="0.35">
      <c r="A96" t="s">
        <v>254</v>
      </c>
      <c r="B96">
        <v>1</v>
      </c>
      <c r="C96" t="s">
        <v>24</v>
      </c>
      <c r="D96">
        <v>0</v>
      </c>
      <c r="E96">
        <v>1.99</v>
      </c>
      <c r="F96">
        <v>1.99</v>
      </c>
      <c r="G96">
        <v>2.2599999999999999E-3</v>
      </c>
      <c r="H96">
        <v>2.2599999999999999E-3</v>
      </c>
      <c r="I96">
        <v>1</v>
      </c>
    </row>
    <row r="97" spans="1:9" x14ac:dyDescent="0.35">
      <c r="A97" t="s">
        <v>254</v>
      </c>
      <c r="B97">
        <v>2</v>
      </c>
      <c r="C97" t="s">
        <v>33</v>
      </c>
      <c r="D97">
        <v>1</v>
      </c>
      <c r="E97">
        <v>1.575</v>
      </c>
      <c r="F97">
        <v>1.575</v>
      </c>
      <c r="G97">
        <v>1.1400000000000001E-4</v>
      </c>
      <c r="H97">
        <v>1.1400000000000001E-4</v>
      </c>
      <c r="I97">
        <v>1</v>
      </c>
    </row>
    <row r="98" spans="1:9" x14ac:dyDescent="0.35">
      <c r="A98" t="s">
        <v>254</v>
      </c>
      <c r="B98">
        <v>3</v>
      </c>
      <c r="C98" t="s">
        <v>39</v>
      </c>
      <c r="D98">
        <v>1</v>
      </c>
      <c r="E98">
        <v>15.547000000000001</v>
      </c>
      <c r="F98">
        <v>15.547000000000001</v>
      </c>
      <c r="G98">
        <v>6.9899999999999997E-3</v>
      </c>
      <c r="H98">
        <v>6.9899999999999997E-3</v>
      </c>
      <c r="I98">
        <v>1</v>
      </c>
    </row>
    <row r="99" spans="1:9" x14ac:dyDescent="0.35">
      <c r="A99" t="s">
        <v>254</v>
      </c>
      <c r="B99">
        <v>4</v>
      </c>
      <c r="C99" t="s">
        <v>55</v>
      </c>
      <c r="D99">
        <v>1</v>
      </c>
      <c r="E99">
        <v>23.777000000000001</v>
      </c>
      <c r="F99">
        <v>23.777000000000001</v>
      </c>
      <c r="G99">
        <v>4.539E-2</v>
      </c>
      <c r="H99">
        <v>4.539E-2</v>
      </c>
      <c r="I99">
        <v>1</v>
      </c>
    </row>
    <row r="100" spans="1:9" x14ac:dyDescent="0.35">
      <c r="A100" t="s">
        <v>254</v>
      </c>
      <c r="B100">
        <v>5</v>
      </c>
      <c r="C100" t="s">
        <v>61</v>
      </c>
      <c r="D100">
        <v>1</v>
      </c>
      <c r="E100">
        <v>2.7010000000000001</v>
      </c>
      <c r="F100">
        <v>2.7010000000000001</v>
      </c>
      <c r="G100">
        <v>9.9999999999999995E-7</v>
      </c>
      <c r="H100">
        <v>9.9999999999999995E-7</v>
      </c>
      <c r="I100">
        <v>6</v>
      </c>
    </row>
    <row r="101" spans="1:9" x14ac:dyDescent="0.35">
      <c r="A101" t="s">
        <v>254</v>
      </c>
      <c r="B101">
        <v>6</v>
      </c>
      <c r="C101" t="s">
        <v>61</v>
      </c>
      <c r="D101">
        <v>1</v>
      </c>
      <c r="E101">
        <v>2.0779999999999998</v>
      </c>
      <c r="F101">
        <v>2.0779999999999998</v>
      </c>
      <c r="G101">
        <v>0</v>
      </c>
      <c r="H101">
        <v>0</v>
      </c>
      <c r="I101">
        <v>5</v>
      </c>
    </row>
    <row r="102" spans="1:9" x14ac:dyDescent="0.35">
      <c r="A102" t="s">
        <v>254</v>
      </c>
      <c r="B102">
        <v>7</v>
      </c>
      <c r="C102" t="s">
        <v>61</v>
      </c>
      <c r="D102">
        <v>1</v>
      </c>
      <c r="E102">
        <v>1.792</v>
      </c>
      <c r="F102">
        <v>1.792</v>
      </c>
      <c r="G102">
        <v>9.9999999999999995E-7</v>
      </c>
      <c r="H102">
        <v>9.9999999999999995E-7</v>
      </c>
      <c r="I102">
        <v>5</v>
      </c>
    </row>
    <row r="103" spans="1:9" x14ac:dyDescent="0.35">
      <c r="A103" t="s">
        <v>254</v>
      </c>
      <c r="B103">
        <v>8</v>
      </c>
      <c r="C103" t="s">
        <v>82</v>
      </c>
      <c r="D103">
        <v>1</v>
      </c>
      <c r="E103">
        <v>0.78700000000000003</v>
      </c>
      <c r="F103">
        <v>0.78700000000000003</v>
      </c>
      <c r="G103">
        <v>0</v>
      </c>
      <c r="H103">
        <v>0</v>
      </c>
      <c r="I103">
        <v>0</v>
      </c>
    </row>
    <row r="104" spans="1:9" x14ac:dyDescent="0.35">
      <c r="A104" t="s">
        <v>254</v>
      </c>
      <c r="B104">
        <v>9</v>
      </c>
      <c r="C104" t="s">
        <v>61</v>
      </c>
      <c r="D104">
        <v>1</v>
      </c>
      <c r="E104">
        <v>1.8839999999999999</v>
      </c>
      <c r="F104">
        <v>1.8839999999999999</v>
      </c>
      <c r="G104">
        <v>9.9999999999999995E-7</v>
      </c>
      <c r="H104">
        <v>9.9999999999999995E-7</v>
      </c>
      <c r="I104">
        <v>5</v>
      </c>
    </row>
    <row r="105" spans="1:9" x14ac:dyDescent="0.35">
      <c r="A105" t="s">
        <v>254</v>
      </c>
      <c r="B105">
        <v>10</v>
      </c>
      <c r="C105" t="s">
        <v>82</v>
      </c>
      <c r="D105">
        <v>1</v>
      </c>
      <c r="E105">
        <v>0.26900000000000002</v>
      </c>
      <c r="F105">
        <v>0.26900000000000002</v>
      </c>
      <c r="G105">
        <v>0</v>
      </c>
      <c r="H105">
        <v>0</v>
      </c>
      <c r="I105">
        <v>0</v>
      </c>
    </row>
    <row r="106" spans="1:9" x14ac:dyDescent="0.35">
      <c r="A106" t="s">
        <v>254</v>
      </c>
      <c r="B106">
        <v>11</v>
      </c>
      <c r="C106" t="s">
        <v>61</v>
      </c>
      <c r="D106">
        <v>1</v>
      </c>
      <c r="E106">
        <v>1.7470000000000001</v>
      </c>
      <c r="F106">
        <v>1.7470000000000001</v>
      </c>
      <c r="G106">
        <v>9.9999999999999995E-7</v>
      </c>
      <c r="H106">
        <v>9.9999999999999995E-7</v>
      </c>
      <c r="I106">
        <v>5</v>
      </c>
    </row>
    <row r="107" spans="1:9" x14ac:dyDescent="0.35">
      <c r="A107" t="s">
        <v>254</v>
      </c>
      <c r="B107">
        <v>12</v>
      </c>
      <c r="C107" t="s">
        <v>82</v>
      </c>
      <c r="D107">
        <v>1</v>
      </c>
      <c r="E107">
        <v>0.32800000000000001</v>
      </c>
      <c r="F107">
        <v>0.32800000000000001</v>
      </c>
      <c r="G107">
        <v>0</v>
      </c>
      <c r="H107">
        <v>0</v>
      </c>
      <c r="I107">
        <v>0</v>
      </c>
    </row>
    <row r="108" spans="1:9" x14ac:dyDescent="0.35">
      <c r="A108" t="s">
        <v>254</v>
      </c>
      <c r="B108">
        <v>13</v>
      </c>
      <c r="C108" t="s">
        <v>61</v>
      </c>
      <c r="D108">
        <v>1</v>
      </c>
      <c r="E108">
        <v>1.7410000000000001</v>
      </c>
      <c r="F108">
        <v>1.7410000000000001</v>
      </c>
      <c r="G108">
        <v>9.9999999999999995E-7</v>
      </c>
      <c r="H108">
        <v>9.9999999999999995E-7</v>
      </c>
      <c r="I108">
        <v>5</v>
      </c>
    </row>
    <row r="109" spans="1:9" x14ac:dyDescent="0.35">
      <c r="A109" t="s">
        <v>254</v>
      </c>
      <c r="B109">
        <v>14</v>
      </c>
      <c r="C109" t="s">
        <v>82</v>
      </c>
      <c r="D109">
        <v>1</v>
      </c>
      <c r="E109">
        <v>0.32400000000000001</v>
      </c>
      <c r="F109">
        <v>0.32400000000000001</v>
      </c>
      <c r="G109">
        <v>0</v>
      </c>
      <c r="H109">
        <v>0</v>
      </c>
      <c r="I109">
        <v>0</v>
      </c>
    </row>
    <row r="110" spans="1:9" x14ac:dyDescent="0.35">
      <c r="A110" t="s">
        <v>254</v>
      </c>
      <c r="B110">
        <v>15</v>
      </c>
      <c r="C110" t="s">
        <v>61</v>
      </c>
      <c r="D110">
        <v>1</v>
      </c>
      <c r="E110">
        <v>1.9570000000000001</v>
      </c>
      <c r="F110">
        <v>1.9570000000000001</v>
      </c>
      <c r="G110">
        <v>9.9999999999999995E-7</v>
      </c>
      <c r="H110">
        <v>9.9999999999999995E-7</v>
      </c>
      <c r="I110">
        <v>5</v>
      </c>
    </row>
    <row r="111" spans="1:9" x14ac:dyDescent="0.35">
      <c r="A111" t="s">
        <v>254</v>
      </c>
      <c r="B111">
        <v>16</v>
      </c>
      <c r="C111" t="s">
        <v>82</v>
      </c>
      <c r="D111">
        <v>1</v>
      </c>
      <c r="E111">
        <v>0.85899999999999999</v>
      </c>
      <c r="F111">
        <v>0.85899999999999999</v>
      </c>
      <c r="G111">
        <v>0</v>
      </c>
      <c r="H111">
        <v>0</v>
      </c>
      <c r="I111">
        <v>0</v>
      </c>
    </row>
    <row r="112" spans="1:9" x14ac:dyDescent="0.35">
      <c r="A112" t="s">
        <v>254</v>
      </c>
      <c r="B112">
        <v>17</v>
      </c>
      <c r="C112" t="s">
        <v>61</v>
      </c>
      <c r="D112">
        <v>1</v>
      </c>
      <c r="E112">
        <v>1.9359999999999999</v>
      </c>
      <c r="F112">
        <v>1.9359999999999999</v>
      </c>
      <c r="G112">
        <v>9.9999999999999995E-7</v>
      </c>
      <c r="H112">
        <v>9.9999999999999995E-7</v>
      </c>
      <c r="I112">
        <v>5</v>
      </c>
    </row>
    <row r="113" spans="1:9" x14ac:dyDescent="0.35">
      <c r="A113" t="s">
        <v>254</v>
      </c>
      <c r="B113">
        <v>18</v>
      </c>
      <c r="C113" t="s">
        <v>82</v>
      </c>
      <c r="D113">
        <v>1</v>
      </c>
      <c r="E113">
        <v>20.742999999999999</v>
      </c>
      <c r="F113">
        <v>20.742999999999999</v>
      </c>
      <c r="G113">
        <v>7.0140999999999995E-2</v>
      </c>
      <c r="H113">
        <v>7.0140999999999995E-2</v>
      </c>
      <c r="I113">
        <v>6</v>
      </c>
    </row>
    <row r="114" spans="1:9" x14ac:dyDescent="0.35">
      <c r="A114" t="s">
        <v>254</v>
      </c>
      <c r="B114">
        <v>19</v>
      </c>
      <c r="C114" t="s">
        <v>121</v>
      </c>
      <c r="D114">
        <v>1</v>
      </c>
      <c r="E114">
        <v>57.389000000000003</v>
      </c>
      <c r="F114">
        <v>57.389000000000003</v>
      </c>
      <c r="G114">
        <v>0.25728800000000002</v>
      </c>
      <c r="H114">
        <v>0.25728800000000002</v>
      </c>
      <c r="I114">
        <v>8</v>
      </c>
    </row>
    <row r="115" spans="1:9" x14ac:dyDescent="0.35">
      <c r="A115" t="s">
        <v>254</v>
      </c>
      <c r="B115">
        <v>20</v>
      </c>
      <c r="C115" t="s">
        <v>133</v>
      </c>
      <c r="D115">
        <v>1</v>
      </c>
      <c r="E115">
        <v>4.7510000000000003</v>
      </c>
      <c r="F115">
        <v>4.7510000000000003</v>
      </c>
      <c r="G115">
        <v>1.1505E-2</v>
      </c>
      <c r="H115">
        <v>1.1505E-2</v>
      </c>
      <c r="I115">
        <v>1</v>
      </c>
    </row>
    <row r="116" spans="1:9" x14ac:dyDescent="0.35">
      <c r="A116" t="s">
        <v>254</v>
      </c>
      <c r="B116">
        <v>21</v>
      </c>
      <c r="C116" t="s">
        <v>443</v>
      </c>
      <c r="D116">
        <v>0</v>
      </c>
      <c r="E116">
        <v>142.203</v>
      </c>
      <c r="F116">
        <v>1.7999999999999999E-2</v>
      </c>
      <c r="G116">
        <v>0.39143299999999998</v>
      </c>
      <c r="H116">
        <v>0</v>
      </c>
      <c r="I116">
        <v>59</v>
      </c>
    </row>
    <row r="117" spans="1:9" x14ac:dyDescent="0.35">
      <c r="A117" t="s">
        <v>286</v>
      </c>
      <c r="B117">
        <v>1</v>
      </c>
      <c r="C117" t="s">
        <v>24</v>
      </c>
      <c r="D117">
        <v>0</v>
      </c>
      <c r="E117">
        <v>5.165</v>
      </c>
      <c r="F117">
        <v>5.165</v>
      </c>
      <c r="G117">
        <v>4.8799999999999998E-3</v>
      </c>
      <c r="H117">
        <v>4.8799999999999998E-3</v>
      </c>
      <c r="I117">
        <v>1</v>
      </c>
    </row>
    <row r="118" spans="1:9" x14ac:dyDescent="0.35">
      <c r="A118" t="s">
        <v>286</v>
      </c>
      <c r="B118">
        <v>2</v>
      </c>
      <c r="C118" t="s">
        <v>33</v>
      </c>
      <c r="D118">
        <v>1</v>
      </c>
      <c r="E118">
        <v>2.0539999999999998</v>
      </c>
      <c r="F118">
        <v>2.0539999999999998</v>
      </c>
      <c r="G118">
        <v>1.13E-4</v>
      </c>
      <c r="H118">
        <v>1.13E-4</v>
      </c>
      <c r="I118">
        <v>1</v>
      </c>
    </row>
    <row r="119" spans="1:9" x14ac:dyDescent="0.35">
      <c r="A119" t="s">
        <v>286</v>
      </c>
      <c r="B119">
        <v>3</v>
      </c>
      <c r="C119" t="s">
        <v>39</v>
      </c>
      <c r="D119">
        <v>1</v>
      </c>
      <c r="E119">
        <v>19.170000000000002</v>
      </c>
      <c r="F119">
        <v>19.170000000000002</v>
      </c>
      <c r="G119">
        <v>8.1600000000000006E-3</v>
      </c>
      <c r="H119">
        <v>8.1600000000000006E-3</v>
      </c>
      <c r="I119">
        <v>2</v>
      </c>
    </row>
    <row r="120" spans="1:9" x14ac:dyDescent="0.35">
      <c r="A120" t="s">
        <v>286</v>
      </c>
      <c r="B120">
        <v>4</v>
      </c>
      <c r="C120" t="s">
        <v>55</v>
      </c>
      <c r="D120">
        <v>1</v>
      </c>
      <c r="E120">
        <v>36.427999999999997</v>
      </c>
      <c r="F120">
        <v>36.427999999999997</v>
      </c>
      <c r="G120">
        <v>7.5225E-2</v>
      </c>
      <c r="H120">
        <v>7.5225E-2</v>
      </c>
      <c r="I120">
        <v>2</v>
      </c>
    </row>
    <row r="121" spans="1:9" x14ac:dyDescent="0.35">
      <c r="A121" t="s">
        <v>286</v>
      </c>
      <c r="B121">
        <v>5</v>
      </c>
      <c r="C121" t="s">
        <v>61</v>
      </c>
      <c r="D121">
        <v>1</v>
      </c>
      <c r="E121">
        <v>2.9750000000000001</v>
      </c>
      <c r="F121">
        <v>2.9750000000000001</v>
      </c>
      <c r="G121">
        <v>0</v>
      </c>
      <c r="H121">
        <v>0</v>
      </c>
      <c r="I121">
        <v>6</v>
      </c>
    </row>
    <row r="122" spans="1:9" x14ac:dyDescent="0.35">
      <c r="A122" t="s">
        <v>286</v>
      </c>
      <c r="B122">
        <v>6</v>
      </c>
      <c r="C122" t="s">
        <v>61</v>
      </c>
      <c r="D122">
        <v>1</v>
      </c>
      <c r="E122">
        <v>2.2130000000000001</v>
      </c>
      <c r="F122">
        <v>2.2130000000000001</v>
      </c>
      <c r="G122">
        <v>9.9999999999999995E-7</v>
      </c>
      <c r="H122">
        <v>9.9999999999999995E-7</v>
      </c>
      <c r="I122">
        <v>6</v>
      </c>
    </row>
    <row r="123" spans="1:9" x14ac:dyDescent="0.35">
      <c r="A123" t="s">
        <v>286</v>
      </c>
      <c r="B123">
        <v>7</v>
      </c>
      <c r="C123" t="s">
        <v>61</v>
      </c>
      <c r="D123">
        <v>1</v>
      </c>
      <c r="E123">
        <v>2.5859999999999999</v>
      </c>
      <c r="F123">
        <v>2.5859999999999999</v>
      </c>
      <c r="G123">
        <v>9.9999999999999995E-7</v>
      </c>
      <c r="H123">
        <v>9.9999999999999995E-7</v>
      </c>
      <c r="I123">
        <v>7</v>
      </c>
    </row>
    <row r="124" spans="1:9" x14ac:dyDescent="0.35">
      <c r="A124" t="s">
        <v>286</v>
      </c>
      <c r="B124">
        <v>8</v>
      </c>
      <c r="C124" t="s">
        <v>82</v>
      </c>
      <c r="D124">
        <v>1</v>
      </c>
      <c r="E124">
        <v>0.78100000000000003</v>
      </c>
      <c r="F124">
        <v>0.78100000000000003</v>
      </c>
      <c r="G124">
        <v>0</v>
      </c>
      <c r="H124">
        <v>0</v>
      </c>
      <c r="I124">
        <v>0</v>
      </c>
    </row>
    <row r="125" spans="1:9" x14ac:dyDescent="0.35">
      <c r="A125" t="s">
        <v>286</v>
      </c>
      <c r="B125">
        <v>9</v>
      </c>
      <c r="C125" t="s">
        <v>61</v>
      </c>
      <c r="D125">
        <v>1</v>
      </c>
      <c r="E125">
        <v>2.262</v>
      </c>
      <c r="F125">
        <v>2.262</v>
      </c>
      <c r="G125">
        <v>9.9999999999999995E-7</v>
      </c>
      <c r="H125">
        <v>9.9999999999999995E-7</v>
      </c>
      <c r="I125">
        <v>6</v>
      </c>
    </row>
    <row r="126" spans="1:9" x14ac:dyDescent="0.35">
      <c r="A126" t="s">
        <v>286</v>
      </c>
      <c r="B126">
        <v>10</v>
      </c>
      <c r="C126" t="s">
        <v>82</v>
      </c>
      <c r="D126">
        <v>1</v>
      </c>
      <c r="E126">
        <v>0.68700000000000006</v>
      </c>
      <c r="F126">
        <v>0.68700000000000006</v>
      </c>
      <c r="G126">
        <v>0</v>
      </c>
      <c r="H126">
        <v>0</v>
      </c>
      <c r="I126">
        <v>0</v>
      </c>
    </row>
    <row r="127" spans="1:9" x14ac:dyDescent="0.35">
      <c r="A127" t="s">
        <v>286</v>
      </c>
      <c r="B127">
        <v>11</v>
      </c>
      <c r="C127" t="s">
        <v>61</v>
      </c>
      <c r="D127">
        <v>1</v>
      </c>
      <c r="E127">
        <v>2.5209999999999999</v>
      </c>
      <c r="F127">
        <v>2.5209999999999999</v>
      </c>
      <c r="G127">
        <v>9.9999999999999995E-7</v>
      </c>
      <c r="H127">
        <v>9.9999999999999995E-7</v>
      </c>
      <c r="I127">
        <v>6</v>
      </c>
    </row>
    <row r="128" spans="1:9" x14ac:dyDescent="0.35">
      <c r="A128" t="s">
        <v>286</v>
      </c>
      <c r="B128">
        <v>12</v>
      </c>
      <c r="C128" t="s">
        <v>82</v>
      </c>
      <c r="D128">
        <v>1</v>
      </c>
      <c r="E128">
        <v>0.96</v>
      </c>
      <c r="F128">
        <v>0.96</v>
      </c>
      <c r="G128">
        <v>0</v>
      </c>
      <c r="H128">
        <v>0</v>
      </c>
      <c r="I128">
        <v>0</v>
      </c>
    </row>
    <row r="129" spans="1:9" x14ac:dyDescent="0.35">
      <c r="A129" t="s">
        <v>286</v>
      </c>
      <c r="B129">
        <v>13</v>
      </c>
      <c r="C129" t="s">
        <v>61</v>
      </c>
      <c r="D129">
        <v>1</v>
      </c>
      <c r="E129">
        <v>2.4409999999999998</v>
      </c>
      <c r="F129">
        <v>2.4409999999999998</v>
      </c>
      <c r="G129">
        <v>9.9999999999999995E-7</v>
      </c>
      <c r="H129">
        <v>9.9999999999999995E-7</v>
      </c>
      <c r="I129">
        <v>6</v>
      </c>
    </row>
    <row r="130" spans="1:9" x14ac:dyDescent="0.35">
      <c r="A130" t="s">
        <v>286</v>
      </c>
      <c r="B130">
        <v>14</v>
      </c>
      <c r="C130" t="s">
        <v>82</v>
      </c>
      <c r="D130">
        <v>1</v>
      </c>
      <c r="E130">
        <v>8.2720000000000002</v>
      </c>
      <c r="F130">
        <v>8.2720000000000002</v>
      </c>
      <c r="G130">
        <v>1.6844999999999999E-2</v>
      </c>
      <c r="H130">
        <v>1.6844999999999999E-2</v>
      </c>
      <c r="I130">
        <v>2</v>
      </c>
    </row>
    <row r="131" spans="1:9" x14ac:dyDescent="0.35">
      <c r="A131" t="s">
        <v>286</v>
      </c>
      <c r="B131">
        <v>15</v>
      </c>
      <c r="C131" t="s">
        <v>61</v>
      </c>
      <c r="D131">
        <v>1</v>
      </c>
      <c r="E131">
        <v>2.7029999999999998</v>
      </c>
      <c r="F131">
        <v>2.7029999999999998</v>
      </c>
      <c r="G131">
        <v>9.9999999999999995E-7</v>
      </c>
      <c r="H131">
        <v>9.9999999999999995E-7</v>
      </c>
      <c r="I131">
        <v>6</v>
      </c>
    </row>
    <row r="132" spans="1:9" x14ac:dyDescent="0.35">
      <c r="A132" t="s">
        <v>286</v>
      </c>
      <c r="B132">
        <v>16</v>
      </c>
      <c r="C132" t="s">
        <v>82</v>
      </c>
      <c r="D132">
        <v>1</v>
      </c>
      <c r="E132">
        <v>0.432</v>
      </c>
      <c r="F132">
        <v>0.432</v>
      </c>
      <c r="G132">
        <v>0</v>
      </c>
      <c r="H132">
        <v>0</v>
      </c>
      <c r="I132">
        <v>0</v>
      </c>
    </row>
    <row r="133" spans="1:9" x14ac:dyDescent="0.35">
      <c r="A133" t="s">
        <v>286</v>
      </c>
      <c r="B133">
        <v>17</v>
      </c>
      <c r="C133" t="s">
        <v>61</v>
      </c>
      <c r="D133">
        <v>1</v>
      </c>
      <c r="E133">
        <v>2.8330000000000002</v>
      </c>
      <c r="F133">
        <v>2.8330000000000002</v>
      </c>
      <c r="G133">
        <v>9.9999999999999995E-7</v>
      </c>
      <c r="H133">
        <v>9.9999999999999995E-7</v>
      </c>
      <c r="I133">
        <v>7</v>
      </c>
    </row>
    <row r="134" spans="1:9" x14ac:dyDescent="0.35">
      <c r="A134" t="s">
        <v>286</v>
      </c>
      <c r="B134">
        <v>18</v>
      </c>
      <c r="C134" t="s">
        <v>82</v>
      </c>
      <c r="D134">
        <v>1</v>
      </c>
      <c r="E134">
        <v>1.034</v>
      </c>
      <c r="F134">
        <v>1.034</v>
      </c>
      <c r="G134">
        <v>0</v>
      </c>
      <c r="H134">
        <v>0</v>
      </c>
      <c r="I134">
        <v>0</v>
      </c>
    </row>
    <row r="135" spans="1:9" x14ac:dyDescent="0.35">
      <c r="A135" t="s">
        <v>286</v>
      </c>
      <c r="B135">
        <v>19</v>
      </c>
      <c r="C135" t="s">
        <v>121</v>
      </c>
      <c r="D135">
        <v>1</v>
      </c>
      <c r="E135">
        <v>65.796000000000006</v>
      </c>
      <c r="F135">
        <v>65.796000000000006</v>
      </c>
      <c r="G135">
        <v>0.29476799999999997</v>
      </c>
      <c r="H135">
        <v>0.29476799999999997</v>
      </c>
      <c r="I135">
        <v>9</v>
      </c>
    </row>
    <row r="136" spans="1:9" x14ac:dyDescent="0.35">
      <c r="A136" t="s">
        <v>286</v>
      </c>
      <c r="B136">
        <v>20</v>
      </c>
      <c r="C136" t="s">
        <v>133</v>
      </c>
      <c r="D136">
        <v>1</v>
      </c>
      <c r="E136">
        <v>4.4390000000000001</v>
      </c>
      <c r="F136">
        <v>4.4390000000000001</v>
      </c>
      <c r="G136">
        <v>1.0448000000000001E-2</v>
      </c>
      <c r="H136">
        <v>1.0448000000000001E-2</v>
      </c>
      <c r="I136">
        <v>1</v>
      </c>
    </row>
    <row r="137" spans="1:9" x14ac:dyDescent="0.35">
      <c r="A137" t="s">
        <v>286</v>
      </c>
      <c r="B137">
        <v>21</v>
      </c>
      <c r="C137" t="s">
        <v>443</v>
      </c>
      <c r="D137">
        <v>0</v>
      </c>
      <c r="E137">
        <v>160.60400000000001</v>
      </c>
      <c r="F137">
        <v>1.7000000000000001E-2</v>
      </c>
      <c r="G137">
        <v>0.40556500000000001</v>
      </c>
      <c r="H137">
        <v>0</v>
      </c>
      <c r="I137">
        <v>67</v>
      </c>
    </row>
    <row r="138" spans="1:9" x14ac:dyDescent="0.35">
      <c r="A138" t="s">
        <v>326</v>
      </c>
      <c r="B138">
        <v>1</v>
      </c>
      <c r="C138" t="s">
        <v>24</v>
      </c>
      <c r="D138">
        <v>0</v>
      </c>
      <c r="E138">
        <v>1.93</v>
      </c>
      <c r="F138">
        <v>1.93</v>
      </c>
      <c r="G138">
        <v>2.1949999999999999E-3</v>
      </c>
      <c r="H138">
        <v>2.1949999999999999E-3</v>
      </c>
      <c r="I138">
        <v>1</v>
      </c>
    </row>
    <row r="139" spans="1:9" x14ac:dyDescent="0.35">
      <c r="A139" t="s">
        <v>326</v>
      </c>
      <c r="B139">
        <v>2</v>
      </c>
      <c r="C139" t="s">
        <v>33</v>
      </c>
      <c r="D139">
        <v>1</v>
      </c>
      <c r="E139">
        <v>2.1040000000000001</v>
      </c>
      <c r="F139">
        <v>2.1040000000000001</v>
      </c>
      <c r="G139">
        <v>1.2400000000000001E-4</v>
      </c>
      <c r="H139">
        <v>1.2400000000000001E-4</v>
      </c>
      <c r="I139">
        <v>1</v>
      </c>
    </row>
    <row r="140" spans="1:9" x14ac:dyDescent="0.35">
      <c r="A140" t="s">
        <v>326</v>
      </c>
      <c r="B140">
        <v>3</v>
      </c>
      <c r="C140" t="s">
        <v>39</v>
      </c>
      <c r="D140">
        <v>1</v>
      </c>
      <c r="E140">
        <v>30.908000000000001</v>
      </c>
      <c r="F140">
        <v>30.908000000000001</v>
      </c>
      <c r="G140">
        <v>8.5400000000000007E-3</v>
      </c>
      <c r="H140">
        <v>8.5400000000000007E-3</v>
      </c>
      <c r="I140">
        <v>1</v>
      </c>
    </row>
    <row r="141" spans="1:9" x14ac:dyDescent="0.35">
      <c r="A141" t="s">
        <v>326</v>
      </c>
      <c r="B141">
        <v>4</v>
      </c>
      <c r="C141" t="s">
        <v>55</v>
      </c>
      <c r="D141">
        <v>1</v>
      </c>
      <c r="E141">
        <v>46.415999999999997</v>
      </c>
      <c r="F141">
        <v>46.415999999999997</v>
      </c>
      <c r="G141">
        <v>7.8312999999999994E-2</v>
      </c>
      <c r="H141">
        <v>7.8312999999999994E-2</v>
      </c>
      <c r="I141">
        <v>2</v>
      </c>
    </row>
    <row r="142" spans="1:9" x14ac:dyDescent="0.35">
      <c r="A142" t="s">
        <v>326</v>
      </c>
      <c r="B142">
        <v>5</v>
      </c>
      <c r="C142" t="s">
        <v>61</v>
      </c>
      <c r="D142">
        <v>1</v>
      </c>
      <c r="E142">
        <v>2.129</v>
      </c>
      <c r="F142">
        <v>2.129</v>
      </c>
      <c r="G142">
        <v>0</v>
      </c>
      <c r="H142">
        <v>0</v>
      </c>
      <c r="I142">
        <v>4</v>
      </c>
    </row>
    <row r="143" spans="1:9" x14ac:dyDescent="0.35">
      <c r="A143" t="s">
        <v>326</v>
      </c>
      <c r="B143">
        <v>6</v>
      </c>
      <c r="C143" t="s">
        <v>61</v>
      </c>
      <c r="D143">
        <v>1</v>
      </c>
      <c r="E143">
        <v>1.621</v>
      </c>
      <c r="F143">
        <v>1.621</v>
      </c>
      <c r="G143">
        <v>0</v>
      </c>
      <c r="H143">
        <v>0</v>
      </c>
      <c r="I143">
        <v>5</v>
      </c>
    </row>
    <row r="144" spans="1:9" x14ac:dyDescent="0.35">
      <c r="A144" t="s">
        <v>326</v>
      </c>
      <c r="B144">
        <v>7</v>
      </c>
      <c r="C144" t="s">
        <v>61</v>
      </c>
      <c r="D144">
        <v>1</v>
      </c>
      <c r="E144">
        <v>2.0569999999999999</v>
      </c>
      <c r="F144">
        <v>2.0569999999999999</v>
      </c>
      <c r="G144">
        <v>0</v>
      </c>
      <c r="H144">
        <v>0</v>
      </c>
      <c r="I144">
        <v>5</v>
      </c>
    </row>
    <row r="145" spans="1:9" x14ac:dyDescent="0.35">
      <c r="A145" t="s">
        <v>326</v>
      </c>
      <c r="B145">
        <v>8</v>
      </c>
      <c r="C145" t="s">
        <v>61</v>
      </c>
      <c r="D145">
        <v>1</v>
      </c>
      <c r="E145">
        <v>2.4089999999999998</v>
      </c>
      <c r="F145">
        <v>2.4089999999999998</v>
      </c>
      <c r="G145">
        <v>9.9999999999999995E-7</v>
      </c>
      <c r="H145">
        <v>9.9999999999999995E-7</v>
      </c>
      <c r="I145">
        <v>6</v>
      </c>
    </row>
    <row r="146" spans="1:9" x14ac:dyDescent="0.35">
      <c r="A146" t="s">
        <v>326</v>
      </c>
      <c r="B146">
        <v>9</v>
      </c>
      <c r="C146" t="s">
        <v>82</v>
      </c>
      <c r="D146">
        <v>1</v>
      </c>
      <c r="E146">
        <v>12.398</v>
      </c>
      <c r="F146">
        <v>12.398</v>
      </c>
      <c r="G146">
        <v>1.438E-2</v>
      </c>
      <c r="H146">
        <v>1.438E-2</v>
      </c>
      <c r="I146">
        <v>2</v>
      </c>
    </row>
    <row r="147" spans="1:9" x14ac:dyDescent="0.35">
      <c r="A147" t="s">
        <v>326</v>
      </c>
      <c r="B147">
        <v>10</v>
      </c>
      <c r="C147" t="s">
        <v>61</v>
      </c>
      <c r="D147">
        <v>1</v>
      </c>
      <c r="E147">
        <v>2.073</v>
      </c>
      <c r="F147">
        <v>2.073</v>
      </c>
      <c r="G147">
        <v>9.9999999999999995E-7</v>
      </c>
      <c r="H147">
        <v>9.9999999999999995E-7</v>
      </c>
      <c r="I147">
        <v>5</v>
      </c>
    </row>
    <row r="148" spans="1:9" x14ac:dyDescent="0.35">
      <c r="A148" t="s">
        <v>326</v>
      </c>
      <c r="B148">
        <v>11</v>
      </c>
      <c r="C148" t="s">
        <v>82</v>
      </c>
      <c r="D148">
        <v>1</v>
      </c>
      <c r="E148">
        <v>0.96699999999999997</v>
      </c>
      <c r="F148">
        <v>0.96699999999999997</v>
      </c>
      <c r="G148">
        <v>0</v>
      </c>
      <c r="H148">
        <v>0</v>
      </c>
      <c r="I148">
        <v>0</v>
      </c>
    </row>
    <row r="149" spans="1:9" x14ac:dyDescent="0.35">
      <c r="A149" t="s">
        <v>326</v>
      </c>
      <c r="B149">
        <v>12</v>
      </c>
      <c r="C149" t="s">
        <v>61</v>
      </c>
      <c r="D149">
        <v>1</v>
      </c>
      <c r="E149">
        <v>2.3050000000000002</v>
      </c>
      <c r="F149">
        <v>2.3050000000000002</v>
      </c>
      <c r="G149">
        <v>9.9999999999999995E-7</v>
      </c>
      <c r="H149">
        <v>9.9999999999999995E-7</v>
      </c>
      <c r="I149">
        <v>6</v>
      </c>
    </row>
    <row r="150" spans="1:9" x14ac:dyDescent="0.35">
      <c r="A150" t="s">
        <v>326</v>
      </c>
      <c r="B150">
        <v>13</v>
      </c>
      <c r="C150" t="s">
        <v>82</v>
      </c>
      <c r="D150">
        <v>1</v>
      </c>
      <c r="E150">
        <v>1.0309999999999999</v>
      </c>
      <c r="F150">
        <v>1.0309999999999999</v>
      </c>
      <c r="G150">
        <v>0</v>
      </c>
      <c r="H150">
        <v>0</v>
      </c>
      <c r="I150">
        <v>0</v>
      </c>
    </row>
    <row r="151" spans="1:9" x14ac:dyDescent="0.35">
      <c r="A151" t="s">
        <v>326</v>
      </c>
      <c r="B151">
        <v>14</v>
      </c>
      <c r="C151" t="s">
        <v>61</v>
      </c>
      <c r="D151">
        <v>1</v>
      </c>
      <c r="E151">
        <v>2.15</v>
      </c>
      <c r="F151">
        <v>2.15</v>
      </c>
      <c r="G151">
        <v>9.9999999999999995E-7</v>
      </c>
      <c r="H151">
        <v>9.9999999999999995E-7</v>
      </c>
      <c r="I151">
        <v>6</v>
      </c>
    </row>
    <row r="152" spans="1:9" x14ac:dyDescent="0.35">
      <c r="A152" t="s">
        <v>326</v>
      </c>
      <c r="B152">
        <v>15</v>
      </c>
      <c r="C152" t="s">
        <v>82</v>
      </c>
      <c r="D152">
        <v>1</v>
      </c>
      <c r="E152">
        <v>1.022</v>
      </c>
      <c r="F152">
        <v>1.022</v>
      </c>
      <c r="G152">
        <v>0</v>
      </c>
      <c r="H152">
        <v>0</v>
      </c>
      <c r="I152">
        <v>0</v>
      </c>
    </row>
    <row r="153" spans="1:9" x14ac:dyDescent="0.35">
      <c r="A153" t="s">
        <v>326</v>
      </c>
      <c r="B153">
        <v>16</v>
      </c>
      <c r="C153" t="s">
        <v>61</v>
      </c>
      <c r="D153">
        <v>1</v>
      </c>
      <c r="E153">
        <v>2.488</v>
      </c>
      <c r="F153">
        <v>2.488</v>
      </c>
      <c r="G153">
        <v>9.9999999999999995E-7</v>
      </c>
      <c r="H153">
        <v>9.9999999999999995E-7</v>
      </c>
      <c r="I153">
        <v>6</v>
      </c>
    </row>
    <row r="154" spans="1:9" x14ac:dyDescent="0.35">
      <c r="A154" t="s">
        <v>326</v>
      </c>
      <c r="B154">
        <v>17</v>
      </c>
      <c r="C154" t="s">
        <v>82</v>
      </c>
      <c r="D154">
        <v>1</v>
      </c>
      <c r="E154">
        <v>0.38200000000000001</v>
      </c>
      <c r="F154">
        <v>0.38200000000000001</v>
      </c>
      <c r="G154">
        <v>0</v>
      </c>
      <c r="H154">
        <v>0</v>
      </c>
      <c r="I154">
        <v>0</v>
      </c>
    </row>
    <row r="155" spans="1:9" x14ac:dyDescent="0.35">
      <c r="A155" t="s">
        <v>326</v>
      </c>
      <c r="B155">
        <v>18</v>
      </c>
      <c r="C155" t="s">
        <v>61</v>
      </c>
      <c r="D155">
        <v>1</v>
      </c>
      <c r="E155">
        <v>1.9630000000000001</v>
      </c>
      <c r="F155">
        <v>1.9630000000000001</v>
      </c>
      <c r="G155">
        <v>9.9999999999999995E-7</v>
      </c>
      <c r="H155">
        <v>9.9999999999999995E-7</v>
      </c>
      <c r="I155">
        <v>5</v>
      </c>
    </row>
    <row r="156" spans="1:9" x14ac:dyDescent="0.35">
      <c r="A156" t="s">
        <v>326</v>
      </c>
      <c r="B156">
        <v>19</v>
      </c>
      <c r="C156" t="s">
        <v>82</v>
      </c>
      <c r="D156">
        <v>1</v>
      </c>
      <c r="E156">
        <v>18.605</v>
      </c>
      <c r="F156">
        <v>18.605</v>
      </c>
      <c r="G156">
        <v>7.0935999999999999E-2</v>
      </c>
      <c r="H156">
        <v>7.0935999999999999E-2</v>
      </c>
      <c r="I156">
        <v>6</v>
      </c>
    </row>
    <row r="157" spans="1:9" x14ac:dyDescent="0.35">
      <c r="A157" t="s">
        <v>326</v>
      </c>
      <c r="B157">
        <v>20</v>
      </c>
      <c r="C157" t="s">
        <v>121</v>
      </c>
      <c r="D157">
        <v>1</v>
      </c>
      <c r="E157">
        <v>57.866</v>
      </c>
      <c r="F157">
        <v>57.866</v>
      </c>
      <c r="G157">
        <v>0.33862799999999998</v>
      </c>
      <c r="H157">
        <v>0.33862799999999998</v>
      </c>
      <c r="I157">
        <v>9</v>
      </c>
    </row>
    <row r="158" spans="1:9" x14ac:dyDescent="0.35">
      <c r="A158" t="s">
        <v>326</v>
      </c>
      <c r="B158">
        <v>21</v>
      </c>
      <c r="C158" t="s">
        <v>133</v>
      </c>
      <c r="D158">
        <v>1</v>
      </c>
      <c r="E158">
        <v>4.8940000000000001</v>
      </c>
      <c r="F158">
        <v>4.8940000000000001</v>
      </c>
      <c r="G158">
        <v>1.1651999999999999E-2</v>
      </c>
      <c r="H158">
        <v>1.1651999999999999E-2</v>
      </c>
      <c r="I158">
        <v>1</v>
      </c>
    </row>
    <row r="159" spans="1:9" x14ac:dyDescent="0.35">
      <c r="A159" t="s">
        <v>326</v>
      </c>
      <c r="B159">
        <v>22</v>
      </c>
      <c r="C159" t="s">
        <v>443</v>
      </c>
      <c r="D159">
        <v>0</v>
      </c>
      <c r="E159">
        <v>195.81200000000001</v>
      </c>
      <c r="F159">
        <v>2.5999999999999999E-2</v>
      </c>
      <c r="G159">
        <v>0.52257799999999999</v>
      </c>
      <c r="H159">
        <v>0</v>
      </c>
      <c r="I159">
        <v>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82"/>
  <sheetViews>
    <sheetView topLeftCell="E1" zoomScaleNormal="100" workbookViewId="0">
      <pane ySplit="1" topLeftCell="A22" activePane="bottomLeft" state="frozen"/>
      <selection pane="bottomLeft" activeCell="Q44" sqref="Q44"/>
    </sheetView>
  </sheetViews>
  <sheetFormatPr defaultColWidth="8.6328125" defaultRowHeight="14.5" x14ac:dyDescent="0.35"/>
  <cols>
    <col min="1" max="6" width="12" customWidth="1"/>
    <col min="7" max="7" width="14" customWidth="1"/>
    <col min="8" max="9" width="15" customWidth="1"/>
    <col min="10" max="10" width="17" customWidth="1"/>
    <col min="11" max="17" width="12" customWidth="1"/>
  </cols>
  <sheetData>
    <row r="1" spans="1:17" ht="14.2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ht="14.25" customHeight="1" x14ac:dyDescent="0.35">
      <c r="A2" t="s">
        <v>418</v>
      </c>
      <c r="B2">
        <v>1</v>
      </c>
      <c r="C2" t="s">
        <v>461</v>
      </c>
      <c r="D2" t="s">
        <v>24</v>
      </c>
      <c r="E2" t="s">
        <v>25</v>
      </c>
      <c r="F2" t="s">
        <v>26</v>
      </c>
      <c r="G2">
        <v>1173</v>
      </c>
      <c r="H2">
        <v>1024</v>
      </c>
      <c r="I2">
        <v>43</v>
      </c>
      <c r="J2">
        <v>0</v>
      </c>
      <c r="K2">
        <v>2.0830000000000002E-3</v>
      </c>
      <c r="L2">
        <v>1.5855779999999999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ht="14.25" customHeight="1" x14ac:dyDescent="0.35">
      <c r="A3" t="s">
        <v>418</v>
      </c>
      <c r="B3">
        <v>2</v>
      </c>
      <c r="C3" t="s">
        <v>462</v>
      </c>
      <c r="D3" t="s">
        <v>421</v>
      </c>
      <c r="E3" t="s">
        <v>25</v>
      </c>
      <c r="F3" t="s">
        <v>34</v>
      </c>
      <c r="G3">
        <v>1579</v>
      </c>
      <c r="H3">
        <v>0</v>
      </c>
      <c r="I3">
        <v>44</v>
      </c>
      <c r="J3">
        <v>0</v>
      </c>
      <c r="K3">
        <v>2.63E-4</v>
      </c>
      <c r="L3">
        <v>1.5458689999999999</v>
      </c>
      <c r="M3" t="s">
        <v>27</v>
      </c>
      <c r="N3" t="s">
        <v>28</v>
      </c>
      <c r="O3" t="s">
        <v>463</v>
      </c>
      <c r="P3" t="s">
        <v>464</v>
      </c>
      <c r="Q3" t="s">
        <v>465</v>
      </c>
    </row>
    <row r="4" spans="1:17" ht="14.25" customHeight="1" x14ac:dyDescent="0.35">
      <c r="A4" t="s">
        <v>418</v>
      </c>
      <c r="B4">
        <v>3</v>
      </c>
      <c r="C4" t="s">
        <v>466</v>
      </c>
      <c r="D4" t="s">
        <v>421</v>
      </c>
      <c r="E4" t="s">
        <v>25</v>
      </c>
      <c r="F4" t="s">
        <v>26</v>
      </c>
      <c r="G4">
        <v>514</v>
      </c>
      <c r="H4">
        <v>0</v>
      </c>
      <c r="I4">
        <v>40</v>
      </c>
      <c r="J4">
        <v>0</v>
      </c>
      <c r="K4">
        <v>1.6850000000000001E-3</v>
      </c>
      <c r="L4">
        <v>1.532583</v>
      </c>
      <c r="M4" t="s">
        <v>27</v>
      </c>
      <c r="N4" t="s">
        <v>28</v>
      </c>
      <c r="O4" t="s">
        <v>467</v>
      </c>
      <c r="P4" t="s">
        <v>468</v>
      </c>
      <c r="Q4" t="s">
        <v>469</v>
      </c>
    </row>
    <row r="5" spans="1:17" ht="14.25" customHeight="1" x14ac:dyDescent="0.35">
      <c r="A5" t="s">
        <v>418</v>
      </c>
      <c r="B5">
        <v>4</v>
      </c>
      <c r="C5" t="s">
        <v>470</v>
      </c>
      <c r="D5" t="s">
        <v>421</v>
      </c>
      <c r="E5" t="s">
        <v>25</v>
      </c>
      <c r="F5" t="s">
        <v>62</v>
      </c>
      <c r="G5">
        <v>36</v>
      </c>
      <c r="H5">
        <v>0</v>
      </c>
      <c r="I5">
        <v>0</v>
      </c>
      <c r="J5">
        <v>0</v>
      </c>
      <c r="K5">
        <v>9.9999999999999995E-7</v>
      </c>
      <c r="L5">
        <v>0.53591699999999998</v>
      </c>
      <c r="M5" t="s">
        <v>27</v>
      </c>
      <c r="N5" t="s">
        <v>63</v>
      </c>
      <c r="O5" t="s">
        <v>471</v>
      </c>
      <c r="P5" t="s">
        <v>472</v>
      </c>
      <c r="Q5" t="s">
        <v>473</v>
      </c>
    </row>
    <row r="6" spans="1:17" ht="14.25" customHeight="1" x14ac:dyDescent="0.35">
      <c r="A6" t="s">
        <v>418</v>
      </c>
      <c r="B6">
        <v>5</v>
      </c>
      <c r="C6" t="s">
        <v>474</v>
      </c>
      <c r="D6" t="s">
        <v>421</v>
      </c>
      <c r="E6" t="s">
        <v>25</v>
      </c>
      <c r="F6" t="s">
        <v>34</v>
      </c>
      <c r="G6">
        <v>622</v>
      </c>
      <c r="H6">
        <v>0</v>
      </c>
      <c r="I6">
        <v>31</v>
      </c>
      <c r="J6">
        <v>0</v>
      </c>
      <c r="K6">
        <v>1.12E-4</v>
      </c>
      <c r="L6">
        <v>1.235538</v>
      </c>
      <c r="M6" t="s">
        <v>27</v>
      </c>
      <c r="N6" t="s">
        <v>28</v>
      </c>
      <c r="O6" t="s">
        <v>471</v>
      </c>
      <c r="P6" t="s">
        <v>472</v>
      </c>
      <c r="Q6" t="s">
        <v>473</v>
      </c>
    </row>
    <row r="7" spans="1:17" ht="14.25" customHeight="1" x14ac:dyDescent="0.35">
      <c r="A7" t="s">
        <v>418</v>
      </c>
      <c r="B7">
        <v>6</v>
      </c>
      <c r="C7" t="s">
        <v>474</v>
      </c>
      <c r="D7" t="s">
        <v>421</v>
      </c>
      <c r="E7" t="s">
        <v>25</v>
      </c>
      <c r="F7" t="s">
        <v>62</v>
      </c>
      <c r="G7">
        <v>99</v>
      </c>
      <c r="H7">
        <v>0</v>
      </c>
      <c r="I7">
        <v>0</v>
      </c>
      <c r="J7">
        <v>0</v>
      </c>
      <c r="K7">
        <v>1.9999999999999999E-6</v>
      </c>
      <c r="L7">
        <v>0.29211300000000001</v>
      </c>
      <c r="M7" t="s">
        <v>27</v>
      </c>
      <c r="N7" t="s">
        <v>63</v>
      </c>
      <c r="O7" t="s">
        <v>471</v>
      </c>
      <c r="P7" t="s">
        <v>472</v>
      </c>
      <c r="Q7" t="s">
        <v>473</v>
      </c>
    </row>
    <row r="8" spans="1:17" ht="14.25" customHeight="1" x14ac:dyDescent="0.35">
      <c r="A8" t="s">
        <v>418</v>
      </c>
      <c r="B8">
        <v>7</v>
      </c>
      <c r="C8" t="s">
        <v>475</v>
      </c>
      <c r="D8" t="s">
        <v>421</v>
      </c>
      <c r="E8" t="s">
        <v>25</v>
      </c>
      <c r="F8" t="s">
        <v>34</v>
      </c>
      <c r="G8">
        <v>685</v>
      </c>
      <c r="H8">
        <v>0</v>
      </c>
      <c r="I8">
        <v>172</v>
      </c>
      <c r="J8">
        <v>0</v>
      </c>
      <c r="K8">
        <v>2.0599999999999999E-4</v>
      </c>
      <c r="L8">
        <v>2.5960139999999998</v>
      </c>
      <c r="M8" t="s">
        <v>27</v>
      </c>
      <c r="N8" t="s">
        <v>28</v>
      </c>
      <c r="O8" t="s">
        <v>471</v>
      </c>
      <c r="P8" t="s">
        <v>472</v>
      </c>
      <c r="Q8" t="s">
        <v>473</v>
      </c>
    </row>
    <row r="9" spans="1:17" ht="14.25" customHeight="1" x14ac:dyDescent="0.35">
      <c r="A9" t="s">
        <v>418</v>
      </c>
      <c r="B9">
        <v>8</v>
      </c>
      <c r="C9" t="s">
        <v>475</v>
      </c>
      <c r="D9" t="s">
        <v>421</v>
      </c>
      <c r="E9" t="s">
        <v>25</v>
      </c>
      <c r="F9" t="s">
        <v>62</v>
      </c>
      <c r="G9">
        <v>442</v>
      </c>
      <c r="H9">
        <v>0</v>
      </c>
      <c r="I9">
        <v>0</v>
      </c>
      <c r="J9">
        <v>0</v>
      </c>
      <c r="K9">
        <v>9.0000000000000002E-6</v>
      </c>
      <c r="L9">
        <v>0.30654900000000002</v>
      </c>
      <c r="M9" t="s">
        <v>27</v>
      </c>
      <c r="N9" t="s">
        <v>63</v>
      </c>
      <c r="O9" t="s">
        <v>471</v>
      </c>
      <c r="P9" t="s">
        <v>472</v>
      </c>
      <c r="Q9" t="s">
        <v>473</v>
      </c>
    </row>
    <row r="10" spans="1:17" ht="14.25" customHeight="1" x14ac:dyDescent="0.35">
      <c r="A10" t="s">
        <v>418</v>
      </c>
      <c r="B10">
        <v>9</v>
      </c>
      <c r="C10" t="s">
        <v>476</v>
      </c>
      <c r="D10" t="s">
        <v>421</v>
      </c>
      <c r="E10" t="s">
        <v>25</v>
      </c>
      <c r="F10" t="s">
        <v>34</v>
      </c>
      <c r="G10">
        <v>1065</v>
      </c>
      <c r="H10">
        <v>0</v>
      </c>
      <c r="I10">
        <v>338</v>
      </c>
      <c r="J10">
        <v>0</v>
      </c>
      <c r="K10">
        <v>3.6299999999999999E-4</v>
      </c>
      <c r="L10">
        <v>3.8029030000000001</v>
      </c>
      <c r="M10" t="s">
        <v>27</v>
      </c>
      <c r="N10" t="s">
        <v>28</v>
      </c>
      <c r="O10" t="s">
        <v>471</v>
      </c>
      <c r="P10" t="s">
        <v>472</v>
      </c>
      <c r="Q10" t="s">
        <v>473</v>
      </c>
    </row>
    <row r="11" spans="1:17" ht="14.25" customHeight="1" x14ac:dyDescent="0.35">
      <c r="A11" t="s">
        <v>418</v>
      </c>
      <c r="B11">
        <v>10</v>
      </c>
      <c r="C11" t="s">
        <v>477</v>
      </c>
      <c r="D11" t="s">
        <v>421</v>
      </c>
      <c r="E11" t="s">
        <v>25</v>
      </c>
      <c r="F11" t="s">
        <v>62</v>
      </c>
      <c r="G11">
        <v>74</v>
      </c>
      <c r="H11">
        <v>0</v>
      </c>
      <c r="I11">
        <v>0</v>
      </c>
      <c r="J11">
        <v>0</v>
      </c>
      <c r="K11">
        <v>9.9999999999999995E-7</v>
      </c>
      <c r="L11">
        <v>0.19391900000000001</v>
      </c>
      <c r="M11" t="s">
        <v>27</v>
      </c>
      <c r="N11" t="s">
        <v>63</v>
      </c>
      <c r="O11" t="s">
        <v>471</v>
      </c>
      <c r="P11" t="s">
        <v>472</v>
      </c>
      <c r="Q11" t="s">
        <v>473</v>
      </c>
    </row>
    <row r="12" spans="1:17" ht="14.25" customHeight="1" x14ac:dyDescent="0.35">
      <c r="A12" t="s">
        <v>418</v>
      </c>
      <c r="B12">
        <v>11</v>
      </c>
      <c r="C12" t="s">
        <v>478</v>
      </c>
      <c r="D12" t="s">
        <v>421</v>
      </c>
      <c r="E12" t="s">
        <v>25</v>
      </c>
      <c r="F12" t="s">
        <v>34</v>
      </c>
      <c r="G12">
        <v>660</v>
      </c>
      <c r="H12">
        <v>0</v>
      </c>
      <c r="I12">
        <v>261</v>
      </c>
      <c r="J12">
        <v>0</v>
      </c>
      <c r="K12">
        <v>2.5599999999999999E-4</v>
      </c>
      <c r="L12">
        <v>3.698413</v>
      </c>
      <c r="M12" t="s">
        <v>27</v>
      </c>
      <c r="N12" t="s">
        <v>28</v>
      </c>
      <c r="O12" t="s">
        <v>471</v>
      </c>
      <c r="P12" t="s">
        <v>472</v>
      </c>
      <c r="Q12" t="s">
        <v>473</v>
      </c>
    </row>
    <row r="13" spans="1:17" ht="14.25" customHeight="1" x14ac:dyDescent="0.35">
      <c r="A13" t="s">
        <v>418</v>
      </c>
      <c r="B13">
        <v>12</v>
      </c>
      <c r="C13" t="s">
        <v>478</v>
      </c>
      <c r="D13" t="s">
        <v>421</v>
      </c>
      <c r="E13" t="s">
        <v>25</v>
      </c>
      <c r="F13" t="s">
        <v>62</v>
      </c>
      <c r="G13">
        <v>83</v>
      </c>
      <c r="H13">
        <v>0</v>
      </c>
      <c r="I13">
        <v>0</v>
      </c>
      <c r="J13">
        <v>0</v>
      </c>
      <c r="K13">
        <v>1.9999999999999999E-6</v>
      </c>
      <c r="L13">
        <v>0.29440499999999997</v>
      </c>
      <c r="M13" t="s">
        <v>27</v>
      </c>
      <c r="N13" t="s">
        <v>63</v>
      </c>
      <c r="O13" t="s">
        <v>471</v>
      </c>
      <c r="P13" t="s">
        <v>472</v>
      </c>
      <c r="Q13" t="s">
        <v>473</v>
      </c>
    </row>
    <row r="14" spans="1:17" ht="14.25" customHeight="1" x14ac:dyDescent="0.35">
      <c r="A14" t="s">
        <v>418</v>
      </c>
      <c r="B14">
        <v>13</v>
      </c>
      <c r="C14" t="s">
        <v>479</v>
      </c>
      <c r="D14" t="s">
        <v>421</v>
      </c>
      <c r="E14" t="s">
        <v>25</v>
      </c>
      <c r="F14" t="s">
        <v>34</v>
      </c>
      <c r="G14">
        <v>670</v>
      </c>
      <c r="H14">
        <v>0</v>
      </c>
      <c r="I14">
        <v>252</v>
      </c>
      <c r="J14">
        <v>0</v>
      </c>
      <c r="K14">
        <v>2.52E-4</v>
      </c>
      <c r="L14">
        <v>2.643548</v>
      </c>
      <c r="M14" t="s">
        <v>27</v>
      </c>
      <c r="N14" t="s">
        <v>28</v>
      </c>
      <c r="O14" t="s">
        <v>471</v>
      </c>
      <c r="P14" t="s">
        <v>472</v>
      </c>
      <c r="Q14" t="s">
        <v>473</v>
      </c>
    </row>
    <row r="15" spans="1:17" ht="14.25" customHeight="1" x14ac:dyDescent="0.35">
      <c r="A15" t="s">
        <v>418</v>
      </c>
      <c r="B15">
        <v>14</v>
      </c>
      <c r="C15" t="s">
        <v>479</v>
      </c>
      <c r="D15" t="s">
        <v>421</v>
      </c>
      <c r="E15" t="s">
        <v>25</v>
      </c>
      <c r="F15" t="s">
        <v>62</v>
      </c>
      <c r="G15">
        <v>74</v>
      </c>
      <c r="H15">
        <v>0</v>
      </c>
      <c r="I15">
        <v>0</v>
      </c>
      <c r="J15">
        <v>0</v>
      </c>
      <c r="K15">
        <v>9.9999999999999995E-7</v>
      </c>
      <c r="L15">
        <v>0.29615999999999998</v>
      </c>
      <c r="M15" t="s">
        <v>27</v>
      </c>
      <c r="N15" t="s">
        <v>63</v>
      </c>
      <c r="O15" t="s">
        <v>471</v>
      </c>
      <c r="P15" t="s">
        <v>472</v>
      </c>
      <c r="Q15" t="s">
        <v>473</v>
      </c>
    </row>
    <row r="16" spans="1:17" ht="14.25" customHeight="1" x14ac:dyDescent="0.35">
      <c r="A16" t="s">
        <v>418</v>
      </c>
      <c r="B16">
        <v>15</v>
      </c>
      <c r="C16" t="s">
        <v>480</v>
      </c>
      <c r="D16" t="s">
        <v>421</v>
      </c>
      <c r="E16" t="s">
        <v>25</v>
      </c>
      <c r="F16" t="s">
        <v>34</v>
      </c>
      <c r="G16">
        <v>660</v>
      </c>
      <c r="H16">
        <v>0</v>
      </c>
      <c r="I16">
        <v>244</v>
      </c>
      <c r="J16">
        <v>0</v>
      </c>
      <c r="K16">
        <v>2.4499999999999999E-4</v>
      </c>
      <c r="L16">
        <v>2.6954639999999999</v>
      </c>
      <c r="M16" t="s">
        <v>27</v>
      </c>
      <c r="N16" t="s">
        <v>28</v>
      </c>
      <c r="O16" t="s">
        <v>471</v>
      </c>
      <c r="P16" t="s">
        <v>472</v>
      </c>
      <c r="Q16" t="s">
        <v>473</v>
      </c>
    </row>
    <row r="17" spans="1:17" ht="14.25" customHeight="1" x14ac:dyDescent="0.35">
      <c r="A17" t="s">
        <v>418</v>
      </c>
      <c r="B17">
        <v>16</v>
      </c>
      <c r="C17" t="s">
        <v>481</v>
      </c>
      <c r="D17" t="s">
        <v>421</v>
      </c>
      <c r="E17" t="s">
        <v>25</v>
      </c>
      <c r="F17" t="s">
        <v>62</v>
      </c>
      <c r="G17">
        <v>36</v>
      </c>
      <c r="H17">
        <v>0</v>
      </c>
      <c r="I17">
        <v>0</v>
      </c>
      <c r="J17">
        <v>0</v>
      </c>
      <c r="K17">
        <v>9.9999999999999995E-7</v>
      </c>
      <c r="L17">
        <v>0.48021799999999998</v>
      </c>
      <c r="M17" t="s">
        <v>27</v>
      </c>
      <c r="N17" t="s">
        <v>63</v>
      </c>
      <c r="O17" t="s">
        <v>471</v>
      </c>
      <c r="P17" t="s">
        <v>472</v>
      </c>
      <c r="Q17" t="s">
        <v>473</v>
      </c>
    </row>
    <row r="18" spans="1:17" ht="14.25" customHeight="1" x14ac:dyDescent="0.35">
      <c r="A18" t="s">
        <v>418</v>
      </c>
      <c r="B18">
        <v>17</v>
      </c>
      <c r="C18" t="s">
        <v>482</v>
      </c>
      <c r="D18" t="s">
        <v>421</v>
      </c>
      <c r="E18" t="s">
        <v>25</v>
      </c>
      <c r="F18" t="s">
        <v>34</v>
      </c>
      <c r="G18">
        <v>626</v>
      </c>
      <c r="H18">
        <v>0</v>
      </c>
      <c r="I18">
        <v>25</v>
      </c>
      <c r="J18">
        <v>0</v>
      </c>
      <c r="K18">
        <v>1.0900000000000001E-4</v>
      </c>
      <c r="L18">
        <v>1.106697</v>
      </c>
      <c r="M18" t="s">
        <v>27</v>
      </c>
      <c r="N18" t="s">
        <v>28</v>
      </c>
      <c r="O18" t="s">
        <v>471</v>
      </c>
      <c r="P18" t="s">
        <v>472</v>
      </c>
      <c r="Q18" t="s">
        <v>473</v>
      </c>
    </row>
    <row r="19" spans="1:17" ht="14.25" customHeight="1" x14ac:dyDescent="0.35">
      <c r="A19" t="s">
        <v>418</v>
      </c>
      <c r="B19">
        <v>18</v>
      </c>
      <c r="C19" t="s">
        <v>482</v>
      </c>
      <c r="D19" t="s">
        <v>421</v>
      </c>
      <c r="E19" t="s">
        <v>25</v>
      </c>
      <c r="F19" t="s">
        <v>62</v>
      </c>
      <c r="G19">
        <v>99</v>
      </c>
      <c r="H19">
        <v>0</v>
      </c>
      <c r="I19">
        <v>0</v>
      </c>
      <c r="J19">
        <v>0</v>
      </c>
      <c r="K19">
        <v>1.9999999999999999E-6</v>
      </c>
      <c r="L19">
        <v>0.210003</v>
      </c>
      <c r="M19" t="s">
        <v>27</v>
      </c>
      <c r="N19" t="s">
        <v>63</v>
      </c>
      <c r="O19" t="s">
        <v>471</v>
      </c>
      <c r="P19" t="s">
        <v>472</v>
      </c>
      <c r="Q19" t="s">
        <v>473</v>
      </c>
    </row>
    <row r="20" spans="1:17" ht="14.25" customHeight="1" x14ac:dyDescent="0.35">
      <c r="A20" t="s">
        <v>418</v>
      </c>
      <c r="B20">
        <v>19</v>
      </c>
      <c r="C20" t="s">
        <v>483</v>
      </c>
      <c r="D20" t="s">
        <v>421</v>
      </c>
      <c r="E20" t="s">
        <v>25</v>
      </c>
      <c r="F20" t="s">
        <v>34</v>
      </c>
      <c r="G20">
        <v>689</v>
      </c>
      <c r="H20">
        <v>0</v>
      </c>
      <c r="I20">
        <v>165</v>
      </c>
      <c r="J20">
        <v>0</v>
      </c>
      <c r="K20">
        <v>2.02E-4</v>
      </c>
      <c r="L20">
        <v>2.260605</v>
      </c>
      <c r="M20" t="s">
        <v>27</v>
      </c>
      <c r="N20" t="s">
        <v>28</v>
      </c>
      <c r="O20" t="s">
        <v>471</v>
      </c>
      <c r="P20" t="s">
        <v>472</v>
      </c>
      <c r="Q20" t="s">
        <v>473</v>
      </c>
    </row>
    <row r="21" spans="1:17" ht="14.25" customHeight="1" x14ac:dyDescent="0.35">
      <c r="A21" t="s">
        <v>418</v>
      </c>
      <c r="B21">
        <v>20</v>
      </c>
      <c r="C21" t="s">
        <v>483</v>
      </c>
      <c r="D21" t="s">
        <v>421</v>
      </c>
      <c r="E21" t="s">
        <v>25</v>
      </c>
      <c r="F21" t="s">
        <v>62</v>
      </c>
      <c r="G21">
        <v>442</v>
      </c>
      <c r="H21">
        <v>0</v>
      </c>
      <c r="I21">
        <v>0</v>
      </c>
      <c r="J21">
        <v>0</v>
      </c>
      <c r="K21">
        <v>9.0000000000000002E-6</v>
      </c>
      <c r="L21">
        <v>0.28576200000000002</v>
      </c>
      <c r="M21" t="s">
        <v>27</v>
      </c>
      <c r="N21" t="s">
        <v>63</v>
      </c>
      <c r="O21" t="s">
        <v>471</v>
      </c>
      <c r="P21" t="s">
        <v>472</v>
      </c>
      <c r="Q21" t="s">
        <v>473</v>
      </c>
    </row>
    <row r="22" spans="1:17" ht="14.25" customHeight="1" x14ac:dyDescent="0.35">
      <c r="A22" t="s">
        <v>418</v>
      </c>
      <c r="B22">
        <v>21</v>
      </c>
      <c r="C22" t="s">
        <v>484</v>
      </c>
      <c r="D22" t="s">
        <v>421</v>
      </c>
      <c r="E22" t="s">
        <v>25</v>
      </c>
      <c r="F22" t="s">
        <v>34</v>
      </c>
      <c r="G22">
        <v>1069</v>
      </c>
      <c r="H22">
        <v>0</v>
      </c>
      <c r="I22">
        <v>311</v>
      </c>
      <c r="J22">
        <v>0</v>
      </c>
      <c r="K22">
        <v>3.4699999999999998E-4</v>
      </c>
      <c r="L22">
        <v>3.4940600000000002</v>
      </c>
      <c r="M22" t="s">
        <v>27</v>
      </c>
      <c r="N22" t="s">
        <v>28</v>
      </c>
      <c r="O22" t="s">
        <v>471</v>
      </c>
      <c r="P22" t="s">
        <v>472</v>
      </c>
      <c r="Q22" t="s">
        <v>473</v>
      </c>
    </row>
    <row r="23" spans="1:17" ht="14.25" customHeight="1" x14ac:dyDescent="0.35">
      <c r="A23" t="s">
        <v>418</v>
      </c>
      <c r="B23">
        <v>22</v>
      </c>
      <c r="C23" t="s">
        <v>485</v>
      </c>
      <c r="D23" t="s">
        <v>421</v>
      </c>
      <c r="E23" t="s">
        <v>25</v>
      </c>
      <c r="F23" t="s">
        <v>62</v>
      </c>
      <c r="G23">
        <v>74</v>
      </c>
      <c r="H23">
        <v>0</v>
      </c>
      <c r="I23">
        <v>0</v>
      </c>
      <c r="J23">
        <v>0</v>
      </c>
      <c r="K23">
        <v>9.9999999999999995E-7</v>
      </c>
      <c r="L23">
        <v>0.31713599999999997</v>
      </c>
      <c r="M23" t="s">
        <v>27</v>
      </c>
      <c r="N23" t="s">
        <v>63</v>
      </c>
      <c r="O23" t="s">
        <v>471</v>
      </c>
      <c r="P23" t="s">
        <v>472</v>
      </c>
      <c r="Q23" t="s">
        <v>473</v>
      </c>
    </row>
    <row r="24" spans="1:17" ht="14.25" customHeight="1" x14ac:dyDescent="0.35">
      <c r="A24" t="s">
        <v>418</v>
      </c>
      <c r="B24">
        <v>23</v>
      </c>
      <c r="C24" t="s">
        <v>486</v>
      </c>
      <c r="D24" t="s">
        <v>421</v>
      </c>
      <c r="E24" t="s">
        <v>25</v>
      </c>
      <c r="F24" t="s">
        <v>34</v>
      </c>
      <c r="G24">
        <v>664</v>
      </c>
      <c r="H24">
        <v>0</v>
      </c>
      <c r="I24">
        <v>238</v>
      </c>
      <c r="J24">
        <v>0</v>
      </c>
      <c r="K24">
        <v>2.42E-4</v>
      </c>
      <c r="L24">
        <v>2.675608</v>
      </c>
      <c r="M24" t="s">
        <v>27</v>
      </c>
      <c r="N24" t="s">
        <v>28</v>
      </c>
      <c r="O24" t="s">
        <v>471</v>
      </c>
      <c r="P24" t="s">
        <v>472</v>
      </c>
      <c r="Q24" t="s">
        <v>473</v>
      </c>
    </row>
    <row r="25" spans="1:17" ht="14.25" customHeight="1" x14ac:dyDescent="0.35">
      <c r="A25" t="s">
        <v>418</v>
      </c>
      <c r="B25">
        <v>24</v>
      </c>
      <c r="C25" t="s">
        <v>486</v>
      </c>
      <c r="D25" t="s">
        <v>421</v>
      </c>
      <c r="E25" t="s">
        <v>25</v>
      </c>
      <c r="F25" t="s">
        <v>62</v>
      </c>
      <c r="G25">
        <v>83</v>
      </c>
      <c r="H25">
        <v>0</v>
      </c>
      <c r="I25">
        <v>0</v>
      </c>
      <c r="J25">
        <v>0</v>
      </c>
      <c r="K25">
        <v>1.9999999999999999E-6</v>
      </c>
      <c r="L25">
        <v>0.30195899999999998</v>
      </c>
      <c r="M25" t="s">
        <v>27</v>
      </c>
      <c r="N25" t="s">
        <v>63</v>
      </c>
      <c r="O25" t="s">
        <v>471</v>
      </c>
      <c r="P25" t="s">
        <v>472</v>
      </c>
      <c r="Q25" t="s">
        <v>473</v>
      </c>
    </row>
    <row r="26" spans="1:17" ht="14.25" customHeight="1" x14ac:dyDescent="0.35">
      <c r="A26" t="s">
        <v>418</v>
      </c>
      <c r="B26">
        <v>25</v>
      </c>
      <c r="C26" t="s">
        <v>487</v>
      </c>
      <c r="D26" t="s">
        <v>421</v>
      </c>
      <c r="E26" t="s">
        <v>25</v>
      </c>
      <c r="F26" t="s">
        <v>34</v>
      </c>
      <c r="G26">
        <v>674</v>
      </c>
      <c r="H26">
        <v>0</v>
      </c>
      <c r="I26">
        <v>228</v>
      </c>
      <c r="J26">
        <v>0</v>
      </c>
      <c r="K26">
        <v>2.3800000000000001E-4</v>
      </c>
      <c r="L26">
        <v>2.855839</v>
      </c>
      <c r="M26" t="s">
        <v>27</v>
      </c>
      <c r="N26" t="s">
        <v>28</v>
      </c>
      <c r="O26" t="s">
        <v>471</v>
      </c>
      <c r="P26" t="s">
        <v>472</v>
      </c>
      <c r="Q26" t="s">
        <v>473</v>
      </c>
    </row>
    <row r="27" spans="1:17" ht="14.25" customHeight="1" x14ac:dyDescent="0.35">
      <c r="A27" t="s">
        <v>418</v>
      </c>
      <c r="B27">
        <v>26</v>
      </c>
      <c r="C27" t="s">
        <v>487</v>
      </c>
      <c r="D27" t="s">
        <v>421</v>
      </c>
      <c r="E27" t="s">
        <v>25</v>
      </c>
      <c r="F27" t="s">
        <v>62</v>
      </c>
      <c r="G27">
        <v>74</v>
      </c>
      <c r="H27">
        <v>0</v>
      </c>
      <c r="I27">
        <v>0</v>
      </c>
      <c r="J27">
        <v>0</v>
      </c>
      <c r="K27">
        <v>9.9999999999999995E-7</v>
      </c>
      <c r="L27">
        <v>0.30740800000000001</v>
      </c>
      <c r="M27" t="s">
        <v>27</v>
      </c>
      <c r="N27" t="s">
        <v>63</v>
      </c>
      <c r="O27" t="s">
        <v>471</v>
      </c>
      <c r="P27" t="s">
        <v>472</v>
      </c>
      <c r="Q27" t="s">
        <v>473</v>
      </c>
    </row>
    <row r="28" spans="1:17" ht="14.25" customHeight="1" x14ac:dyDescent="0.35">
      <c r="A28" t="s">
        <v>418</v>
      </c>
      <c r="B28">
        <v>27</v>
      </c>
      <c r="C28" t="s">
        <v>488</v>
      </c>
      <c r="D28" t="s">
        <v>421</v>
      </c>
      <c r="E28" t="s">
        <v>25</v>
      </c>
      <c r="F28" t="s">
        <v>34</v>
      </c>
      <c r="G28">
        <v>664</v>
      </c>
      <c r="H28">
        <v>0</v>
      </c>
      <c r="I28">
        <v>155</v>
      </c>
      <c r="J28">
        <v>0</v>
      </c>
      <c r="K28">
        <v>1.93E-4</v>
      </c>
      <c r="L28">
        <v>2.4725350000000001</v>
      </c>
      <c r="M28" t="s">
        <v>27</v>
      </c>
      <c r="N28" t="s">
        <v>28</v>
      </c>
      <c r="O28" t="s">
        <v>471</v>
      </c>
      <c r="P28" t="s">
        <v>472</v>
      </c>
      <c r="Q28" t="s">
        <v>473</v>
      </c>
    </row>
    <row r="29" spans="1:17" ht="14.25" customHeight="1" x14ac:dyDescent="0.35">
      <c r="A29" t="s">
        <v>418</v>
      </c>
      <c r="B29">
        <v>28</v>
      </c>
      <c r="C29" t="s">
        <v>489</v>
      </c>
      <c r="D29" t="s">
        <v>421</v>
      </c>
      <c r="E29" t="s">
        <v>25</v>
      </c>
      <c r="F29" t="s">
        <v>62</v>
      </c>
      <c r="G29">
        <v>36</v>
      </c>
      <c r="H29">
        <v>0</v>
      </c>
      <c r="I29">
        <v>0</v>
      </c>
      <c r="J29">
        <v>0</v>
      </c>
      <c r="K29">
        <v>9.9999999999999995E-7</v>
      </c>
      <c r="L29">
        <v>1.1833629999999999</v>
      </c>
      <c r="M29" t="s">
        <v>27</v>
      </c>
      <c r="N29" t="s">
        <v>63</v>
      </c>
      <c r="O29" t="s">
        <v>471</v>
      </c>
      <c r="P29" t="s">
        <v>472</v>
      </c>
      <c r="Q29" t="s">
        <v>473</v>
      </c>
    </row>
    <row r="30" spans="1:17" ht="14.25" customHeight="1" x14ac:dyDescent="0.35">
      <c r="A30" t="s">
        <v>418</v>
      </c>
      <c r="B30">
        <v>29</v>
      </c>
      <c r="C30" t="s">
        <v>490</v>
      </c>
      <c r="D30" t="s">
        <v>421</v>
      </c>
      <c r="E30" t="s">
        <v>25</v>
      </c>
      <c r="F30" t="s">
        <v>34</v>
      </c>
      <c r="G30">
        <v>669</v>
      </c>
      <c r="H30">
        <v>0</v>
      </c>
      <c r="I30">
        <v>27</v>
      </c>
      <c r="J30">
        <v>0</v>
      </c>
      <c r="K30">
        <v>1.17E-4</v>
      </c>
      <c r="L30">
        <v>1.5371680000000001</v>
      </c>
      <c r="M30" t="s">
        <v>27</v>
      </c>
      <c r="N30" t="s">
        <v>28</v>
      </c>
      <c r="O30" t="s">
        <v>471</v>
      </c>
      <c r="P30" t="s">
        <v>472</v>
      </c>
      <c r="Q30" t="s">
        <v>473</v>
      </c>
    </row>
    <row r="31" spans="1:17" ht="14.25" customHeight="1" x14ac:dyDescent="0.35">
      <c r="A31" t="s">
        <v>418</v>
      </c>
      <c r="B31">
        <v>30</v>
      </c>
      <c r="C31" t="s">
        <v>490</v>
      </c>
      <c r="D31" t="s">
        <v>421</v>
      </c>
      <c r="E31" t="s">
        <v>25</v>
      </c>
      <c r="F31" t="s">
        <v>62</v>
      </c>
      <c r="G31">
        <v>99</v>
      </c>
      <c r="H31">
        <v>0</v>
      </c>
      <c r="I31">
        <v>0</v>
      </c>
      <c r="J31">
        <v>0</v>
      </c>
      <c r="K31">
        <v>1.9999999999999999E-6</v>
      </c>
      <c r="L31">
        <v>0.29923300000000003</v>
      </c>
      <c r="M31" t="s">
        <v>27</v>
      </c>
      <c r="N31" t="s">
        <v>63</v>
      </c>
      <c r="O31" t="s">
        <v>471</v>
      </c>
      <c r="P31" t="s">
        <v>472</v>
      </c>
      <c r="Q31" t="s">
        <v>473</v>
      </c>
    </row>
    <row r="32" spans="1:17" ht="14.25" customHeight="1" x14ac:dyDescent="0.35">
      <c r="A32" t="s">
        <v>418</v>
      </c>
      <c r="B32">
        <v>31</v>
      </c>
      <c r="C32" t="s">
        <v>491</v>
      </c>
      <c r="D32" t="s">
        <v>421</v>
      </c>
      <c r="E32" t="s">
        <v>25</v>
      </c>
      <c r="F32" t="s">
        <v>34</v>
      </c>
      <c r="G32">
        <v>732</v>
      </c>
      <c r="H32">
        <v>0</v>
      </c>
      <c r="I32">
        <v>177</v>
      </c>
      <c r="J32">
        <v>0</v>
      </c>
      <c r="K32">
        <v>2.1599999999999999E-4</v>
      </c>
      <c r="L32">
        <v>2.1311550000000001</v>
      </c>
      <c r="M32" t="s">
        <v>27</v>
      </c>
      <c r="N32" t="s">
        <v>28</v>
      </c>
      <c r="O32" t="s">
        <v>471</v>
      </c>
      <c r="P32" t="s">
        <v>472</v>
      </c>
      <c r="Q32" t="s">
        <v>473</v>
      </c>
    </row>
    <row r="33" spans="1:17" ht="14.25" customHeight="1" x14ac:dyDescent="0.35">
      <c r="A33" t="s">
        <v>418</v>
      </c>
      <c r="B33">
        <v>32</v>
      </c>
      <c r="C33" t="s">
        <v>491</v>
      </c>
      <c r="D33" t="s">
        <v>421</v>
      </c>
      <c r="E33" t="s">
        <v>25</v>
      </c>
      <c r="F33" t="s">
        <v>62</v>
      </c>
      <c r="G33">
        <v>442</v>
      </c>
      <c r="H33">
        <v>0</v>
      </c>
      <c r="I33">
        <v>0</v>
      </c>
      <c r="J33">
        <v>0</v>
      </c>
      <c r="K33">
        <v>9.0000000000000002E-6</v>
      </c>
      <c r="L33">
        <v>0.312859</v>
      </c>
      <c r="M33" t="s">
        <v>27</v>
      </c>
      <c r="N33" t="s">
        <v>63</v>
      </c>
      <c r="O33" t="s">
        <v>471</v>
      </c>
      <c r="P33" t="s">
        <v>472</v>
      </c>
      <c r="Q33" t="s">
        <v>473</v>
      </c>
    </row>
    <row r="34" spans="1:17" ht="14.25" customHeight="1" x14ac:dyDescent="0.35">
      <c r="A34" t="s">
        <v>418</v>
      </c>
      <c r="B34">
        <v>33</v>
      </c>
      <c r="C34" t="s">
        <v>492</v>
      </c>
      <c r="D34" t="s">
        <v>421</v>
      </c>
      <c r="E34" t="s">
        <v>25</v>
      </c>
      <c r="F34" t="s">
        <v>34</v>
      </c>
      <c r="G34">
        <v>1112</v>
      </c>
      <c r="H34">
        <v>0</v>
      </c>
      <c r="I34">
        <v>239</v>
      </c>
      <c r="J34">
        <v>0</v>
      </c>
      <c r="K34">
        <v>3.1E-4</v>
      </c>
      <c r="L34">
        <v>2.8890229999999999</v>
      </c>
      <c r="M34" t="s">
        <v>27</v>
      </c>
      <c r="N34" t="s">
        <v>28</v>
      </c>
      <c r="O34" t="s">
        <v>471</v>
      </c>
      <c r="P34" t="s">
        <v>472</v>
      </c>
      <c r="Q34" t="s">
        <v>473</v>
      </c>
    </row>
    <row r="35" spans="1:17" ht="14.25" customHeight="1" x14ac:dyDescent="0.35">
      <c r="A35" t="s">
        <v>418</v>
      </c>
      <c r="B35">
        <v>34</v>
      </c>
      <c r="C35" t="s">
        <v>492</v>
      </c>
      <c r="D35" t="s">
        <v>421</v>
      </c>
      <c r="E35" t="s">
        <v>25</v>
      </c>
      <c r="F35" t="s">
        <v>62</v>
      </c>
      <c r="G35">
        <v>74</v>
      </c>
      <c r="H35">
        <v>0</v>
      </c>
      <c r="I35">
        <v>0</v>
      </c>
      <c r="J35">
        <v>0</v>
      </c>
      <c r="K35">
        <v>9.9999999999999995E-7</v>
      </c>
      <c r="L35">
        <v>0.31003199999999997</v>
      </c>
      <c r="M35" t="s">
        <v>27</v>
      </c>
      <c r="N35" t="s">
        <v>63</v>
      </c>
      <c r="O35" t="s">
        <v>471</v>
      </c>
      <c r="P35" t="s">
        <v>472</v>
      </c>
      <c r="Q35" t="s">
        <v>473</v>
      </c>
    </row>
    <row r="36" spans="1:17" ht="14.25" customHeight="1" x14ac:dyDescent="0.35">
      <c r="A36" t="s">
        <v>418</v>
      </c>
      <c r="B36">
        <v>35</v>
      </c>
      <c r="C36" t="s">
        <v>493</v>
      </c>
      <c r="D36" t="s">
        <v>421</v>
      </c>
      <c r="E36" t="s">
        <v>25</v>
      </c>
      <c r="F36" t="s">
        <v>34</v>
      </c>
      <c r="G36">
        <v>707</v>
      </c>
      <c r="H36">
        <v>0</v>
      </c>
      <c r="I36">
        <v>238</v>
      </c>
      <c r="J36">
        <v>0</v>
      </c>
      <c r="K36">
        <v>2.4899999999999998E-4</v>
      </c>
      <c r="L36">
        <v>2.9102549999999998</v>
      </c>
      <c r="M36" t="s">
        <v>27</v>
      </c>
      <c r="N36" t="s">
        <v>28</v>
      </c>
      <c r="O36" t="s">
        <v>471</v>
      </c>
      <c r="P36" t="s">
        <v>472</v>
      </c>
      <c r="Q36" t="s">
        <v>473</v>
      </c>
    </row>
    <row r="37" spans="1:17" ht="14.25" customHeight="1" x14ac:dyDescent="0.35">
      <c r="A37" t="s">
        <v>418</v>
      </c>
      <c r="B37">
        <v>36</v>
      </c>
      <c r="C37" t="s">
        <v>493</v>
      </c>
      <c r="D37" t="s">
        <v>421</v>
      </c>
      <c r="E37" t="s">
        <v>25</v>
      </c>
      <c r="F37" t="s">
        <v>62</v>
      </c>
      <c r="G37">
        <v>83</v>
      </c>
      <c r="H37">
        <v>0</v>
      </c>
      <c r="I37">
        <v>0</v>
      </c>
      <c r="J37">
        <v>0</v>
      </c>
      <c r="K37">
        <v>1.9999999999999999E-6</v>
      </c>
      <c r="L37">
        <v>0.30204300000000001</v>
      </c>
      <c r="M37" t="s">
        <v>27</v>
      </c>
      <c r="N37" t="s">
        <v>63</v>
      </c>
      <c r="O37" t="s">
        <v>471</v>
      </c>
      <c r="P37" t="s">
        <v>472</v>
      </c>
      <c r="Q37" t="s">
        <v>473</v>
      </c>
    </row>
    <row r="38" spans="1:17" ht="14.25" customHeight="1" x14ac:dyDescent="0.35">
      <c r="A38" t="s">
        <v>418</v>
      </c>
      <c r="B38">
        <v>37</v>
      </c>
      <c r="C38" t="s">
        <v>494</v>
      </c>
      <c r="D38" t="s">
        <v>421</v>
      </c>
      <c r="E38" t="s">
        <v>25</v>
      </c>
      <c r="F38" t="s">
        <v>34</v>
      </c>
      <c r="G38">
        <v>717</v>
      </c>
      <c r="H38">
        <v>0</v>
      </c>
      <c r="I38">
        <v>262</v>
      </c>
      <c r="J38">
        <v>0</v>
      </c>
      <c r="K38">
        <v>2.6499999999999999E-4</v>
      </c>
      <c r="L38">
        <v>2.8915069999999998</v>
      </c>
      <c r="M38" t="s">
        <v>27</v>
      </c>
      <c r="N38" t="s">
        <v>28</v>
      </c>
      <c r="O38" t="s">
        <v>471</v>
      </c>
      <c r="P38" t="s">
        <v>472</v>
      </c>
      <c r="Q38" t="s">
        <v>473</v>
      </c>
    </row>
    <row r="39" spans="1:17" ht="14.25" customHeight="1" x14ac:dyDescent="0.35">
      <c r="A39" t="s">
        <v>418</v>
      </c>
      <c r="B39">
        <v>38</v>
      </c>
      <c r="C39" t="s">
        <v>495</v>
      </c>
      <c r="D39" t="s">
        <v>421</v>
      </c>
      <c r="E39" t="s">
        <v>25</v>
      </c>
      <c r="F39" t="s">
        <v>62</v>
      </c>
      <c r="G39">
        <v>74</v>
      </c>
      <c r="H39">
        <v>0</v>
      </c>
      <c r="I39">
        <v>0</v>
      </c>
      <c r="J39">
        <v>0</v>
      </c>
      <c r="K39">
        <v>9.9999999999999995E-7</v>
      </c>
      <c r="L39">
        <v>0.43176900000000001</v>
      </c>
      <c r="M39" t="s">
        <v>27</v>
      </c>
      <c r="N39" t="s">
        <v>63</v>
      </c>
      <c r="O39" t="s">
        <v>471</v>
      </c>
      <c r="P39" t="s">
        <v>472</v>
      </c>
      <c r="Q39" t="s">
        <v>473</v>
      </c>
    </row>
    <row r="40" spans="1:17" ht="14.25" customHeight="1" x14ac:dyDescent="0.35">
      <c r="A40" t="s">
        <v>418</v>
      </c>
      <c r="B40">
        <v>39</v>
      </c>
      <c r="C40" t="s">
        <v>496</v>
      </c>
      <c r="D40" t="s">
        <v>421</v>
      </c>
      <c r="E40" t="s">
        <v>25</v>
      </c>
      <c r="F40" t="s">
        <v>34</v>
      </c>
      <c r="G40">
        <v>707</v>
      </c>
      <c r="H40">
        <v>0</v>
      </c>
      <c r="I40">
        <v>245</v>
      </c>
      <c r="J40">
        <v>0</v>
      </c>
      <c r="K40">
        <v>2.5300000000000002E-4</v>
      </c>
      <c r="L40">
        <v>3.6923370000000002</v>
      </c>
      <c r="M40" t="s">
        <v>27</v>
      </c>
      <c r="N40" t="s">
        <v>28</v>
      </c>
      <c r="O40" t="s">
        <v>471</v>
      </c>
      <c r="P40" t="s">
        <v>472</v>
      </c>
      <c r="Q40" t="s">
        <v>473</v>
      </c>
    </row>
    <row r="41" spans="1:17" ht="14.25" customHeight="1" x14ac:dyDescent="0.35">
      <c r="A41" t="s">
        <v>418</v>
      </c>
      <c r="B41">
        <v>40</v>
      </c>
      <c r="C41" t="s">
        <v>497</v>
      </c>
      <c r="D41" t="s">
        <v>421</v>
      </c>
      <c r="E41" t="s">
        <v>25</v>
      </c>
      <c r="F41" t="s">
        <v>62</v>
      </c>
      <c r="G41">
        <v>36</v>
      </c>
      <c r="H41">
        <v>0</v>
      </c>
      <c r="I41">
        <v>0</v>
      </c>
      <c r="J41">
        <v>0</v>
      </c>
      <c r="K41">
        <v>9.9999999999999995E-7</v>
      </c>
      <c r="L41">
        <v>0.56291500000000005</v>
      </c>
      <c r="M41" t="s">
        <v>27</v>
      </c>
      <c r="N41" t="s">
        <v>63</v>
      </c>
      <c r="O41" t="s">
        <v>471</v>
      </c>
      <c r="P41" t="s">
        <v>472</v>
      </c>
      <c r="Q41" t="s">
        <v>473</v>
      </c>
    </row>
    <row r="42" spans="1:17" ht="14.25" customHeight="1" x14ac:dyDescent="0.35">
      <c r="A42" t="s">
        <v>418</v>
      </c>
      <c r="B42">
        <v>41</v>
      </c>
      <c r="C42" t="s">
        <v>498</v>
      </c>
      <c r="D42" t="s">
        <v>421</v>
      </c>
      <c r="E42" t="s">
        <v>25</v>
      </c>
      <c r="F42" t="s">
        <v>34</v>
      </c>
      <c r="G42">
        <v>675</v>
      </c>
      <c r="H42">
        <v>0</v>
      </c>
      <c r="I42">
        <v>28</v>
      </c>
      <c r="J42">
        <v>0</v>
      </c>
      <c r="K42">
        <v>1.18E-4</v>
      </c>
      <c r="L42">
        <v>1.262086</v>
      </c>
      <c r="M42" t="s">
        <v>27</v>
      </c>
      <c r="N42" t="s">
        <v>28</v>
      </c>
      <c r="O42" t="s">
        <v>471</v>
      </c>
      <c r="P42" t="s">
        <v>472</v>
      </c>
      <c r="Q42" t="s">
        <v>473</v>
      </c>
    </row>
    <row r="43" spans="1:17" ht="14.25" customHeight="1" x14ac:dyDescent="0.35">
      <c r="A43" t="s">
        <v>418</v>
      </c>
      <c r="B43">
        <v>42</v>
      </c>
      <c r="C43" t="s">
        <v>499</v>
      </c>
      <c r="D43" t="s">
        <v>421</v>
      </c>
      <c r="E43" t="s">
        <v>25</v>
      </c>
      <c r="F43" t="s">
        <v>62</v>
      </c>
      <c r="G43">
        <v>99</v>
      </c>
      <c r="H43">
        <v>0</v>
      </c>
      <c r="I43">
        <v>0</v>
      </c>
      <c r="J43">
        <v>0</v>
      </c>
      <c r="K43">
        <v>1.9999999999999999E-6</v>
      </c>
      <c r="L43">
        <v>0.30251299999999998</v>
      </c>
      <c r="M43" t="s">
        <v>27</v>
      </c>
      <c r="N43" t="s">
        <v>63</v>
      </c>
      <c r="O43" t="s">
        <v>471</v>
      </c>
      <c r="P43" t="s">
        <v>472</v>
      </c>
      <c r="Q43" t="s">
        <v>473</v>
      </c>
    </row>
    <row r="44" spans="1:17" ht="14.25" customHeight="1" x14ac:dyDescent="0.35">
      <c r="A44" t="s">
        <v>418</v>
      </c>
      <c r="B44">
        <v>43</v>
      </c>
      <c r="C44" t="s">
        <v>500</v>
      </c>
      <c r="D44" t="s">
        <v>421</v>
      </c>
      <c r="E44" t="s">
        <v>25</v>
      </c>
      <c r="F44" t="s">
        <v>34</v>
      </c>
      <c r="G44">
        <v>738</v>
      </c>
      <c r="H44">
        <v>0</v>
      </c>
      <c r="I44">
        <v>169</v>
      </c>
      <c r="J44">
        <v>0</v>
      </c>
      <c r="K44">
        <v>2.12E-4</v>
      </c>
      <c r="L44">
        <v>2.0611820000000001</v>
      </c>
      <c r="M44" t="s">
        <v>27</v>
      </c>
      <c r="N44" t="s">
        <v>28</v>
      </c>
      <c r="O44" t="s">
        <v>471</v>
      </c>
      <c r="P44" t="s">
        <v>472</v>
      </c>
      <c r="Q44" t="s">
        <v>473</v>
      </c>
    </row>
    <row r="45" spans="1:17" ht="14.25" customHeight="1" x14ac:dyDescent="0.35">
      <c r="A45" t="s">
        <v>418</v>
      </c>
      <c r="B45">
        <v>44</v>
      </c>
      <c r="C45" t="s">
        <v>500</v>
      </c>
      <c r="D45" t="s">
        <v>421</v>
      </c>
      <c r="E45" t="s">
        <v>25</v>
      </c>
      <c r="F45" t="s">
        <v>62</v>
      </c>
      <c r="G45">
        <v>442</v>
      </c>
      <c r="H45">
        <v>0</v>
      </c>
      <c r="I45">
        <v>0</v>
      </c>
      <c r="J45">
        <v>0</v>
      </c>
      <c r="K45">
        <v>9.0000000000000002E-6</v>
      </c>
      <c r="L45">
        <v>0.26025100000000001</v>
      </c>
      <c r="M45" t="s">
        <v>27</v>
      </c>
      <c r="N45" t="s">
        <v>63</v>
      </c>
      <c r="O45" t="s">
        <v>471</v>
      </c>
      <c r="P45" t="s">
        <v>472</v>
      </c>
      <c r="Q45" t="s">
        <v>473</v>
      </c>
    </row>
    <row r="46" spans="1:17" ht="14.25" customHeight="1" x14ac:dyDescent="0.35">
      <c r="A46" t="s">
        <v>418</v>
      </c>
      <c r="B46">
        <v>45</v>
      </c>
      <c r="C46" t="s">
        <v>501</v>
      </c>
      <c r="D46" t="s">
        <v>421</v>
      </c>
      <c r="E46" t="s">
        <v>25</v>
      </c>
      <c r="F46" t="s">
        <v>34</v>
      </c>
      <c r="G46">
        <v>1118</v>
      </c>
      <c r="H46">
        <v>0</v>
      </c>
      <c r="I46">
        <v>312</v>
      </c>
      <c r="J46">
        <v>0</v>
      </c>
      <c r="K46">
        <v>3.5500000000000001E-4</v>
      </c>
      <c r="L46">
        <v>3.430752</v>
      </c>
      <c r="M46" t="s">
        <v>27</v>
      </c>
      <c r="N46" t="s">
        <v>28</v>
      </c>
      <c r="O46" t="s">
        <v>471</v>
      </c>
      <c r="P46" t="s">
        <v>472</v>
      </c>
      <c r="Q46" t="s">
        <v>473</v>
      </c>
    </row>
    <row r="47" spans="1:17" ht="14.25" customHeight="1" x14ac:dyDescent="0.35">
      <c r="A47" t="s">
        <v>418</v>
      </c>
      <c r="B47">
        <v>46</v>
      </c>
      <c r="C47" t="s">
        <v>501</v>
      </c>
      <c r="D47" t="s">
        <v>421</v>
      </c>
      <c r="E47" t="s">
        <v>25</v>
      </c>
      <c r="F47" t="s">
        <v>62</v>
      </c>
      <c r="G47">
        <v>74</v>
      </c>
      <c r="H47">
        <v>0</v>
      </c>
      <c r="I47">
        <v>0</v>
      </c>
      <c r="J47">
        <v>0</v>
      </c>
      <c r="K47">
        <v>9.9999999999999995E-7</v>
      </c>
      <c r="L47">
        <v>0.27382600000000001</v>
      </c>
      <c r="M47" t="s">
        <v>27</v>
      </c>
      <c r="N47" t="s">
        <v>63</v>
      </c>
      <c r="O47" t="s">
        <v>471</v>
      </c>
      <c r="P47" t="s">
        <v>472</v>
      </c>
      <c r="Q47" t="s">
        <v>473</v>
      </c>
    </row>
    <row r="48" spans="1:17" ht="14.25" customHeight="1" x14ac:dyDescent="0.35">
      <c r="A48" t="s">
        <v>418</v>
      </c>
      <c r="B48">
        <v>47</v>
      </c>
      <c r="C48" t="s">
        <v>502</v>
      </c>
      <c r="D48" t="s">
        <v>421</v>
      </c>
      <c r="E48" t="s">
        <v>25</v>
      </c>
      <c r="F48" t="s">
        <v>34</v>
      </c>
      <c r="G48">
        <v>713</v>
      </c>
      <c r="H48">
        <v>0</v>
      </c>
      <c r="I48">
        <v>259</v>
      </c>
      <c r="J48">
        <v>0</v>
      </c>
      <c r="K48">
        <v>2.6200000000000003E-4</v>
      </c>
      <c r="L48">
        <v>2.580667</v>
      </c>
      <c r="M48" t="s">
        <v>27</v>
      </c>
      <c r="N48" t="s">
        <v>28</v>
      </c>
      <c r="O48" t="s">
        <v>471</v>
      </c>
      <c r="P48" t="s">
        <v>472</v>
      </c>
      <c r="Q48" t="s">
        <v>473</v>
      </c>
    </row>
    <row r="49" spans="1:17" ht="14.25" customHeight="1" x14ac:dyDescent="0.35">
      <c r="A49" t="s">
        <v>418</v>
      </c>
      <c r="B49">
        <v>48</v>
      </c>
      <c r="C49" t="s">
        <v>503</v>
      </c>
      <c r="D49" t="s">
        <v>421</v>
      </c>
      <c r="E49" t="s">
        <v>25</v>
      </c>
      <c r="F49" t="s">
        <v>62</v>
      </c>
      <c r="G49">
        <v>83</v>
      </c>
      <c r="H49">
        <v>0</v>
      </c>
      <c r="I49">
        <v>0</v>
      </c>
      <c r="J49">
        <v>0</v>
      </c>
      <c r="K49">
        <v>1.9999999999999999E-6</v>
      </c>
      <c r="L49">
        <v>0.29790699999999998</v>
      </c>
      <c r="M49" t="s">
        <v>27</v>
      </c>
      <c r="N49" t="s">
        <v>63</v>
      </c>
      <c r="O49" t="s">
        <v>471</v>
      </c>
      <c r="P49" t="s">
        <v>472</v>
      </c>
      <c r="Q49" t="s">
        <v>473</v>
      </c>
    </row>
    <row r="50" spans="1:17" ht="14.25" customHeight="1" x14ac:dyDescent="0.35">
      <c r="A50" t="s">
        <v>418</v>
      </c>
      <c r="B50">
        <v>49</v>
      </c>
      <c r="C50" t="s">
        <v>504</v>
      </c>
      <c r="D50" t="s">
        <v>421</v>
      </c>
      <c r="E50" t="s">
        <v>25</v>
      </c>
      <c r="F50" t="s">
        <v>34</v>
      </c>
      <c r="G50">
        <v>723</v>
      </c>
      <c r="H50">
        <v>0</v>
      </c>
      <c r="I50">
        <v>219</v>
      </c>
      <c r="J50">
        <v>0</v>
      </c>
      <c r="K50">
        <v>2.4000000000000001E-4</v>
      </c>
      <c r="L50">
        <v>2.846088</v>
      </c>
      <c r="M50" t="s">
        <v>27</v>
      </c>
      <c r="N50" t="s">
        <v>28</v>
      </c>
      <c r="O50" t="s">
        <v>471</v>
      </c>
      <c r="P50" t="s">
        <v>472</v>
      </c>
      <c r="Q50" t="s">
        <v>473</v>
      </c>
    </row>
    <row r="51" spans="1:17" ht="14.25" customHeight="1" x14ac:dyDescent="0.35">
      <c r="A51" t="s">
        <v>418</v>
      </c>
      <c r="B51">
        <v>50</v>
      </c>
      <c r="C51" t="s">
        <v>505</v>
      </c>
      <c r="D51" t="s">
        <v>421</v>
      </c>
      <c r="E51" t="s">
        <v>25</v>
      </c>
      <c r="F51" t="s">
        <v>62</v>
      </c>
      <c r="G51">
        <v>74</v>
      </c>
      <c r="H51">
        <v>0</v>
      </c>
      <c r="I51">
        <v>0</v>
      </c>
      <c r="J51">
        <v>0</v>
      </c>
      <c r="K51">
        <v>9.9999999999999995E-7</v>
      </c>
      <c r="L51">
        <v>0.36378100000000002</v>
      </c>
      <c r="M51" t="s">
        <v>27</v>
      </c>
      <c r="N51" t="s">
        <v>63</v>
      </c>
      <c r="O51" t="s">
        <v>471</v>
      </c>
      <c r="P51" t="s">
        <v>472</v>
      </c>
      <c r="Q51" t="s">
        <v>473</v>
      </c>
    </row>
    <row r="52" spans="1:17" ht="14.25" customHeight="1" x14ac:dyDescent="0.35">
      <c r="A52" t="s">
        <v>418</v>
      </c>
      <c r="B52">
        <v>51</v>
      </c>
      <c r="C52" t="s">
        <v>506</v>
      </c>
      <c r="D52" t="s">
        <v>421</v>
      </c>
      <c r="E52" t="s">
        <v>25</v>
      </c>
      <c r="F52" t="s">
        <v>34</v>
      </c>
      <c r="G52">
        <v>713</v>
      </c>
      <c r="H52">
        <v>0</v>
      </c>
      <c r="I52">
        <v>228</v>
      </c>
      <c r="J52">
        <v>0</v>
      </c>
      <c r="K52">
        <v>2.4399999999999999E-4</v>
      </c>
      <c r="L52">
        <v>2.6405479999999999</v>
      </c>
      <c r="M52" t="s">
        <v>27</v>
      </c>
      <c r="N52" t="s">
        <v>28</v>
      </c>
      <c r="O52" t="s">
        <v>471</v>
      </c>
      <c r="P52" t="s">
        <v>472</v>
      </c>
      <c r="Q52" t="s">
        <v>473</v>
      </c>
    </row>
    <row r="53" spans="1:17" ht="14.25" customHeight="1" x14ac:dyDescent="0.35">
      <c r="A53" t="s">
        <v>418</v>
      </c>
      <c r="B53">
        <v>52</v>
      </c>
      <c r="C53" t="s">
        <v>507</v>
      </c>
      <c r="D53" t="s">
        <v>421</v>
      </c>
      <c r="E53" t="s">
        <v>25</v>
      </c>
      <c r="F53" t="s">
        <v>62</v>
      </c>
      <c r="G53">
        <v>36</v>
      </c>
      <c r="H53">
        <v>0</v>
      </c>
      <c r="I53">
        <v>0</v>
      </c>
      <c r="J53">
        <v>0</v>
      </c>
      <c r="K53">
        <v>9.9999999999999995E-7</v>
      </c>
      <c r="L53">
        <v>0.53688899999999995</v>
      </c>
      <c r="M53" t="s">
        <v>27</v>
      </c>
      <c r="N53" t="s">
        <v>63</v>
      </c>
      <c r="O53" t="s">
        <v>471</v>
      </c>
      <c r="P53" t="s">
        <v>472</v>
      </c>
      <c r="Q53" t="s">
        <v>473</v>
      </c>
    </row>
    <row r="54" spans="1:17" ht="14.25" customHeight="1" x14ac:dyDescent="0.35">
      <c r="A54" t="s">
        <v>418</v>
      </c>
      <c r="B54">
        <v>53</v>
      </c>
      <c r="C54" t="s">
        <v>508</v>
      </c>
      <c r="D54" t="s">
        <v>421</v>
      </c>
      <c r="E54" t="s">
        <v>25</v>
      </c>
      <c r="F54" t="s">
        <v>34</v>
      </c>
      <c r="G54">
        <v>615</v>
      </c>
      <c r="H54">
        <v>0</v>
      </c>
      <c r="I54">
        <v>25</v>
      </c>
      <c r="J54">
        <v>0</v>
      </c>
      <c r="K54">
        <v>1.07E-4</v>
      </c>
      <c r="L54">
        <v>0.99692999999999998</v>
      </c>
      <c r="M54" t="s">
        <v>27</v>
      </c>
      <c r="N54" t="s">
        <v>28</v>
      </c>
      <c r="O54" t="s">
        <v>471</v>
      </c>
      <c r="P54" t="s">
        <v>472</v>
      </c>
      <c r="Q54" t="s">
        <v>473</v>
      </c>
    </row>
    <row r="55" spans="1:17" ht="14.25" customHeight="1" x14ac:dyDescent="0.35">
      <c r="A55" t="s">
        <v>418</v>
      </c>
      <c r="B55">
        <v>54</v>
      </c>
      <c r="C55" t="s">
        <v>508</v>
      </c>
      <c r="D55" t="s">
        <v>421</v>
      </c>
      <c r="E55" t="s">
        <v>25</v>
      </c>
      <c r="F55" t="s">
        <v>62</v>
      </c>
      <c r="G55">
        <v>99</v>
      </c>
      <c r="H55">
        <v>0</v>
      </c>
      <c r="I55">
        <v>0</v>
      </c>
      <c r="J55">
        <v>0</v>
      </c>
      <c r="K55">
        <v>1.9999999999999999E-6</v>
      </c>
      <c r="L55">
        <v>0.200458</v>
      </c>
      <c r="M55" t="s">
        <v>27</v>
      </c>
      <c r="N55" t="s">
        <v>63</v>
      </c>
      <c r="O55" t="s">
        <v>471</v>
      </c>
      <c r="P55" t="s">
        <v>472</v>
      </c>
      <c r="Q55" t="s">
        <v>473</v>
      </c>
    </row>
    <row r="56" spans="1:17" ht="14.25" customHeight="1" x14ac:dyDescent="0.35">
      <c r="A56" t="s">
        <v>418</v>
      </c>
      <c r="B56">
        <v>55</v>
      </c>
      <c r="C56" t="s">
        <v>509</v>
      </c>
      <c r="D56" t="s">
        <v>421</v>
      </c>
      <c r="E56" t="s">
        <v>25</v>
      </c>
      <c r="F56" t="s">
        <v>34</v>
      </c>
      <c r="G56">
        <v>678</v>
      </c>
      <c r="H56">
        <v>0</v>
      </c>
      <c r="I56">
        <v>152</v>
      </c>
      <c r="J56">
        <v>0</v>
      </c>
      <c r="K56">
        <v>1.93E-4</v>
      </c>
      <c r="L56">
        <v>2.0988820000000001</v>
      </c>
      <c r="M56" t="s">
        <v>27</v>
      </c>
      <c r="N56" t="s">
        <v>28</v>
      </c>
      <c r="O56" t="s">
        <v>471</v>
      </c>
      <c r="P56" t="s">
        <v>472</v>
      </c>
      <c r="Q56" t="s">
        <v>473</v>
      </c>
    </row>
    <row r="57" spans="1:17" ht="14.25" customHeight="1" x14ac:dyDescent="0.35">
      <c r="A57" t="s">
        <v>418</v>
      </c>
      <c r="B57">
        <v>56</v>
      </c>
      <c r="C57" t="s">
        <v>509</v>
      </c>
      <c r="D57" t="s">
        <v>421</v>
      </c>
      <c r="E57" t="s">
        <v>25</v>
      </c>
      <c r="F57" t="s">
        <v>62</v>
      </c>
      <c r="G57">
        <v>442</v>
      </c>
      <c r="H57">
        <v>0</v>
      </c>
      <c r="I57">
        <v>0</v>
      </c>
      <c r="J57">
        <v>0</v>
      </c>
      <c r="K57">
        <v>9.0000000000000002E-6</v>
      </c>
      <c r="L57">
        <v>0.300958</v>
      </c>
      <c r="M57" t="s">
        <v>27</v>
      </c>
      <c r="N57" t="s">
        <v>63</v>
      </c>
      <c r="O57" t="s">
        <v>471</v>
      </c>
      <c r="P57" t="s">
        <v>472</v>
      </c>
      <c r="Q57" t="s">
        <v>473</v>
      </c>
    </row>
    <row r="58" spans="1:17" ht="14.25" customHeight="1" x14ac:dyDescent="0.35">
      <c r="A58" t="s">
        <v>418</v>
      </c>
      <c r="B58">
        <v>57</v>
      </c>
      <c r="C58" t="s">
        <v>510</v>
      </c>
      <c r="D58" t="s">
        <v>421</v>
      </c>
      <c r="E58" t="s">
        <v>25</v>
      </c>
      <c r="F58" t="s">
        <v>34</v>
      </c>
      <c r="G58">
        <v>1058</v>
      </c>
      <c r="H58">
        <v>0</v>
      </c>
      <c r="I58">
        <v>293</v>
      </c>
      <c r="J58">
        <v>0</v>
      </c>
      <c r="K58">
        <v>3.3399999999999999E-4</v>
      </c>
      <c r="L58">
        <v>2.8712279999999999</v>
      </c>
      <c r="M58" t="s">
        <v>27</v>
      </c>
      <c r="N58" t="s">
        <v>28</v>
      </c>
      <c r="O58" t="s">
        <v>471</v>
      </c>
      <c r="P58" t="s">
        <v>472</v>
      </c>
      <c r="Q58" t="s">
        <v>473</v>
      </c>
    </row>
    <row r="59" spans="1:17" ht="14.25" customHeight="1" x14ac:dyDescent="0.35">
      <c r="A59" t="s">
        <v>418</v>
      </c>
      <c r="B59">
        <v>58</v>
      </c>
      <c r="C59" t="s">
        <v>510</v>
      </c>
      <c r="D59" t="s">
        <v>421</v>
      </c>
      <c r="E59" t="s">
        <v>25</v>
      </c>
      <c r="F59" t="s">
        <v>62</v>
      </c>
      <c r="G59">
        <v>74</v>
      </c>
      <c r="H59">
        <v>0</v>
      </c>
      <c r="I59">
        <v>0</v>
      </c>
      <c r="J59">
        <v>0</v>
      </c>
      <c r="K59">
        <v>9.9999999999999995E-7</v>
      </c>
      <c r="L59">
        <v>0.321272</v>
      </c>
      <c r="M59" t="s">
        <v>27</v>
      </c>
      <c r="N59" t="s">
        <v>63</v>
      </c>
      <c r="O59" t="s">
        <v>471</v>
      </c>
      <c r="P59" t="s">
        <v>472</v>
      </c>
      <c r="Q59" t="s">
        <v>473</v>
      </c>
    </row>
    <row r="60" spans="1:17" ht="14.25" customHeight="1" x14ac:dyDescent="0.35">
      <c r="A60" t="s">
        <v>418</v>
      </c>
      <c r="B60">
        <v>59</v>
      </c>
      <c r="C60" t="s">
        <v>511</v>
      </c>
      <c r="D60" t="s">
        <v>421</v>
      </c>
      <c r="E60" t="s">
        <v>25</v>
      </c>
      <c r="F60" t="s">
        <v>34</v>
      </c>
      <c r="G60">
        <v>653</v>
      </c>
      <c r="H60">
        <v>0</v>
      </c>
      <c r="I60">
        <v>243</v>
      </c>
      <c r="J60">
        <v>0</v>
      </c>
      <c r="K60">
        <v>2.4399999999999999E-4</v>
      </c>
      <c r="L60">
        <v>2.539183</v>
      </c>
      <c r="M60" t="s">
        <v>27</v>
      </c>
      <c r="N60" t="s">
        <v>28</v>
      </c>
      <c r="O60" t="s">
        <v>471</v>
      </c>
      <c r="P60" t="s">
        <v>472</v>
      </c>
      <c r="Q60" t="s">
        <v>473</v>
      </c>
    </row>
    <row r="61" spans="1:17" ht="14.25" customHeight="1" x14ac:dyDescent="0.35">
      <c r="A61" t="s">
        <v>418</v>
      </c>
      <c r="B61">
        <v>60</v>
      </c>
      <c r="C61" t="s">
        <v>512</v>
      </c>
      <c r="D61" t="s">
        <v>421</v>
      </c>
      <c r="E61" t="s">
        <v>25</v>
      </c>
      <c r="F61" t="s">
        <v>62</v>
      </c>
      <c r="G61">
        <v>83</v>
      </c>
      <c r="H61">
        <v>0</v>
      </c>
      <c r="I61">
        <v>0</v>
      </c>
      <c r="J61">
        <v>0</v>
      </c>
      <c r="K61">
        <v>1.9999999999999999E-6</v>
      </c>
      <c r="L61">
        <v>0.196493</v>
      </c>
      <c r="M61" t="s">
        <v>27</v>
      </c>
      <c r="N61" t="s">
        <v>63</v>
      </c>
      <c r="O61" t="s">
        <v>471</v>
      </c>
      <c r="P61" t="s">
        <v>472</v>
      </c>
      <c r="Q61" t="s">
        <v>473</v>
      </c>
    </row>
    <row r="62" spans="1:17" ht="14.25" customHeight="1" x14ac:dyDescent="0.35">
      <c r="A62" t="s">
        <v>418</v>
      </c>
      <c r="B62">
        <v>61</v>
      </c>
      <c r="C62" t="s">
        <v>513</v>
      </c>
      <c r="D62" t="s">
        <v>421</v>
      </c>
      <c r="E62" t="s">
        <v>25</v>
      </c>
      <c r="F62" t="s">
        <v>34</v>
      </c>
      <c r="G62">
        <v>663</v>
      </c>
      <c r="H62">
        <v>0</v>
      </c>
      <c r="I62">
        <v>259</v>
      </c>
      <c r="J62">
        <v>0</v>
      </c>
      <c r="K62">
        <v>2.5500000000000002E-4</v>
      </c>
      <c r="L62">
        <v>2.5847349999999998</v>
      </c>
      <c r="M62" t="s">
        <v>27</v>
      </c>
      <c r="N62" t="s">
        <v>28</v>
      </c>
      <c r="O62" t="s">
        <v>471</v>
      </c>
      <c r="P62" t="s">
        <v>472</v>
      </c>
      <c r="Q62" t="s">
        <v>473</v>
      </c>
    </row>
    <row r="63" spans="1:17" ht="14.25" customHeight="1" x14ac:dyDescent="0.35">
      <c r="A63" t="s">
        <v>418</v>
      </c>
      <c r="B63">
        <v>62</v>
      </c>
      <c r="C63" t="s">
        <v>513</v>
      </c>
      <c r="D63" t="s">
        <v>421</v>
      </c>
      <c r="E63" t="s">
        <v>25</v>
      </c>
      <c r="F63" t="s">
        <v>62</v>
      </c>
      <c r="G63">
        <v>74</v>
      </c>
      <c r="H63">
        <v>0</v>
      </c>
      <c r="I63">
        <v>0</v>
      </c>
      <c r="J63">
        <v>0</v>
      </c>
      <c r="K63">
        <v>9.9999999999999995E-7</v>
      </c>
      <c r="L63">
        <v>0.205675</v>
      </c>
      <c r="M63" t="s">
        <v>27</v>
      </c>
      <c r="N63" t="s">
        <v>63</v>
      </c>
      <c r="O63" t="s">
        <v>471</v>
      </c>
      <c r="P63" t="s">
        <v>472</v>
      </c>
      <c r="Q63" t="s">
        <v>473</v>
      </c>
    </row>
    <row r="64" spans="1:17" ht="14.25" customHeight="1" x14ac:dyDescent="0.35">
      <c r="A64" t="s">
        <v>418</v>
      </c>
      <c r="B64">
        <v>63</v>
      </c>
      <c r="C64" t="s">
        <v>514</v>
      </c>
      <c r="D64" t="s">
        <v>421</v>
      </c>
      <c r="E64" t="s">
        <v>25</v>
      </c>
      <c r="F64" t="s">
        <v>34</v>
      </c>
      <c r="G64">
        <v>653</v>
      </c>
      <c r="H64">
        <v>0</v>
      </c>
      <c r="I64">
        <v>169</v>
      </c>
      <c r="J64">
        <v>0</v>
      </c>
      <c r="K64">
        <v>1.9900000000000001E-4</v>
      </c>
      <c r="L64">
        <v>2.0683669999999998</v>
      </c>
      <c r="M64" t="s">
        <v>27</v>
      </c>
      <c r="N64" t="s">
        <v>28</v>
      </c>
      <c r="O64" t="s">
        <v>471</v>
      </c>
      <c r="P64" t="s">
        <v>472</v>
      </c>
      <c r="Q64" t="s">
        <v>473</v>
      </c>
    </row>
    <row r="65" spans="1:17" ht="14.25" customHeight="1" x14ac:dyDescent="0.35">
      <c r="A65" t="s">
        <v>422</v>
      </c>
      <c r="B65">
        <v>1</v>
      </c>
      <c r="C65" t="s">
        <v>515</v>
      </c>
      <c r="D65" t="s">
        <v>24</v>
      </c>
      <c r="E65" t="s">
        <v>25</v>
      </c>
      <c r="F65" t="s">
        <v>26</v>
      </c>
      <c r="G65">
        <v>1172</v>
      </c>
      <c r="H65">
        <v>1024</v>
      </c>
      <c r="I65">
        <v>50</v>
      </c>
      <c r="J65">
        <v>0</v>
      </c>
      <c r="K65">
        <v>2.15E-3</v>
      </c>
      <c r="L65">
        <v>2.028594</v>
      </c>
      <c r="M65" t="s">
        <v>27</v>
      </c>
      <c r="N65" t="s">
        <v>28</v>
      </c>
      <c r="O65" t="s">
        <v>29</v>
      </c>
      <c r="P65" t="s">
        <v>30</v>
      </c>
      <c r="Q65" t="s">
        <v>31</v>
      </c>
    </row>
    <row r="66" spans="1:17" ht="14.25" customHeight="1" x14ac:dyDescent="0.35">
      <c r="A66" t="s">
        <v>422</v>
      </c>
      <c r="B66">
        <v>2</v>
      </c>
      <c r="C66" t="s">
        <v>516</v>
      </c>
      <c r="D66" t="s">
        <v>421</v>
      </c>
      <c r="E66" t="s">
        <v>25</v>
      </c>
      <c r="F66" t="s">
        <v>34</v>
      </c>
      <c r="G66">
        <v>1581</v>
      </c>
      <c r="H66">
        <v>0</v>
      </c>
      <c r="I66">
        <v>49</v>
      </c>
      <c r="J66">
        <v>0</v>
      </c>
      <c r="K66">
        <v>2.6699999999999998E-4</v>
      </c>
      <c r="L66">
        <v>2.8116400000000001</v>
      </c>
      <c r="M66" t="s">
        <v>27</v>
      </c>
      <c r="N66" t="s">
        <v>28</v>
      </c>
      <c r="O66" t="s">
        <v>463</v>
      </c>
      <c r="P66" t="s">
        <v>464</v>
      </c>
      <c r="Q66" t="s">
        <v>465</v>
      </c>
    </row>
    <row r="67" spans="1:17" ht="14.25" customHeight="1" x14ac:dyDescent="0.35">
      <c r="A67" t="s">
        <v>422</v>
      </c>
      <c r="B67">
        <v>3</v>
      </c>
      <c r="C67" t="s">
        <v>517</v>
      </c>
      <c r="D67" t="s">
        <v>421</v>
      </c>
      <c r="E67" t="s">
        <v>25</v>
      </c>
      <c r="F67" t="s">
        <v>26</v>
      </c>
      <c r="G67">
        <v>516</v>
      </c>
      <c r="H67">
        <v>0</v>
      </c>
      <c r="I67">
        <v>33</v>
      </c>
      <c r="J67">
        <v>0</v>
      </c>
      <c r="K67">
        <v>1.6199999999999999E-3</v>
      </c>
      <c r="L67">
        <v>1.6063750000000001</v>
      </c>
      <c r="M67" t="s">
        <v>27</v>
      </c>
      <c r="N67" t="s">
        <v>28</v>
      </c>
      <c r="O67" t="s">
        <v>467</v>
      </c>
      <c r="P67" t="s">
        <v>468</v>
      </c>
      <c r="Q67" t="s">
        <v>469</v>
      </c>
    </row>
    <row r="68" spans="1:17" ht="14.25" customHeight="1" x14ac:dyDescent="0.35">
      <c r="A68" t="s">
        <v>422</v>
      </c>
      <c r="B68">
        <v>4</v>
      </c>
      <c r="C68" t="s">
        <v>518</v>
      </c>
      <c r="D68" t="s">
        <v>421</v>
      </c>
      <c r="E68" t="s">
        <v>25</v>
      </c>
      <c r="F68" t="s">
        <v>62</v>
      </c>
      <c r="G68">
        <v>36</v>
      </c>
      <c r="H68">
        <v>0</v>
      </c>
      <c r="I68">
        <v>0</v>
      </c>
      <c r="J68">
        <v>0</v>
      </c>
      <c r="K68">
        <v>9.9999999999999995E-7</v>
      </c>
      <c r="L68">
        <v>0.52644400000000002</v>
      </c>
      <c r="M68" t="s">
        <v>27</v>
      </c>
      <c r="N68" t="s">
        <v>63</v>
      </c>
      <c r="O68" t="s">
        <v>471</v>
      </c>
      <c r="P68" t="s">
        <v>472</v>
      </c>
      <c r="Q68" t="s">
        <v>473</v>
      </c>
    </row>
    <row r="69" spans="1:17" ht="14.25" customHeight="1" x14ac:dyDescent="0.35">
      <c r="A69" t="s">
        <v>422</v>
      </c>
      <c r="B69">
        <v>5</v>
      </c>
      <c r="C69" t="s">
        <v>519</v>
      </c>
      <c r="D69" t="s">
        <v>421</v>
      </c>
      <c r="E69" t="s">
        <v>25</v>
      </c>
      <c r="F69" t="s">
        <v>34</v>
      </c>
      <c r="G69">
        <v>5045</v>
      </c>
      <c r="H69">
        <v>0</v>
      </c>
      <c r="I69">
        <v>14</v>
      </c>
      <c r="J69">
        <v>0</v>
      </c>
      <c r="K69">
        <v>7.6499999999999995E-4</v>
      </c>
      <c r="L69">
        <v>1.1146020000000001</v>
      </c>
      <c r="M69" t="s">
        <v>27</v>
      </c>
      <c r="N69" t="s">
        <v>28</v>
      </c>
      <c r="O69" t="s">
        <v>471</v>
      </c>
      <c r="P69" t="s">
        <v>472</v>
      </c>
      <c r="Q69" t="s">
        <v>473</v>
      </c>
    </row>
    <row r="70" spans="1:17" ht="14.25" customHeight="1" x14ac:dyDescent="0.35">
      <c r="A70" t="s">
        <v>422</v>
      </c>
      <c r="B70">
        <v>6</v>
      </c>
      <c r="C70" t="s">
        <v>520</v>
      </c>
      <c r="D70" t="s">
        <v>421</v>
      </c>
      <c r="E70" t="s">
        <v>25</v>
      </c>
      <c r="F70" t="s">
        <v>62</v>
      </c>
      <c r="G70">
        <v>99</v>
      </c>
      <c r="H70">
        <v>0</v>
      </c>
      <c r="I70">
        <v>0</v>
      </c>
      <c r="J70">
        <v>0</v>
      </c>
      <c r="K70">
        <v>1.9999999999999999E-6</v>
      </c>
      <c r="L70">
        <v>0.29446600000000001</v>
      </c>
      <c r="M70" t="s">
        <v>27</v>
      </c>
      <c r="N70" t="s">
        <v>63</v>
      </c>
      <c r="O70" t="s">
        <v>471</v>
      </c>
      <c r="P70" t="s">
        <v>472</v>
      </c>
      <c r="Q70" t="s">
        <v>473</v>
      </c>
    </row>
    <row r="71" spans="1:17" ht="14.25" customHeight="1" x14ac:dyDescent="0.35">
      <c r="A71" t="s">
        <v>422</v>
      </c>
      <c r="B71">
        <v>7</v>
      </c>
      <c r="C71" t="s">
        <v>521</v>
      </c>
      <c r="D71" t="s">
        <v>421</v>
      </c>
      <c r="E71" t="s">
        <v>25</v>
      </c>
      <c r="F71" t="s">
        <v>34</v>
      </c>
      <c r="G71">
        <v>5090</v>
      </c>
      <c r="H71">
        <v>0</v>
      </c>
      <c r="I71">
        <v>182</v>
      </c>
      <c r="J71">
        <v>0</v>
      </c>
      <c r="K71">
        <v>8.7299999999999997E-4</v>
      </c>
      <c r="L71">
        <v>2.7520289999999998</v>
      </c>
      <c r="M71" t="s">
        <v>27</v>
      </c>
      <c r="N71" t="s">
        <v>28</v>
      </c>
      <c r="O71" t="s">
        <v>471</v>
      </c>
      <c r="P71" t="s">
        <v>472</v>
      </c>
      <c r="Q71" t="s">
        <v>473</v>
      </c>
    </row>
    <row r="72" spans="1:17" ht="14.25" customHeight="1" x14ac:dyDescent="0.35">
      <c r="A72" t="s">
        <v>422</v>
      </c>
      <c r="B72">
        <v>8</v>
      </c>
      <c r="C72" t="s">
        <v>521</v>
      </c>
      <c r="D72" t="s">
        <v>421</v>
      </c>
      <c r="E72" t="s">
        <v>25</v>
      </c>
      <c r="F72" t="s">
        <v>62</v>
      </c>
      <c r="G72">
        <v>442</v>
      </c>
      <c r="H72">
        <v>0</v>
      </c>
      <c r="I72">
        <v>0</v>
      </c>
      <c r="J72">
        <v>0</v>
      </c>
      <c r="K72">
        <v>9.0000000000000002E-6</v>
      </c>
      <c r="L72">
        <v>0.30556</v>
      </c>
      <c r="M72" t="s">
        <v>27</v>
      </c>
      <c r="N72" t="s">
        <v>63</v>
      </c>
      <c r="O72" t="s">
        <v>471</v>
      </c>
      <c r="P72" t="s">
        <v>472</v>
      </c>
      <c r="Q72" t="s">
        <v>473</v>
      </c>
    </row>
    <row r="73" spans="1:17" ht="14.25" customHeight="1" x14ac:dyDescent="0.35">
      <c r="A73" t="s">
        <v>422</v>
      </c>
      <c r="B73">
        <v>9</v>
      </c>
      <c r="C73" t="s">
        <v>522</v>
      </c>
      <c r="D73" t="s">
        <v>421</v>
      </c>
      <c r="E73" t="s">
        <v>25</v>
      </c>
      <c r="F73" t="s">
        <v>34</v>
      </c>
      <c r="G73">
        <v>5488</v>
      </c>
      <c r="H73">
        <v>0</v>
      </c>
      <c r="I73">
        <v>360</v>
      </c>
      <c r="J73">
        <v>0</v>
      </c>
      <c r="K73">
        <v>1.039E-3</v>
      </c>
      <c r="L73">
        <v>4.4998009999999997</v>
      </c>
      <c r="M73" t="s">
        <v>27</v>
      </c>
      <c r="N73" t="s">
        <v>28</v>
      </c>
      <c r="O73" t="s">
        <v>471</v>
      </c>
      <c r="P73" t="s">
        <v>472</v>
      </c>
      <c r="Q73" t="s">
        <v>473</v>
      </c>
    </row>
    <row r="74" spans="1:17" ht="14.25" customHeight="1" x14ac:dyDescent="0.35">
      <c r="A74" t="s">
        <v>422</v>
      </c>
      <c r="B74">
        <v>10</v>
      </c>
      <c r="C74" t="s">
        <v>522</v>
      </c>
      <c r="D74" t="s">
        <v>421</v>
      </c>
      <c r="E74" t="s">
        <v>25</v>
      </c>
      <c r="F74" t="s">
        <v>62</v>
      </c>
      <c r="G74">
        <v>74</v>
      </c>
      <c r="H74">
        <v>0</v>
      </c>
      <c r="I74">
        <v>0</v>
      </c>
      <c r="J74">
        <v>0</v>
      </c>
      <c r="K74">
        <v>9.9999999999999995E-7</v>
      </c>
      <c r="L74">
        <v>0.41478300000000001</v>
      </c>
      <c r="M74" t="s">
        <v>27</v>
      </c>
      <c r="N74" t="s">
        <v>63</v>
      </c>
      <c r="O74" t="s">
        <v>471</v>
      </c>
      <c r="P74" t="s">
        <v>472</v>
      </c>
      <c r="Q74" t="s">
        <v>473</v>
      </c>
    </row>
    <row r="75" spans="1:17" ht="14.25" customHeight="1" x14ac:dyDescent="0.35">
      <c r="A75" t="s">
        <v>422</v>
      </c>
      <c r="B75">
        <v>11</v>
      </c>
      <c r="C75" t="s">
        <v>523</v>
      </c>
      <c r="D75" t="s">
        <v>421</v>
      </c>
      <c r="E75" t="s">
        <v>25</v>
      </c>
      <c r="F75" t="s">
        <v>34</v>
      </c>
      <c r="G75">
        <v>5114</v>
      </c>
      <c r="H75">
        <v>1024</v>
      </c>
      <c r="I75">
        <v>263</v>
      </c>
      <c r="J75">
        <v>0</v>
      </c>
      <c r="K75">
        <v>8.4800000000000001E-4</v>
      </c>
      <c r="L75">
        <v>3.7666970000000002</v>
      </c>
      <c r="M75" t="s">
        <v>27</v>
      </c>
      <c r="N75" t="s">
        <v>28</v>
      </c>
      <c r="O75" t="s">
        <v>471</v>
      </c>
      <c r="P75" t="s">
        <v>472</v>
      </c>
      <c r="Q75" t="s">
        <v>473</v>
      </c>
    </row>
    <row r="76" spans="1:17" ht="14.25" customHeight="1" x14ac:dyDescent="0.35">
      <c r="A76" t="s">
        <v>422</v>
      </c>
      <c r="B76">
        <v>12</v>
      </c>
      <c r="C76" t="s">
        <v>523</v>
      </c>
      <c r="D76" t="s">
        <v>421</v>
      </c>
      <c r="E76" t="s">
        <v>25</v>
      </c>
      <c r="F76" t="s">
        <v>62</v>
      </c>
      <c r="G76">
        <v>83</v>
      </c>
      <c r="H76">
        <v>0</v>
      </c>
      <c r="I76">
        <v>0</v>
      </c>
      <c r="J76">
        <v>0</v>
      </c>
      <c r="K76">
        <v>1.9999999999999999E-6</v>
      </c>
      <c r="L76">
        <v>0.81311699999999998</v>
      </c>
      <c r="M76" t="s">
        <v>27</v>
      </c>
      <c r="N76" t="s">
        <v>63</v>
      </c>
      <c r="O76" t="s">
        <v>471</v>
      </c>
      <c r="P76" t="s">
        <v>472</v>
      </c>
      <c r="Q76" t="s">
        <v>473</v>
      </c>
    </row>
    <row r="77" spans="1:17" ht="14.25" customHeight="1" x14ac:dyDescent="0.35">
      <c r="A77" t="s">
        <v>422</v>
      </c>
      <c r="B77">
        <v>13</v>
      </c>
      <c r="C77" t="s">
        <v>524</v>
      </c>
      <c r="D77" t="s">
        <v>421</v>
      </c>
      <c r="E77" t="s">
        <v>25</v>
      </c>
      <c r="F77" t="s">
        <v>34</v>
      </c>
      <c r="G77">
        <v>5124</v>
      </c>
      <c r="H77">
        <v>1920</v>
      </c>
      <c r="I77">
        <v>270</v>
      </c>
      <c r="J77">
        <v>0</v>
      </c>
      <c r="K77">
        <v>7.8700000000000005E-4</v>
      </c>
      <c r="L77">
        <v>2.9631349999999999</v>
      </c>
      <c r="M77" t="s">
        <v>27</v>
      </c>
      <c r="N77" t="s">
        <v>28</v>
      </c>
      <c r="O77" t="s">
        <v>471</v>
      </c>
      <c r="P77" t="s">
        <v>472</v>
      </c>
      <c r="Q77" t="s">
        <v>473</v>
      </c>
    </row>
    <row r="78" spans="1:17" ht="14.25" customHeight="1" x14ac:dyDescent="0.35">
      <c r="A78" t="s">
        <v>422</v>
      </c>
      <c r="B78">
        <v>14</v>
      </c>
      <c r="C78" t="s">
        <v>524</v>
      </c>
      <c r="D78" t="s">
        <v>421</v>
      </c>
      <c r="E78" t="s">
        <v>25</v>
      </c>
      <c r="F78" t="s">
        <v>62</v>
      </c>
      <c r="G78">
        <v>74</v>
      </c>
      <c r="H78">
        <v>0</v>
      </c>
      <c r="I78">
        <v>0</v>
      </c>
      <c r="J78">
        <v>0</v>
      </c>
      <c r="K78">
        <v>9.9999999999999995E-7</v>
      </c>
      <c r="L78">
        <v>0.18566199999999999</v>
      </c>
      <c r="M78" t="s">
        <v>27</v>
      </c>
      <c r="N78" t="s">
        <v>63</v>
      </c>
      <c r="O78" t="s">
        <v>471</v>
      </c>
      <c r="P78" t="s">
        <v>472</v>
      </c>
      <c r="Q78" t="s">
        <v>473</v>
      </c>
    </row>
    <row r="79" spans="1:17" ht="14.25" customHeight="1" x14ac:dyDescent="0.35">
      <c r="A79" t="s">
        <v>422</v>
      </c>
      <c r="B79">
        <v>15</v>
      </c>
      <c r="C79" t="s">
        <v>525</v>
      </c>
      <c r="D79" t="s">
        <v>421</v>
      </c>
      <c r="E79" t="s">
        <v>25</v>
      </c>
      <c r="F79" t="s">
        <v>34</v>
      </c>
      <c r="G79">
        <v>5083</v>
      </c>
      <c r="H79">
        <v>1920</v>
      </c>
      <c r="I79">
        <v>294</v>
      </c>
      <c r="J79">
        <v>0</v>
      </c>
      <c r="K79">
        <v>7.9500000000000003E-4</v>
      </c>
      <c r="L79">
        <v>3.0246089999999999</v>
      </c>
      <c r="M79" t="s">
        <v>27</v>
      </c>
      <c r="N79" t="s">
        <v>28</v>
      </c>
      <c r="O79" t="s">
        <v>471</v>
      </c>
      <c r="P79" t="s">
        <v>472</v>
      </c>
      <c r="Q79" t="s">
        <v>473</v>
      </c>
    </row>
    <row r="80" spans="1:17" ht="14.25" customHeight="1" x14ac:dyDescent="0.35">
      <c r="A80" t="s">
        <v>422</v>
      </c>
      <c r="B80">
        <v>16</v>
      </c>
      <c r="C80" t="s">
        <v>526</v>
      </c>
      <c r="D80" t="s">
        <v>421</v>
      </c>
      <c r="E80" t="s">
        <v>25</v>
      </c>
      <c r="F80" t="s">
        <v>62</v>
      </c>
      <c r="G80">
        <v>36</v>
      </c>
      <c r="H80">
        <v>0</v>
      </c>
      <c r="I80">
        <v>0</v>
      </c>
      <c r="J80">
        <v>0</v>
      </c>
      <c r="K80">
        <v>9.9999999999999995E-7</v>
      </c>
      <c r="L80">
        <v>0.37292900000000001</v>
      </c>
      <c r="M80" t="s">
        <v>27</v>
      </c>
      <c r="N80" t="s">
        <v>63</v>
      </c>
      <c r="O80" t="s">
        <v>471</v>
      </c>
      <c r="P80" t="s">
        <v>472</v>
      </c>
      <c r="Q80" t="s">
        <v>473</v>
      </c>
    </row>
    <row r="81" spans="1:17" ht="14.25" customHeight="1" x14ac:dyDescent="0.35">
      <c r="A81" t="s">
        <v>422</v>
      </c>
      <c r="B81">
        <v>17</v>
      </c>
      <c r="C81" t="s">
        <v>527</v>
      </c>
      <c r="D81" t="s">
        <v>421</v>
      </c>
      <c r="E81" t="s">
        <v>25</v>
      </c>
      <c r="F81" t="s">
        <v>34</v>
      </c>
      <c r="G81">
        <v>4286</v>
      </c>
      <c r="H81">
        <v>0</v>
      </c>
      <c r="I81">
        <v>20</v>
      </c>
      <c r="J81">
        <v>0</v>
      </c>
      <c r="K81">
        <v>6.5499999999999998E-4</v>
      </c>
      <c r="L81">
        <v>1.0343500000000001</v>
      </c>
      <c r="M81" t="s">
        <v>27</v>
      </c>
      <c r="N81" t="s">
        <v>28</v>
      </c>
      <c r="O81" t="s">
        <v>471</v>
      </c>
      <c r="P81" t="s">
        <v>472</v>
      </c>
      <c r="Q81" t="s">
        <v>473</v>
      </c>
    </row>
    <row r="82" spans="1:17" ht="14.25" customHeight="1" x14ac:dyDescent="0.35">
      <c r="A82" t="s">
        <v>422</v>
      </c>
      <c r="B82">
        <v>18</v>
      </c>
      <c r="C82" t="s">
        <v>527</v>
      </c>
      <c r="D82" t="s">
        <v>421</v>
      </c>
      <c r="E82" t="s">
        <v>25</v>
      </c>
      <c r="F82" t="s">
        <v>62</v>
      </c>
      <c r="G82">
        <v>99</v>
      </c>
      <c r="H82">
        <v>0</v>
      </c>
      <c r="I82">
        <v>0</v>
      </c>
      <c r="J82">
        <v>0</v>
      </c>
      <c r="K82">
        <v>1.9999999999999999E-6</v>
      </c>
      <c r="L82">
        <v>0.33381100000000002</v>
      </c>
      <c r="M82" t="s">
        <v>27</v>
      </c>
      <c r="N82" t="s">
        <v>63</v>
      </c>
      <c r="O82" t="s">
        <v>471</v>
      </c>
      <c r="P82" t="s">
        <v>472</v>
      </c>
      <c r="Q82" t="s">
        <v>473</v>
      </c>
    </row>
    <row r="83" spans="1:17" ht="14.25" customHeight="1" x14ac:dyDescent="0.35">
      <c r="A83" t="s">
        <v>422</v>
      </c>
      <c r="B83">
        <v>19</v>
      </c>
      <c r="C83" t="s">
        <v>528</v>
      </c>
      <c r="D83" t="s">
        <v>421</v>
      </c>
      <c r="E83" t="s">
        <v>25</v>
      </c>
      <c r="F83" t="s">
        <v>34</v>
      </c>
      <c r="G83">
        <v>5111</v>
      </c>
      <c r="H83">
        <v>1024</v>
      </c>
      <c r="I83">
        <v>234</v>
      </c>
      <c r="J83">
        <v>0</v>
      </c>
      <c r="K83">
        <v>8.3000000000000001E-4</v>
      </c>
      <c r="L83">
        <v>2.7761070000000001</v>
      </c>
      <c r="M83" t="s">
        <v>27</v>
      </c>
      <c r="N83" t="s">
        <v>28</v>
      </c>
      <c r="O83" t="s">
        <v>471</v>
      </c>
      <c r="P83" t="s">
        <v>472</v>
      </c>
      <c r="Q83" t="s">
        <v>473</v>
      </c>
    </row>
    <row r="84" spans="1:17" ht="14.25" customHeight="1" x14ac:dyDescent="0.35">
      <c r="A84" t="s">
        <v>422</v>
      </c>
      <c r="B84">
        <v>20</v>
      </c>
      <c r="C84" t="s">
        <v>528</v>
      </c>
      <c r="D84" t="s">
        <v>421</v>
      </c>
      <c r="E84" t="s">
        <v>25</v>
      </c>
      <c r="F84" t="s">
        <v>62</v>
      </c>
      <c r="G84">
        <v>442</v>
      </c>
      <c r="H84">
        <v>0</v>
      </c>
      <c r="I84">
        <v>0</v>
      </c>
      <c r="J84">
        <v>0</v>
      </c>
      <c r="K84">
        <v>9.0000000000000002E-6</v>
      </c>
      <c r="L84">
        <v>0.30334299999999997</v>
      </c>
      <c r="M84" t="s">
        <v>27</v>
      </c>
      <c r="N84" t="s">
        <v>63</v>
      </c>
      <c r="O84" t="s">
        <v>471</v>
      </c>
      <c r="P84" t="s">
        <v>472</v>
      </c>
      <c r="Q84" t="s">
        <v>473</v>
      </c>
    </row>
    <row r="85" spans="1:17" ht="14.25" customHeight="1" x14ac:dyDescent="0.35">
      <c r="A85" t="s">
        <v>422</v>
      </c>
      <c r="B85">
        <v>21</v>
      </c>
      <c r="C85" t="s">
        <v>529</v>
      </c>
      <c r="D85" t="s">
        <v>421</v>
      </c>
      <c r="E85" t="s">
        <v>25</v>
      </c>
      <c r="F85" t="s">
        <v>34</v>
      </c>
      <c r="G85">
        <v>5486</v>
      </c>
      <c r="H85">
        <v>0</v>
      </c>
      <c r="I85">
        <v>402</v>
      </c>
      <c r="J85">
        <v>0</v>
      </c>
      <c r="K85">
        <v>1.0640000000000001E-3</v>
      </c>
      <c r="L85">
        <v>5.8836630000000003</v>
      </c>
      <c r="M85" t="s">
        <v>27</v>
      </c>
      <c r="N85" t="s">
        <v>28</v>
      </c>
      <c r="O85" t="s">
        <v>471</v>
      </c>
      <c r="P85" t="s">
        <v>472</v>
      </c>
      <c r="Q85" t="s">
        <v>473</v>
      </c>
    </row>
    <row r="86" spans="1:17" ht="14.25" customHeight="1" x14ac:dyDescent="0.35">
      <c r="A86" t="s">
        <v>422</v>
      </c>
      <c r="B86">
        <v>22</v>
      </c>
      <c r="C86" t="s">
        <v>529</v>
      </c>
      <c r="D86" t="s">
        <v>421</v>
      </c>
      <c r="E86" t="s">
        <v>25</v>
      </c>
      <c r="F86" t="s">
        <v>62</v>
      </c>
      <c r="G86">
        <v>74</v>
      </c>
      <c r="H86">
        <v>0</v>
      </c>
      <c r="I86">
        <v>0</v>
      </c>
      <c r="J86">
        <v>0</v>
      </c>
      <c r="K86">
        <v>9.9999999999999995E-7</v>
      </c>
      <c r="L86">
        <v>0.39619300000000002</v>
      </c>
      <c r="M86" t="s">
        <v>27</v>
      </c>
      <c r="N86" t="s">
        <v>63</v>
      </c>
      <c r="O86" t="s">
        <v>471</v>
      </c>
      <c r="P86" t="s">
        <v>472</v>
      </c>
      <c r="Q86" t="s">
        <v>473</v>
      </c>
    </row>
    <row r="87" spans="1:17" ht="14.25" customHeight="1" x14ac:dyDescent="0.35">
      <c r="A87" t="s">
        <v>422</v>
      </c>
      <c r="B87">
        <v>23</v>
      </c>
      <c r="C87" t="s">
        <v>530</v>
      </c>
      <c r="D87" t="s">
        <v>421</v>
      </c>
      <c r="E87" t="s">
        <v>25</v>
      </c>
      <c r="F87" t="s">
        <v>34</v>
      </c>
      <c r="G87">
        <v>5110</v>
      </c>
      <c r="H87">
        <v>0</v>
      </c>
      <c r="I87">
        <v>266</v>
      </c>
      <c r="J87">
        <v>0</v>
      </c>
      <c r="K87">
        <v>9.2599999999999996E-4</v>
      </c>
      <c r="L87">
        <v>3.4909189999999999</v>
      </c>
      <c r="M87" t="s">
        <v>27</v>
      </c>
      <c r="N87" t="s">
        <v>28</v>
      </c>
      <c r="O87" t="s">
        <v>471</v>
      </c>
      <c r="P87" t="s">
        <v>472</v>
      </c>
      <c r="Q87" t="s">
        <v>473</v>
      </c>
    </row>
    <row r="88" spans="1:17" ht="14.25" customHeight="1" x14ac:dyDescent="0.35">
      <c r="A88" t="s">
        <v>422</v>
      </c>
      <c r="B88">
        <v>24</v>
      </c>
      <c r="C88" t="s">
        <v>531</v>
      </c>
      <c r="D88" t="s">
        <v>421</v>
      </c>
      <c r="E88" t="s">
        <v>25</v>
      </c>
      <c r="F88" t="s">
        <v>62</v>
      </c>
      <c r="G88">
        <v>83</v>
      </c>
      <c r="H88">
        <v>0</v>
      </c>
      <c r="I88">
        <v>0</v>
      </c>
      <c r="J88">
        <v>0</v>
      </c>
      <c r="K88">
        <v>1.9999999999999999E-6</v>
      </c>
      <c r="L88">
        <v>0.28826099999999999</v>
      </c>
      <c r="M88" t="s">
        <v>27</v>
      </c>
      <c r="N88" t="s">
        <v>63</v>
      </c>
      <c r="O88" t="s">
        <v>471</v>
      </c>
      <c r="P88" t="s">
        <v>472</v>
      </c>
      <c r="Q88" t="s">
        <v>473</v>
      </c>
    </row>
    <row r="89" spans="1:17" ht="14.25" customHeight="1" x14ac:dyDescent="0.35">
      <c r="A89" t="s">
        <v>422</v>
      </c>
      <c r="B89">
        <v>25</v>
      </c>
      <c r="C89" t="s">
        <v>532</v>
      </c>
      <c r="D89" t="s">
        <v>421</v>
      </c>
      <c r="E89" t="s">
        <v>25</v>
      </c>
      <c r="F89" t="s">
        <v>34</v>
      </c>
      <c r="G89">
        <v>5133</v>
      </c>
      <c r="H89">
        <v>1024</v>
      </c>
      <c r="I89">
        <v>314</v>
      </c>
      <c r="J89">
        <v>0</v>
      </c>
      <c r="K89">
        <v>8.8199999999999997E-4</v>
      </c>
      <c r="L89">
        <v>4.3021349999999998</v>
      </c>
      <c r="M89" t="s">
        <v>27</v>
      </c>
      <c r="N89" t="s">
        <v>28</v>
      </c>
      <c r="O89" t="s">
        <v>471</v>
      </c>
      <c r="P89" t="s">
        <v>472</v>
      </c>
      <c r="Q89" t="s">
        <v>473</v>
      </c>
    </row>
    <row r="90" spans="1:17" ht="14.25" customHeight="1" x14ac:dyDescent="0.35">
      <c r="A90" t="s">
        <v>422</v>
      </c>
      <c r="B90">
        <v>26</v>
      </c>
      <c r="C90" t="s">
        <v>532</v>
      </c>
      <c r="D90" t="s">
        <v>421</v>
      </c>
      <c r="E90" t="s">
        <v>25</v>
      </c>
      <c r="F90" t="s">
        <v>62</v>
      </c>
      <c r="G90">
        <v>74</v>
      </c>
      <c r="H90">
        <v>0</v>
      </c>
      <c r="I90">
        <v>0</v>
      </c>
      <c r="J90">
        <v>0</v>
      </c>
      <c r="K90">
        <v>9.9999999999999995E-7</v>
      </c>
      <c r="L90">
        <v>0.62929199999999996</v>
      </c>
      <c r="M90" t="s">
        <v>27</v>
      </c>
      <c r="N90" t="s">
        <v>63</v>
      </c>
      <c r="O90" t="s">
        <v>471</v>
      </c>
      <c r="P90" t="s">
        <v>472</v>
      </c>
      <c r="Q90" t="s">
        <v>473</v>
      </c>
    </row>
    <row r="91" spans="1:17" ht="14.25" customHeight="1" x14ac:dyDescent="0.35">
      <c r="A91" t="s">
        <v>422</v>
      </c>
      <c r="B91">
        <v>27</v>
      </c>
      <c r="C91" t="s">
        <v>533</v>
      </c>
      <c r="D91" t="s">
        <v>421</v>
      </c>
      <c r="E91" t="s">
        <v>25</v>
      </c>
      <c r="F91" t="s">
        <v>34</v>
      </c>
      <c r="G91">
        <v>5081</v>
      </c>
      <c r="H91">
        <v>1920</v>
      </c>
      <c r="I91">
        <v>325</v>
      </c>
      <c r="J91">
        <v>0</v>
      </c>
      <c r="K91">
        <v>8.1300000000000003E-4</v>
      </c>
      <c r="L91">
        <v>5.6964490000000003</v>
      </c>
      <c r="M91" t="s">
        <v>27</v>
      </c>
      <c r="N91" t="s">
        <v>28</v>
      </c>
      <c r="O91" t="s">
        <v>471</v>
      </c>
      <c r="P91" t="s">
        <v>472</v>
      </c>
      <c r="Q91" t="s">
        <v>473</v>
      </c>
    </row>
    <row r="92" spans="1:17" ht="14.25" customHeight="1" x14ac:dyDescent="0.35">
      <c r="A92" t="s">
        <v>422</v>
      </c>
      <c r="B92">
        <v>28</v>
      </c>
      <c r="C92" t="s">
        <v>534</v>
      </c>
      <c r="D92" t="s">
        <v>421</v>
      </c>
      <c r="E92" t="s">
        <v>25</v>
      </c>
      <c r="F92" t="s">
        <v>62</v>
      </c>
      <c r="G92">
        <v>36</v>
      </c>
      <c r="H92">
        <v>0</v>
      </c>
      <c r="I92">
        <v>0</v>
      </c>
      <c r="J92">
        <v>0</v>
      </c>
      <c r="K92">
        <v>9.9999999999999995E-7</v>
      </c>
      <c r="L92">
        <v>0.44204900000000003</v>
      </c>
      <c r="M92" t="s">
        <v>27</v>
      </c>
      <c r="N92" t="s">
        <v>63</v>
      </c>
      <c r="O92" t="s">
        <v>471</v>
      </c>
      <c r="P92" t="s">
        <v>472</v>
      </c>
      <c r="Q92" t="s">
        <v>473</v>
      </c>
    </row>
    <row r="93" spans="1:17" ht="14.25" customHeight="1" x14ac:dyDescent="0.35">
      <c r="A93" t="s">
        <v>422</v>
      </c>
      <c r="B93">
        <v>29</v>
      </c>
      <c r="C93" t="s">
        <v>535</v>
      </c>
      <c r="D93" t="s">
        <v>421</v>
      </c>
      <c r="E93" t="s">
        <v>25</v>
      </c>
      <c r="F93" t="s">
        <v>34</v>
      </c>
      <c r="G93">
        <v>4527</v>
      </c>
      <c r="H93">
        <v>0</v>
      </c>
      <c r="I93">
        <v>29</v>
      </c>
      <c r="J93">
        <v>0</v>
      </c>
      <c r="K93">
        <v>6.96E-4</v>
      </c>
      <c r="L93">
        <v>2.1892140000000002</v>
      </c>
      <c r="M93" t="s">
        <v>27</v>
      </c>
      <c r="N93" t="s">
        <v>28</v>
      </c>
      <c r="O93" t="s">
        <v>471</v>
      </c>
      <c r="P93" t="s">
        <v>472</v>
      </c>
      <c r="Q93" t="s">
        <v>473</v>
      </c>
    </row>
    <row r="94" spans="1:17" ht="14.25" customHeight="1" x14ac:dyDescent="0.35">
      <c r="A94" t="s">
        <v>422</v>
      </c>
      <c r="B94">
        <v>30</v>
      </c>
      <c r="C94" t="s">
        <v>535</v>
      </c>
      <c r="D94" t="s">
        <v>421</v>
      </c>
      <c r="E94" t="s">
        <v>25</v>
      </c>
      <c r="F94" t="s">
        <v>62</v>
      </c>
      <c r="G94">
        <v>99</v>
      </c>
      <c r="H94">
        <v>0</v>
      </c>
      <c r="I94">
        <v>0</v>
      </c>
      <c r="J94">
        <v>0</v>
      </c>
      <c r="K94">
        <v>1.9999999999999999E-6</v>
      </c>
      <c r="L94">
        <v>0.208235</v>
      </c>
      <c r="M94" t="s">
        <v>27</v>
      </c>
      <c r="N94" t="s">
        <v>63</v>
      </c>
      <c r="O94" t="s">
        <v>471</v>
      </c>
      <c r="P94" t="s">
        <v>472</v>
      </c>
      <c r="Q94" t="s">
        <v>473</v>
      </c>
    </row>
    <row r="95" spans="1:17" ht="14.25" customHeight="1" x14ac:dyDescent="0.35">
      <c r="A95" t="s">
        <v>422</v>
      </c>
      <c r="B95">
        <v>31</v>
      </c>
      <c r="C95" t="s">
        <v>536</v>
      </c>
      <c r="D95" t="s">
        <v>421</v>
      </c>
      <c r="E95" t="s">
        <v>25</v>
      </c>
      <c r="F95" t="s">
        <v>34</v>
      </c>
      <c r="G95">
        <v>5099</v>
      </c>
      <c r="H95">
        <v>0</v>
      </c>
      <c r="I95">
        <v>246</v>
      </c>
      <c r="J95">
        <v>0</v>
      </c>
      <c r="K95">
        <v>9.1200000000000005E-4</v>
      </c>
      <c r="L95">
        <v>2.949039</v>
      </c>
      <c r="M95" t="s">
        <v>27</v>
      </c>
      <c r="N95" t="s">
        <v>28</v>
      </c>
      <c r="O95" t="s">
        <v>471</v>
      </c>
      <c r="P95" t="s">
        <v>472</v>
      </c>
      <c r="Q95" t="s">
        <v>473</v>
      </c>
    </row>
    <row r="96" spans="1:17" ht="14.25" customHeight="1" x14ac:dyDescent="0.35">
      <c r="A96" t="s">
        <v>422</v>
      </c>
      <c r="B96">
        <v>32</v>
      </c>
      <c r="C96" t="s">
        <v>537</v>
      </c>
      <c r="D96" t="s">
        <v>421</v>
      </c>
      <c r="E96" t="s">
        <v>25</v>
      </c>
      <c r="F96" t="s">
        <v>62</v>
      </c>
      <c r="G96">
        <v>442</v>
      </c>
      <c r="H96">
        <v>0</v>
      </c>
      <c r="I96">
        <v>0</v>
      </c>
      <c r="J96">
        <v>0</v>
      </c>
      <c r="K96">
        <v>9.0000000000000002E-6</v>
      </c>
      <c r="L96">
        <v>0.29558600000000002</v>
      </c>
      <c r="M96" t="s">
        <v>27</v>
      </c>
      <c r="N96" t="s">
        <v>63</v>
      </c>
      <c r="O96" t="s">
        <v>471</v>
      </c>
      <c r="P96" t="s">
        <v>472</v>
      </c>
      <c r="Q96" t="s">
        <v>473</v>
      </c>
    </row>
    <row r="97" spans="1:17" ht="14.25" customHeight="1" x14ac:dyDescent="0.35">
      <c r="A97" t="s">
        <v>422</v>
      </c>
      <c r="B97">
        <v>33</v>
      </c>
      <c r="C97" t="s">
        <v>538</v>
      </c>
      <c r="D97" t="s">
        <v>421</v>
      </c>
      <c r="E97" t="s">
        <v>25</v>
      </c>
      <c r="F97" t="s">
        <v>34</v>
      </c>
      <c r="G97">
        <v>4970</v>
      </c>
      <c r="H97">
        <v>1024</v>
      </c>
      <c r="I97">
        <v>334</v>
      </c>
      <c r="J97">
        <v>0</v>
      </c>
      <c r="K97">
        <v>8.6899999999999998E-4</v>
      </c>
      <c r="L97">
        <v>3.5127350000000002</v>
      </c>
      <c r="M97" t="s">
        <v>27</v>
      </c>
      <c r="N97" t="s">
        <v>28</v>
      </c>
      <c r="O97" t="s">
        <v>471</v>
      </c>
      <c r="P97" t="s">
        <v>472</v>
      </c>
      <c r="Q97" t="s">
        <v>473</v>
      </c>
    </row>
    <row r="98" spans="1:17" ht="14.25" customHeight="1" x14ac:dyDescent="0.35">
      <c r="A98" t="s">
        <v>422</v>
      </c>
      <c r="B98">
        <v>34</v>
      </c>
      <c r="C98" t="s">
        <v>538</v>
      </c>
      <c r="D98" t="s">
        <v>421</v>
      </c>
      <c r="E98" t="s">
        <v>25</v>
      </c>
      <c r="F98" t="s">
        <v>62</v>
      </c>
      <c r="G98">
        <v>74</v>
      </c>
      <c r="H98">
        <v>0</v>
      </c>
      <c r="I98">
        <v>0</v>
      </c>
      <c r="J98">
        <v>0</v>
      </c>
      <c r="K98">
        <v>9.9999999999999995E-7</v>
      </c>
      <c r="L98">
        <v>0.38927699999999998</v>
      </c>
      <c r="M98" t="s">
        <v>27</v>
      </c>
      <c r="N98" t="s">
        <v>63</v>
      </c>
      <c r="O98" t="s">
        <v>471</v>
      </c>
      <c r="P98" t="s">
        <v>472</v>
      </c>
      <c r="Q98" t="s">
        <v>473</v>
      </c>
    </row>
    <row r="99" spans="1:17" ht="14.25" customHeight="1" x14ac:dyDescent="0.35">
      <c r="A99" t="s">
        <v>422</v>
      </c>
      <c r="B99">
        <v>35</v>
      </c>
      <c r="C99" t="s">
        <v>539</v>
      </c>
      <c r="D99" t="s">
        <v>421</v>
      </c>
      <c r="E99" t="s">
        <v>25</v>
      </c>
      <c r="F99" t="s">
        <v>34</v>
      </c>
      <c r="G99">
        <v>4550</v>
      </c>
      <c r="H99">
        <v>3072</v>
      </c>
      <c r="I99">
        <v>258</v>
      </c>
      <c r="J99">
        <v>0</v>
      </c>
      <c r="K99">
        <v>6.0700000000000001E-4</v>
      </c>
      <c r="L99">
        <v>2.454183</v>
      </c>
      <c r="M99" t="s">
        <v>27</v>
      </c>
      <c r="N99" t="s">
        <v>28</v>
      </c>
      <c r="O99" t="s">
        <v>471</v>
      </c>
      <c r="P99" t="s">
        <v>472</v>
      </c>
      <c r="Q99" t="s">
        <v>473</v>
      </c>
    </row>
    <row r="100" spans="1:17" ht="14.25" customHeight="1" x14ac:dyDescent="0.35">
      <c r="A100" t="s">
        <v>422</v>
      </c>
      <c r="B100">
        <v>36</v>
      </c>
      <c r="C100" t="s">
        <v>539</v>
      </c>
      <c r="D100" t="s">
        <v>421</v>
      </c>
      <c r="E100" t="s">
        <v>25</v>
      </c>
      <c r="F100" t="s">
        <v>62</v>
      </c>
      <c r="G100">
        <v>83</v>
      </c>
      <c r="H100">
        <v>0</v>
      </c>
      <c r="I100">
        <v>0</v>
      </c>
      <c r="J100">
        <v>0</v>
      </c>
      <c r="K100">
        <v>1.9999999999999999E-6</v>
      </c>
      <c r="L100">
        <v>0.257079</v>
      </c>
      <c r="M100" t="s">
        <v>27</v>
      </c>
      <c r="N100" t="s">
        <v>63</v>
      </c>
      <c r="O100" t="s">
        <v>471</v>
      </c>
      <c r="P100" t="s">
        <v>472</v>
      </c>
      <c r="Q100" t="s">
        <v>473</v>
      </c>
    </row>
    <row r="101" spans="1:17" ht="14.25" customHeight="1" x14ac:dyDescent="0.35">
      <c r="A101" t="s">
        <v>422</v>
      </c>
      <c r="B101">
        <v>37</v>
      </c>
      <c r="C101" t="s">
        <v>540</v>
      </c>
      <c r="D101" t="s">
        <v>421</v>
      </c>
      <c r="E101" t="s">
        <v>25</v>
      </c>
      <c r="F101" t="s">
        <v>34</v>
      </c>
      <c r="G101">
        <v>4575</v>
      </c>
      <c r="H101">
        <v>4352</v>
      </c>
      <c r="I101">
        <v>268</v>
      </c>
      <c r="J101">
        <v>0</v>
      </c>
      <c r="K101">
        <v>5.2099999999999998E-4</v>
      </c>
      <c r="L101">
        <v>2.626274</v>
      </c>
      <c r="M101" t="s">
        <v>27</v>
      </c>
      <c r="N101" t="s">
        <v>28</v>
      </c>
      <c r="O101" t="s">
        <v>471</v>
      </c>
      <c r="P101" t="s">
        <v>472</v>
      </c>
      <c r="Q101" t="s">
        <v>473</v>
      </c>
    </row>
    <row r="102" spans="1:17" ht="14.25" customHeight="1" x14ac:dyDescent="0.35">
      <c r="A102" t="s">
        <v>422</v>
      </c>
      <c r="B102">
        <v>38</v>
      </c>
      <c r="C102" t="s">
        <v>540</v>
      </c>
      <c r="D102" t="s">
        <v>421</v>
      </c>
      <c r="E102" t="s">
        <v>25</v>
      </c>
      <c r="F102" t="s">
        <v>62</v>
      </c>
      <c r="G102">
        <v>74</v>
      </c>
      <c r="H102">
        <v>0</v>
      </c>
      <c r="I102">
        <v>0</v>
      </c>
      <c r="J102">
        <v>0</v>
      </c>
      <c r="K102">
        <v>9.9999999999999995E-7</v>
      </c>
      <c r="L102">
        <v>0.30220200000000003</v>
      </c>
      <c r="M102" t="s">
        <v>27</v>
      </c>
      <c r="N102" t="s">
        <v>63</v>
      </c>
      <c r="O102" t="s">
        <v>471</v>
      </c>
      <c r="P102" t="s">
        <v>472</v>
      </c>
      <c r="Q102" t="s">
        <v>473</v>
      </c>
    </row>
    <row r="103" spans="1:17" ht="14.25" customHeight="1" x14ac:dyDescent="0.35">
      <c r="A103" t="s">
        <v>422</v>
      </c>
      <c r="B103">
        <v>39</v>
      </c>
      <c r="C103" t="s">
        <v>541</v>
      </c>
      <c r="D103" t="s">
        <v>421</v>
      </c>
      <c r="E103" t="s">
        <v>25</v>
      </c>
      <c r="F103" t="s">
        <v>34</v>
      </c>
      <c r="G103">
        <v>4565</v>
      </c>
      <c r="H103">
        <v>1024</v>
      </c>
      <c r="I103">
        <v>324</v>
      </c>
      <c r="J103">
        <v>0</v>
      </c>
      <c r="K103">
        <v>8.0199999999999998E-4</v>
      </c>
      <c r="L103">
        <v>2.8665729999999998</v>
      </c>
      <c r="M103" t="s">
        <v>27</v>
      </c>
      <c r="N103" t="s">
        <v>28</v>
      </c>
      <c r="O103" t="s">
        <v>471</v>
      </c>
      <c r="P103" t="s">
        <v>472</v>
      </c>
      <c r="Q103" t="s">
        <v>473</v>
      </c>
    </row>
    <row r="104" spans="1:17" ht="14.25" customHeight="1" x14ac:dyDescent="0.35">
      <c r="A104" t="s">
        <v>422</v>
      </c>
      <c r="B104">
        <v>40</v>
      </c>
      <c r="C104" t="s">
        <v>542</v>
      </c>
      <c r="D104" t="s">
        <v>421</v>
      </c>
      <c r="E104" t="s">
        <v>25</v>
      </c>
      <c r="F104" t="s">
        <v>62</v>
      </c>
      <c r="G104">
        <v>36</v>
      </c>
      <c r="H104">
        <v>0</v>
      </c>
      <c r="I104">
        <v>0</v>
      </c>
      <c r="J104">
        <v>0</v>
      </c>
      <c r="K104">
        <v>9.9999999999999995E-7</v>
      </c>
      <c r="L104">
        <v>0.56709799999999999</v>
      </c>
      <c r="M104" t="s">
        <v>27</v>
      </c>
      <c r="N104" t="s">
        <v>63</v>
      </c>
      <c r="O104" t="s">
        <v>471</v>
      </c>
      <c r="P104" t="s">
        <v>472</v>
      </c>
      <c r="Q104" t="s">
        <v>473</v>
      </c>
    </row>
    <row r="105" spans="1:17" ht="14.25" customHeight="1" x14ac:dyDescent="0.35">
      <c r="A105" t="s">
        <v>422</v>
      </c>
      <c r="B105">
        <v>41</v>
      </c>
      <c r="C105" t="s">
        <v>543</v>
      </c>
      <c r="D105" t="s">
        <v>421</v>
      </c>
      <c r="E105" t="s">
        <v>25</v>
      </c>
      <c r="F105" t="s">
        <v>34</v>
      </c>
      <c r="G105">
        <v>4854</v>
      </c>
      <c r="H105">
        <v>0</v>
      </c>
      <c r="I105">
        <v>11</v>
      </c>
      <c r="J105">
        <v>0</v>
      </c>
      <c r="K105">
        <v>7.3499999999999998E-4</v>
      </c>
      <c r="L105">
        <v>1.1274409999999999</v>
      </c>
      <c r="M105" t="s">
        <v>27</v>
      </c>
      <c r="N105" t="s">
        <v>28</v>
      </c>
      <c r="O105" t="s">
        <v>471</v>
      </c>
      <c r="P105" t="s">
        <v>472</v>
      </c>
      <c r="Q105" t="s">
        <v>473</v>
      </c>
    </row>
    <row r="106" spans="1:17" ht="14.25" customHeight="1" x14ac:dyDescent="0.35">
      <c r="A106" t="s">
        <v>422</v>
      </c>
      <c r="B106">
        <v>42</v>
      </c>
      <c r="C106" t="s">
        <v>543</v>
      </c>
      <c r="D106" t="s">
        <v>421</v>
      </c>
      <c r="E106" t="s">
        <v>25</v>
      </c>
      <c r="F106" t="s">
        <v>62</v>
      </c>
      <c r="G106">
        <v>99</v>
      </c>
      <c r="H106">
        <v>0</v>
      </c>
      <c r="I106">
        <v>0</v>
      </c>
      <c r="J106">
        <v>0</v>
      </c>
      <c r="K106">
        <v>1.9999999999999999E-6</v>
      </c>
      <c r="L106">
        <v>0.20313300000000001</v>
      </c>
      <c r="M106" t="s">
        <v>27</v>
      </c>
      <c r="N106" t="s">
        <v>63</v>
      </c>
      <c r="O106" t="s">
        <v>471</v>
      </c>
      <c r="P106" t="s">
        <v>472</v>
      </c>
      <c r="Q106" t="s">
        <v>473</v>
      </c>
    </row>
    <row r="107" spans="1:17" ht="14.25" customHeight="1" x14ac:dyDescent="0.35">
      <c r="A107" t="s">
        <v>422</v>
      </c>
      <c r="B107">
        <v>43</v>
      </c>
      <c r="C107" t="s">
        <v>544</v>
      </c>
      <c r="D107" t="s">
        <v>421</v>
      </c>
      <c r="E107" t="s">
        <v>25</v>
      </c>
      <c r="F107" t="s">
        <v>34</v>
      </c>
      <c r="G107">
        <v>5078</v>
      </c>
      <c r="H107">
        <v>0</v>
      </c>
      <c r="I107">
        <v>252</v>
      </c>
      <c r="J107">
        <v>0</v>
      </c>
      <c r="K107">
        <v>9.1299999999999997E-4</v>
      </c>
      <c r="L107">
        <v>3.2922150000000001</v>
      </c>
      <c r="M107" t="s">
        <v>27</v>
      </c>
      <c r="N107" t="s">
        <v>28</v>
      </c>
      <c r="O107" t="s">
        <v>471</v>
      </c>
      <c r="P107" t="s">
        <v>472</v>
      </c>
      <c r="Q107" t="s">
        <v>473</v>
      </c>
    </row>
    <row r="108" spans="1:17" ht="14.25" customHeight="1" x14ac:dyDescent="0.35">
      <c r="A108" t="s">
        <v>422</v>
      </c>
      <c r="B108">
        <v>44</v>
      </c>
      <c r="C108" t="s">
        <v>545</v>
      </c>
      <c r="D108" t="s">
        <v>421</v>
      </c>
      <c r="E108" t="s">
        <v>25</v>
      </c>
      <c r="F108" t="s">
        <v>62</v>
      </c>
      <c r="G108">
        <v>442</v>
      </c>
      <c r="H108">
        <v>0</v>
      </c>
      <c r="I108">
        <v>0</v>
      </c>
      <c r="J108">
        <v>0</v>
      </c>
      <c r="K108">
        <v>9.0000000000000002E-6</v>
      </c>
      <c r="L108">
        <v>0.28850300000000001</v>
      </c>
      <c r="M108" t="s">
        <v>27</v>
      </c>
      <c r="N108" t="s">
        <v>63</v>
      </c>
      <c r="O108" t="s">
        <v>471</v>
      </c>
      <c r="P108" t="s">
        <v>472</v>
      </c>
      <c r="Q108" t="s">
        <v>473</v>
      </c>
    </row>
    <row r="109" spans="1:17" ht="14.25" customHeight="1" x14ac:dyDescent="0.35">
      <c r="A109" t="s">
        <v>422</v>
      </c>
      <c r="B109">
        <v>45</v>
      </c>
      <c r="C109" t="s">
        <v>546</v>
      </c>
      <c r="D109" t="s">
        <v>421</v>
      </c>
      <c r="E109" t="s">
        <v>25</v>
      </c>
      <c r="F109" t="s">
        <v>34</v>
      </c>
      <c r="G109">
        <v>5535</v>
      </c>
      <c r="H109">
        <v>0</v>
      </c>
      <c r="I109">
        <v>380</v>
      </c>
      <c r="J109">
        <v>0</v>
      </c>
      <c r="K109">
        <v>1.0579999999999999E-3</v>
      </c>
      <c r="L109">
        <v>3.7931119999999998</v>
      </c>
      <c r="M109" t="s">
        <v>27</v>
      </c>
      <c r="N109" t="s">
        <v>28</v>
      </c>
      <c r="O109" t="s">
        <v>471</v>
      </c>
      <c r="P109" t="s">
        <v>472</v>
      </c>
      <c r="Q109" t="s">
        <v>473</v>
      </c>
    </row>
    <row r="110" spans="1:17" ht="14.25" customHeight="1" x14ac:dyDescent="0.35">
      <c r="A110" t="s">
        <v>422</v>
      </c>
      <c r="B110">
        <v>46</v>
      </c>
      <c r="C110" t="s">
        <v>546</v>
      </c>
      <c r="D110" t="s">
        <v>421</v>
      </c>
      <c r="E110" t="s">
        <v>25</v>
      </c>
      <c r="F110" t="s">
        <v>62</v>
      </c>
      <c r="G110">
        <v>74</v>
      </c>
      <c r="H110">
        <v>0</v>
      </c>
      <c r="I110">
        <v>0</v>
      </c>
      <c r="J110">
        <v>0</v>
      </c>
      <c r="K110">
        <v>9.9999999999999995E-7</v>
      </c>
      <c r="L110">
        <v>0.26405299999999998</v>
      </c>
      <c r="M110" t="s">
        <v>27</v>
      </c>
      <c r="N110" t="s">
        <v>63</v>
      </c>
      <c r="O110" t="s">
        <v>471</v>
      </c>
      <c r="P110" t="s">
        <v>472</v>
      </c>
      <c r="Q110" t="s">
        <v>473</v>
      </c>
    </row>
    <row r="111" spans="1:17" ht="14.25" customHeight="1" x14ac:dyDescent="0.35">
      <c r="A111" t="s">
        <v>422</v>
      </c>
      <c r="B111">
        <v>47</v>
      </c>
      <c r="C111" t="s">
        <v>547</v>
      </c>
      <c r="D111" t="s">
        <v>421</v>
      </c>
      <c r="E111" t="s">
        <v>25</v>
      </c>
      <c r="F111" t="s">
        <v>34</v>
      </c>
      <c r="G111">
        <v>4930</v>
      </c>
      <c r="H111">
        <v>0</v>
      </c>
      <c r="I111">
        <v>330</v>
      </c>
      <c r="J111">
        <v>0</v>
      </c>
      <c r="K111">
        <v>9.3700000000000001E-4</v>
      </c>
      <c r="L111">
        <v>3.6828759999999998</v>
      </c>
      <c r="M111" t="s">
        <v>27</v>
      </c>
      <c r="N111" t="s">
        <v>28</v>
      </c>
      <c r="O111" t="s">
        <v>471</v>
      </c>
      <c r="P111" t="s">
        <v>472</v>
      </c>
      <c r="Q111" t="s">
        <v>473</v>
      </c>
    </row>
    <row r="112" spans="1:17" ht="14.25" customHeight="1" x14ac:dyDescent="0.35">
      <c r="A112" t="s">
        <v>422</v>
      </c>
      <c r="B112">
        <v>48</v>
      </c>
      <c r="C112" t="s">
        <v>547</v>
      </c>
      <c r="D112" t="s">
        <v>421</v>
      </c>
      <c r="E112" t="s">
        <v>25</v>
      </c>
      <c r="F112" t="s">
        <v>62</v>
      </c>
      <c r="G112">
        <v>83</v>
      </c>
      <c r="H112">
        <v>0</v>
      </c>
      <c r="I112">
        <v>0</v>
      </c>
      <c r="J112">
        <v>0</v>
      </c>
      <c r="K112">
        <v>1.9999999999999999E-6</v>
      </c>
      <c r="L112">
        <v>0.294512</v>
      </c>
      <c r="M112" t="s">
        <v>27</v>
      </c>
      <c r="N112" t="s">
        <v>63</v>
      </c>
      <c r="O112" t="s">
        <v>471</v>
      </c>
      <c r="P112" t="s">
        <v>472</v>
      </c>
      <c r="Q112" t="s">
        <v>473</v>
      </c>
    </row>
    <row r="113" spans="1:17" ht="14.25" customHeight="1" x14ac:dyDescent="0.35">
      <c r="A113" t="s">
        <v>422</v>
      </c>
      <c r="B113">
        <v>49</v>
      </c>
      <c r="C113" t="s">
        <v>548</v>
      </c>
      <c r="D113" t="s">
        <v>421</v>
      </c>
      <c r="E113" t="s">
        <v>25</v>
      </c>
      <c r="F113" t="s">
        <v>34</v>
      </c>
      <c r="G113">
        <v>5084</v>
      </c>
      <c r="H113">
        <v>0</v>
      </c>
      <c r="I113">
        <v>313</v>
      </c>
      <c r="J113">
        <v>0</v>
      </c>
      <c r="K113">
        <v>9.5E-4</v>
      </c>
      <c r="L113">
        <v>3.1747700000000001</v>
      </c>
      <c r="M113" t="s">
        <v>27</v>
      </c>
      <c r="N113" t="s">
        <v>28</v>
      </c>
      <c r="O113" t="s">
        <v>471</v>
      </c>
      <c r="P113" t="s">
        <v>472</v>
      </c>
      <c r="Q113" t="s">
        <v>473</v>
      </c>
    </row>
    <row r="114" spans="1:17" ht="14.25" customHeight="1" x14ac:dyDescent="0.35">
      <c r="A114" t="s">
        <v>422</v>
      </c>
      <c r="B114">
        <v>50</v>
      </c>
      <c r="C114" t="s">
        <v>548</v>
      </c>
      <c r="D114" t="s">
        <v>421</v>
      </c>
      <c r="E114" t="s">
        <v>25</v>
      </c>
      <c r="F114" t="s">
        <v>62</v>
      </c>
      <c r="G114">
        <v>74</v>
      </c>
      <c r="H114">
        <v>0</v>
      </c>
      <c r="I114">
        <v>0</v>
      </c>
      <c r="J114">
        <v>0</v>
      </c>
      <c r="K114">
        <v>9.9999999999999995E-7</v>
      </c>
      <c r="L114">
        <v>0.32237399999999999</v>
      </c>
      <c r="M114" t="s">
        <v>27</v>
      </c>
      <c r="N114" t="s">
        <v>63</v>
      </c>
      <c r="O114" t="s">
        <v>471</v>
      </c>
      <c r="P114" t="s">
        <v>472</v>
      </c>
      <c r="Q114" t="s">
        <v>473</v>
      </c>
    </row>
    <row r="115" spans="1:17" ht="14.25" customHeight="1" x14ac:dyDescent="0.35">
      <c r="A115" t="s">
        <v>422</v>
      </c>
      <c r="B115">
        <v>51</v>
      </c>
      <c r="C115" t="s">
        <v>549</v>
      </c>
      <c r="D115" t="s">
        <v>421</v>
      </c>
      <c r="E115" t="s">
        <v>25</v>
      </c>
      <c r="F115" t="s">
        <v>34</v>
      </c>
      <c r="G115">
        <v>5146</v>
      </c>
      <c r="H115">
        <v>1024</v>
      </c>
      <c r="I115">
        <v>325</v>
      </c>
      <c r="J115">
        <v>0</v>
      </c>
      <c r="K115">
        <v>8.8999999999999995E-4</v>
      </c>
      <c r="L115">
        <v>3.2350669999999999</v>
      </c>
      <c r="M115" t="s">
        <v>27</v>
      </c>
      <c r="N115" t="s">
        <v>28</v>
      </c>
      <c r="O115" t="s">
        <v>471</v>
      </c>
      <c r="P115" t="s">
        <v>472</v>
      </c>
      <c r="Q115" t="s">
        <v>473</v>
      </c>
    </row>
    <row r="116" spans="1:17" ht="14.25" customHeight="1" x14ac:dyDescent="0.35">
      <c r="A116" t="s">
        <v>422</v>
      </c>
      <c r="B116">
        <v>52</v>
      </c>
      <c r="C116" t="s">
        <v>550</v>
      </c>
      <c r="D116" t="s">
        <v>421</v>
      </c>
      <c r="E116" t="s">
        <v>25</v>
      </c>
      <c r="F116" t="s">
        <v>62</v>
      </c>
      <c r="G116">
        <v>36</v>
      </c>
      <c r="H116">
        <v>0</v>
      </c>
      <c r="I116">
        <v>0</v>
      </c>
      <c r="J116">
        <v>0</v>
      </c>
      <c r="K116">
        <v>9.9999999999999995E-7</v>
      </c>
      <c r="L116">
        <v>0.57207699999999995</v>
      </c>
      <c r="M116" t="s">
        <v>27</v>
      </c>
      <c r="N116" t="s">
        <v>63</v>
      </c>
      <c r="O116" t="s">
        <v>471</v>
      </c>
      <c r="P116" t="s">
        <v>472</v>
      </c>
      <c r="Q116" t="s">
        <v>473</v>
      </c>
    </row>
    <row r="117" spans="1:17" ht="14.25" customHeight="1" x14ac:dyDescent="0.35">
      <c r="A117" t="s">
        <v>422</v>
      </c>
      <c r="B117">
        <v>53</v>
      </c>
      <c r="C117" t="s">
        <v>551</v>
      </c>
      <c r="D117" t="s">
        <v>421</v>
      </c>
      <c r="E117" t="s">
        <v>25</v>
      </c>
      <c r="F117" t="s">
        <v>34</v>
      </c>
      <c r="G117">
        <v>4287</v>
      </c>
      <c r="H117">
        <v>0</v>
      </c>
      <c r="I117">
        <v>33</v>
      </c>
      <c r="J117">
        <v>0</v>
      </c>
      <c r="K117">
        <v>6.6299999999999996E-4</v>
      </c>
      <c r="L117">
        <v>1.2596320000000001</v>
      </c>
      <c r="M117" t="s">
        <v>27</v>
      </c>
      <c r="N117" t="s">
        <v>28</v>
      </c>
      <c r="O117" t="s">
        <v>471</v>
      </c>
      <c r="P117" t="s">
        <v>472</v>
      </c>
      <c r="Q117" t="s">
        <v>473</v>
      </c>
    </row>
    <row r="118" spans="1:17" ht="14.25" customHeight="1" x14ac:dyDescent="0.35">
      <c r="A118" t="s">
        <v>422</v>
      </c>
      <c r="B118">
        <v>54</v>
      </c>
      <c r="C118" t="s">
        <v>551</v>
      </c>
      <c r="D118" t="s">
        <v>421</v>
      </c>
      <c r="E118" t="s">
        <v>25</v>
      </c>
      <c r="F118" t="s">
        <v>62</v>
      </c>
      <c r="G118">
        <v>99</v>
      </c>
      <c r="H118">
        <v>0</v>
      </c>
      <c r="I118">
        <v>0</v>
      </c>
      <c r="J118">
        <v>0</v>
      </c>
      <c r="K118">
        <v>1.9999999999999999E-6</v>
      </c>
      <c r="L118">
        <v>0.20990500000000001</v>
      </c>
      <c r="M118" t="s">
        <v>27</v>
      </c>
      <c r="N118" t="s">
        <v>63</v>
      </c>
      <c r="O118" t="s">
        <v>471</v>
      </c>
      <c r="P118" t="s">
        <v>472</v>
      </c>
      <c r="Q118" t="s">
        <v>473</v>
      </c>
    </row>
    <row r="119" spans="1:17" ht="14.25" customHeight="1" x14ac:dyDescent="0.35">
      <c r="A119" t="s">
        <v>422</v>
      </c>
      <c r="B119">
        <v>55</v>
      </c>
      <c r="C119" t="s">
        <v>552</v>
      </c>
      <c r="D119" t="s">
        <v>421</v>
      </c>
      <c r="E119" t="s">
        <v>25</v>
      </c>
      <c r="F119" t="s">
        <v>34</v>
      </c>
      <c r="G119">
        <v>5094</v>
      </c>
      <c r="H119">
        <v>0</v>
      </c>
      <c r="I119">
        <v>296</v>
      </c>
      <c r="J119">
        <v>0</v>
      </c>
      <c r="K119">
        <v>9.4200000000000002E-4</v>
      </c>
      <c r="L119">
        <v>3.3555950000000001</v>
      </c>
      <c r="M119" t="s">
        <v>27</v>
      </c>
      <c r="N119" t="s">
        <v>28</v>
      </c>
      <c r="O119" t="s">
        <v>471</v>
      </c>
      <c r="P119" t="s">
        <v>472</v>
      </c>
      <c r="Q119" t="s">
        <v>473</v>
      </c>
    </row>
    <row r="120" spans="1:17" ht="14.25" customHeight="1" x14ac:dyDescent="0.35">
      <c r="A120" t="s">
        <v>422</v>
      </c>
      <c r="B120">
        <v>56</v>
      </c>
      <c r="C120" t="s">
        <v>552</v>
      </c>
      <c r="D120" t="s">
        <v>421</v>
      </c>
      <c r="E120" t="s">
        <v>25</v>
      </c>
      <c r="F120" t="s">
        <v>62</v>
      </c>
      <c r="G120">
        <v>442</v>
      </c>
      <c r="H120">
        <v>0</v>
      </c>
      <c r="I120">
        <v>0</v>
      </c>
      <c r="J120">
        <v>0</v>
      </c>
      <c r="K120">
        <v>9.0000000000000002E-6</v>
      </c>
      <c r="L120">
        <v>0.29951</v>
      </c>
      <c r="M120" t="s">
        <v>27</v>
      </c>
      <c r="N120" t="s">
        <v>63</v>
      </c>
      <c r="O120" t="s">
        <v>471</v>
      </c>
      <c r="P120" t="s">
        <v>472</v>
      </c>
      <c r="Q120" t="s">
        <v>473</v>
      </c>
    </row>
    <row r="121" spans="1:17" ht="14.25" customHeight="1" x14ac:dyDescent="0.35">
      <c r="A121" t="s">
        <v>422</v>
      </c>
      <c r="B121">
        <v>57</v>
      </c>
      <c r="C121" t="s">
        <v>553</v>
      </c>
      <c r="D121" t="s">
        <v>421</v>
      </c>
      <c r="E121" t="s">
        <v>25</v>
      </c>
      <c r="F121" t="s">
        <v>34</v>
      </c>
      <c r="G121">
        <v>5508</v>
      </c>
      <c r="H121">
        <v>0</v>
      </c>
      <c r="I121">
        <v>431</v>
      </c>
      <c r="J121">
        <v>0</v>
      </c>
      <c r="K121">
        <v>1.085E-3</v>
      </c>
      <c r="L121">
        <v>4.0356050000000003</v>
      </c>
      <c r="M121" t="s">
        <v>27</v>
      </c>
      <c r="N121" t="s">
        <v>28</v>
      </c>
      <c r="O121" t="s">
        <v>471</v>
      </c>
      <c r="P121" t="s">
        <v>472</v>
      </c>
      <c r="Q121" t="s">
        <v>473</v>
      </c>
    </row>
    <row r="122" spans="1:17" ht="14.25" customHeight="1" x14ac:dyDescent="0.35">
      <c r="A122" t="s">
        <v>422</v>
      </c>
      <c r="B122">
        <v>58</v>
      </c>
      <c r="C122" t="s">
        <v>553</v>
      </c>
      <c r="D122" t="s">
        <v>421</v>
      </c>
      <c r="E122" t="s">
        <v>25</v>
      </c>
      <c r="F122" t="s">
        <v>62</v>
      </c>
      <c r="G122">
        <v>74</v>
      </c>
      <c r="H122">
        <v>0</v>
      </c>
      <c r="I122">
        <v>0</v>
      </c>
      <c r="J122">
        <v>0</v>
      </c>
      <c r="K122">
        <v>9.9999999999999995E-7</v>
      </c>
      <c r="L122">
        <v>0.28473300000000001</v>
      </c>
      <c r="M122" t="s">
        <v>27</v>
      </c>
      <c r="N122" t="s">
        <v>63</v>
      </c>
      <c r="O122" t="s">
        <v>471</v>
      </c>
      <c r="P122" t="s">
        <v>472</v>
      </c>
      <c r="Q122" t="s">
        <v>473</v>
      </c>
    </row>
    <row r="123" spans="1:17" ht="14.25" customHeight="1" x14ac:dyDescent="0.35">
      <c r="A123" t="s">
        <v>422</v>
      </c>
      <c r="B123">
        <v>59</v>
      </c>
      <c r="C123" t="s">
        <v>554</v>
      </c>
      <c r="D123" t="s">
        <v>421</v>
      </c>
      <c r="E123" t="s">
        <v>25</v>
      </c>
      <c r="F123" t="s">
        <v>34</v>
      </c>
      <c r="G123">
        <v>5186</v>
      </c>
      <c r="H123">
        <v>0</v>
      </c>
      <c r="I123">
        <v>292</v>
      </c>
      <c r="J123">
        <v>0</v>
      </c>
      <c r="K123">
        <v>9.5299999999999996E-4</v>
      </c>
      <c r="L123">
        <v>3.0877620000000001</v>
      </c>
      <c r="M123" t="s">
        <v>27</v>
      </c>
      <c r="N123" t="s">
        <v>28</v>
      </c>
      <c r="O123" t="s">
        <v>471</v>
      </c>
      <c r="P123" t="s">
        <v>472</v>
      </c>
      <c r="Q123" t="s">
        <v>473</v>
      </c>
    </row>
    <row r="124" spans="1:17" ht="14.25" customHeight="1" x14ac:dyDescent="0.35">
      <c r="A124" t="s">
        <v>422</v>
      </c>
      <c r="B124">
        <v>60</v>
      </c>
      <c r="C124" t="s">
        <v>554</v>
      </c>
      <c r="D124" t="s">
        <v>421</v>
      </c>
      <c r="E124" t="s">
        <v>25</v>
      </c>
      <c r="F124" t="s">
        <v>62</v>
      </c>
      <c r="G124">
        <v>83</v>
      </c>
      <c r="H124">
        <v>0</v>
      </c>
      <c r="I124">
        <v>0</v>
      </c>
      <c r="J124">
        <v>0</v>
      </c>
      <c r="K124">
        <v>1.9999999999999999E-6</v>
      </c>
      <c r="L124">
        <v>0.21357400000000001</v>
      </c>
      <c r="M124" t="s">
        <v>27</v>
      </c>
      <c r="N124" t="s">
        <v>63</v>
      </c>
      <c r="O124" t="s">
        <v>471</v>
      </c>
      <c r="P124" t="s">
        <v>472</v>
      </c>
      <c r="Q124" t="s">
        <v>473</v>
      </c>
    </row>
    <row r="125" spans="1:17" ht="14.25" customHeight="1" x14ac:dyDescent="0.35">
      <c r="A125" t="s">
        <v>422</v>
      </c>
      <c r="B125">
        <v>61</v>
      </c>
      <c r="C125" t="s">
        <v>555</v>
      </c>
      <c r="D125" t="s">
        <v>421</v>
      </c>
      <c r="E125" t="s">
        <v>25</v>
      </c>
      <c r="F125" t="s">
        <v>34</v>
      </c>
      <c r="G125">
        <v>4497</v>
      </c>
      <c r="H125">
        <v>1024</v>
      </c>
      <c r="I125">
        <v>336</v>
      </c>
      <c r="J125">
        <v>0</v>
      </c>
      <c r="K125">
        <v>7.9900000000000001E-4</v>
      </c>
      <c r="L125">
        <v>3.4493680000000002</v>
      </c>
      <c r="M125" t="s">
        <v>27</v>
      </c>
      <c r="N125" t="s">
        <v>28</v>
      </c>
      <c r="O125" t="s">
        <v>471</v>
      </c>
      <c r="P125" t="s">
        <v>472</v>
      </c>
      <c r="Q125" t="s">
        <v>473</v>
      </c>
    </row>
    <row r="126" spans="1:17" ht="14.25" customHeight="1" x14ac:dyDescent="0.35">
      <c r="A126" t="s">
        <v>422</v>
      </c>
      <c r="B126">
        <v>62</v>
      </c>
      <c r="C126" t="s">
        <v>556</v>
      </c>
      <c r="D126" t="s">
        <v>421</v>
      </c>
      <c r="E126" t="s">
        <v>25</v>
      </c>
      <c r="F126" t="s">
        <v>62</v>
      </c>
      <c r="G126">
        <v>74</v>
      </c>
      <c r="H126">
        <v>0</v>
      </c>
      <c r="I126">
        <v>0</v>
      </c>
      <c r="J126">
        <v>0</v>
      </c>
      <c r="K126">
        <v>9.9999999999999995E-7</v>
      </c>
      <c r="L126">
        <v>0.282804</v>
      </c>
      <c r="M126" t="s">
        <v>27</v>
      </c>
      <c r="N126" t="s">
        <v>63</v>
      </c>
      <c r="O126" t="s">
        <v>471</v>
      </c>
      <c r="P126" t="s">
        <v>472</v>
      </c>
      <c r="Q126" t="s">
        <v>473</v>
      </c>
    </row>
    <row r="127" spans="1:17" ht="14.25" customHeight="1" x14ac:dyDescent="0.35">
      <c r="A127" t="s">
        <v>422</v>
      </c>
      <c r="B127">
        <v>63</v>
      </c>
      <c r="C127" t="s">
        <v>557</v>
      </c>
      <c r="D127" t="s">
        <v>421</v>
      </c>
      <c r="E127" t="s">
        <v>25</v>
      </c>
      <c r="F127" t="s">
        <v>34</v>
      </c>
      <c r="G127">
        <v>4493</v>
      </c>
      <c r="H127">
        <v>2048</v>
      </c>
      <c r="I127">
        <v>354</v>
      </c>
      <c r="J127">
        <v>0</v>
      </c>
      <c r="K127">
        <v>7.3300000000000004E-4</v>
      </c>
      <c r="L127">
        <v>3.8426049999999998</v>
      </c>
      <c r="M127" t="s">
        <v>27</v>
      </c>
      <c r="N127" t="s">
        <v>28</v>
      </c>
      <c r="O127" t="s">
        <v>471</v>
      </c>
      <c r="P127" t="s">
        <v>472</v>
      </c>
      <c r="Q127" t="s">
        <v>473</v>
      </c>
    </row>
    <row r="128" spans="1:17" ht="14.25" customHeight="1" x14ac:dyDescent="0.35">
      <c r="A128" t="s">
        <v>425</v>
      </c>
      <c r="B128">
        <v>1</v>
      </c>
      <c r="C128" t="s">
        <v>558</v>
      </c>
      <c r="D128" t="s">
        <v>24</v>
      </c>
      <c r="E128" t="s">
        <v>25</v>
      </c>
      <c r="F128" t="s">
        <v>26</v>
      </c>
      <c r="G128">
        <v>1196</v>
      </c>
      <c r="H128">
        <v>1024</v>
      </c>
      <c r="I128">
        <v>100</v>
      </c>
      <c r="J128">
        <v>0</v>
      </c>
      <c r="K128">
        <v>2.7100000000000002E-3</v>
      </c>
      <c r="L128">
        <v>2.7606299999999999</v>
      </c>
      <c r="M128" t="s">
        <v>27</v>
      </c>
      <c r="N128" t="s">
        <v>28</v>
      </c>
      <c r="O128" t="s">
        <v>29</v>
      </c>
      <c r="P128" t="s">
        <v>30</v>
      </c>
      <c r="Q128" t="s">
        <v>31</v>
      </c>
    </row>
    <row r="129" spans="1:17" ht="14.25" customHeight="1" x14ac:dyDescent="0.35">
      <c r="A129" t="s">
        <v>425</v>
      </c>
      <c r="B129">
        <v>2</v>
      </c>
      <c r="C129" t="s">
        <v>559</v>
      </c>
      <c r="D129" t="s">
        <v>421</v>
      </c>
      <c r="E129" t="s">
        <v>25</v>
      </c>
      <c r="F129" t="s">
        <v>34</v>
      </c>
      <c r="G129">
        <v>1584</v>
      </c>
      <c r="H129">
        <v>1024</v>
      </c>
      <c r="I129">
        <v>56</v>
      </c>
      <c r="J129">
        <v>0</v>
      </c>
      <c r="K129">
        <v>1.94E-4</v>
      </c>
      <c r="L129">
        <v>1.578532</v>
      </c>
      <c r="M129" t="s">
        <v>27</v>
      </c>
      <c r="N129" t="s">
        <v>28</v>
      </c>
      <c r="O129" t="s">
        <v>463</v>
      </c>
      <c r="P129" t="s">
        <v>464</v>
      </c>
      <c r="Q129" t="s">
        <v>465</v>
      </c>
    </row>
    <row r="130" spans="1:17" ht="14.25" customHeight="1" x14ac:dyDescent="0.35">
      <c r="A130" t="s">
        <v>425</v>
      </c>
      <c r="B130">
        <v>3</v>
      </c>
      <c r="C130" t="s">
        <v>560</v>
      </c>
      <c r="D130" t="s">
        <v>421</v>
      </c>
      <c r="E130" t="s">
        <v>25</v>
      </c>
      <c r="F130" t="s">
        <v>26</v>
      </c>
      <c r="G130">
        <v>520</v>
      </c>
      <c r="H130">
        <v>0</v>
      </c>
      <c r="I130">
        <v>50</v>
      </c>
      <c r="J130">
        <v>0</v>
      </c>
      <c r="K130">
        <v>1.8E-3</v>
      </c>
      <c r="L130">
        <v>1.818764</v>
      </c>
      <c r="M130" t="s">
        <v>27</v>
      </c>
      <c r="N130" t="s">
        <v>28</v>
      </c>
      <c r="O130" t="s">
        <v>467</v>
      </c>
      <c r="P130" t="s">
        <v>468</v>
      </c>
      <c r="Q130" t="s">
        <v>469</v>
      </c>
    </row>
    <row r="131" spans="1:17" ht="14.25" customHeight="1" x14ac:dyDescent="0.35">
      <c r="A131" t="s">
        <v>425</v>
      </c>
      <c r="B131">
        <v>4</v>
      </c>
      <c r="C131" t="s">
        <v>561</v>
      </c>
      <c r="D131" t="s">
        <v>421</v>
      </c>
      <c r="E131" t="s">
        <v>25</v>
      </c>
      <c r="F131" t="s">
        <v>62</v>
      </c>
      <c r="G131">
        <v>8134</v>
      </c>
      <c r="H131">
        <v>0</v>
      </c>
      <c r="I131">
        <v>0</v>
      </c>
      <c r="J131">
        <v>0</v>
      </c>
      <c r="K131">
        <v>1.63E-4</v>
      </c>
      <c r="L131">
        <v>2.1394959999999998</v>
      </c>
      <c r="M131" t="s">
        <v>27</v>
      </c>
      <c r="N131" t="s">
        <v>63</v>
      </c>
      <c r="O131" t="s">
        <v>562</v>
      </c>
      <c r="P131" t="s">
        <v>563</v>
      </c>
      <c r="Q131" t="s">
        <v>564</v>
      </c>
    </row>
    <row r="132" spans="1:17" ht="14.25" customHeight="1" x14ac:dyDescent="0.35">
      <c r="A132" t="s">
        <v>425</v>
      </c>
      <c r="B132">
        <v>5</v>
      </c>
      <c r="C132" t="s">
        <v>565</v>
      </c>
      <c r="D132" t="s">
        <v>421</v>
      </c>
      <c r="E132" t="s">
        <v>25</v>
      </c>
      <c r="F132" t="s">
        <v>62</v>
      </c>
      <c r="G132">
        <v>3728</v>
      </c>
      <c r="H132">
        <v>0</v>
      </c>
      <c r="I132">
        <v>0</v>
      </c>
      <c r="J132">
        <v>0</v>
      </c>
      <c r="K132">
        <v>7.4999999999999993E-5</v>
      </c>
      <c r="L132">
        <v>1.573888</v>
      </c>
      <c r="M132" t="s">
        <v>27</v>
      </c>
      <c r="N132" t="s">
        <v>63</v>
      </c>
      <c r="O132" t="s">
        <v>562</v>
      </c>
      <c r="P132" t="s">
        <v>563</v>
      </c>
      <c r="Q132" t="s">
        <v>564</v>
      </c>
    </row>
    <row r="133" spans="1:17" ht="14.25" customHeight="1" x14ac:dyDescent="0.35">
      <c r="A133" t="s">
        <v>425</v>
      </c>
      <c r="B133">
        <v>6</v>
      </c>
      <c r="C133" t="s">
        <v>566</v>
      </c>
      <c r="D133" t="s">
        <v>421</v>
      </c>
      <c r="E133" t="s">
        <v>25</v>
      </c>
      <c r="F133" t="s">
        <v>62</v>
      </c>
      <c r="G133">
        <v>13827</v>
      </c>
      <c r="H133">
        <v>0</v>
      </c>
      <c r="I133">
        <v>0</v>
      </c>
      <c r="J133">
        <v>0</v>
      </c>
      <c r="K133">
        <v>2.7700000000000001E-4</v>
      </c>
      <c r="L133">
        <v>1.650981</v>
      </c>
      <c r="M133" t="s">
        <v>27</v>
      </c>
      <c r="N133" t="s">
        <v>63</v>
      </c>
      <c r="O133" t="s">
        <v>562</v>
      </c>
      <c r="P133" t="s">
        <v>563</v>
      </c>
      <c r="Q133" t="s">
        <v>564</v>
      </c>
    </row>
    <row r="134" spans="1:17" ht="14.25" customHeight="1" x14ac:dyDescent="0.35">
      <c r="A134" t="s">
        <v>425</v>
      </c>
      <c r="B134">
        <v>7</v>
      </c>
      <c r="C134" t="s">
        <v>567</v>
      </c>
      <c r="D134" t="s">
        <v>421</v>
      </c>
      <c r="E134" t="s">
        <v>25</v>
      </c>
      <c r="F134" t="s">
        <v>62</v>
      </c>
      <c r="G134">
        <v>13742</v>
      </c>
      <c r="H134">
        <v>0</v>
      </c>
      <c r="I134">
        <v>0</v>
      </c>
      <c r="J134">
        <v>0</v>
      </c>
      <c r="K134">
        <v>2.7500000000000002E-4</v>
      </c>
      <c r="L134">
        <v>1.472736</v>
      </c>
      <c r="M134" t="s">
        <v>27</v>
      </c>
      <c r="N134" t="s">
        <v>63</v>
      </c>
      <c r="O134" t="s">
        <v>562</v>
      </c>
      <c r="P134" t="s">
        <v>563</v>
      </c>
      <c r="Q134" t="s">
        <v>564</v>
      </c>
    </row>
    <row r="135" spans="1:17" ht="14.25" customHeight="1" x14ac:dyDescent="0.35">
      <c r="A135" t="s">
        <v>425</v>
      </c>
      <c r="B135">
        <v>8</v>
      </c>
      <c r="C135" t="s">
        <v>568</v>
      </c>
      <c r="D135" t="s">
        <v>421</v>
      </c>
      <c r="E135" t="s">
        <v>25</v>
      </c>
      <c r="F135" t="s">
        <v>62</v>
      </c>
      <c r="G135">
        <v>13139</v>
      </c>
      <c r="H135">
        <v>0</v>
      </c>
      <c r="I135">
        <v>0</v>
      </c>
      <c r="J135">
        <v>0</v>
      </c>
      <c r="K135">
        <v>2.63E-4</v>
      </c>
      <c r="L135">
        <v>1.61144</v>
      </c>
      <c r="M135" t="s">
        <v>27</v>
      </c>
      <c r="N135" t="s">
        <v>63</v>
      </c>
      <c r="O135" t="s">
        <v>562</v>
      </c>
      <c r="P135" t="s">
        <v>563</v>
      </c>
      <c r="Q135" t="s">
        <v>564</v>
      </c>
    </row>
    <row r="136" spans="1:17" ht="14.25" customHeight="1" x14ac:dyDescent="0.35">
      <c r="A136" t="s">
        <v>425</v>
      </c>
      <c r="B136">
        <v>9</v>
      </c>
      <c r="C136" t="s">
        <v>569</v>
      </c>
      <c r="D136" t="s">
        <v>421</v>
      </c>
      <c r="E136" t="s">
        <v>25</v>
      </c>
      <c r="F136" t="s">
        <v>62</v>
      </c>
      <c r="G136">
        <v>14196</v>
      </c>
      <c r="H136">
        <v>0</v>
      </c>
      <c r="I136">
        <v>0</v>
      </c>
      <c r="J136">
        <v>0</v>
      </c>
      <c r="K136">
        <v>2.8400000000000002E-4</v>
      </c>
      <c r="L136">
        <v>1.5798080000000001</v>
      </c>
      <c r="M136" t="s">
        <v>27</v>
      </c>
      <c r="N136" t="s">
        <v>63</v>
      </c>
      <c r="O136" t="s">
        <v>562</v>
      </c>
      <c r="P136" t="s">
        <v>563</v>
      </c>
      <c r="Q136" t="s">
        <v>564</v>
      </c>
    </row>
    <row r="137" spans="1:17" ht="14.25" customHeight="1" x14ac:dyDescent="0.35">
      <c r="A137" t="s">
        <v>425</v>
      </c>
      <c r="B137">
        <v>10</v>
      </c>
      <c r="C137" t="s">
        <v>570</v>
      </c>
      <c r="D137" t="s">
        <v>421</v>
      </c>
      <c r="E137" t="s">
        <v>25</v>
      </c>
      <c r="F137" t="s">
        <v>62</v>
      </c>
      <c r="G137">
        <v>13567</v>
      </c>
      <c r="H137">
        <v>0</v>
      </c>
      <c r="I137">
        <v>0</v>
      </c>
      <c r="J137">
        <v>0</v>
      </c>
      <c r="K137">
        <v>2.7099999999999997E-4</v>
      </c>
      <c r="L137">
        <v>1.9567049999999999</v>
      </c>
      <c r="M137" t="s">
        <v>27</v>
      </c>
      <c r="N137" t="s">
        <v>63</v>
      </c>
      <c r="O137" t="s">
        <v>562</v>
      </c>
      <c r="P137" t="s">
        <v>563</v>
      </c>
      <c r="Q137" t="s">
        <v>564</v>
      </c>
    </row>
    <row r="138" spans="1:17" ht="14.25" customHeight="1" x14ac:dyDescent="0.35">
      <c r="A138" t="s">
        <v>425</v>
      </c>
      <c r="B138">
        <v>11</v>
      </c>
      <c r="C138" t="s">
        <v>571</v>
      </c>
      <c r="D138" t="s">
        <v>421</v>
      </c>
      <c r="E138" t="s">
        <v>25</v>
      </c>
      <c r="F138" t="s">
        <v>62</v>
      </c>
      <c r="G138">
        <v>13961</v>
      </c>
      <c r="H138">
        <v>0</v>
      </c>
      <c r="I138">
        <v>0</v>
      </c>
      <c r="J138">
        <v>0</v>
      </c>
      <c r="K138">
        <v>2.7900000000000001E-4</v>
      </c>
      <c r="L138">
        <v>1.9939750000000001</v>
      </c>
      <c r="M138" t="s">
        <v>27</v>
      </c>
      <c r="N138" t="s">
        <v>63</v>
      </c>
      <c r="O138" t="s">
        <v>562</v>
      </c>
      <c r="P138" t="s">
        <v>563</v>
      </c>
      <c r="Q138" t="s">
        <v>564</v>
      </c>
    </row>
    <row r="139" spans="1:17" ht="14.25" customHeight="1" x14ac:dyDescent="0.35">
      <c r="A139" t="s">
        <v>425</v>
      </c>
      <c r="B139">
        <v>12</v>
      </c>
      <c r="C139" t="s">
        <v>572</v>
      </c>
      <c r="D139" t="s">
        <v>421</v>
      </c>
      <c r="E139" t="s">
        <v>25</v>
      </c>
      <c r="F139" t="s">
        <v>62</v>
      </c>
      <c r="G139">
        <v>13969</v>
      </c>
      <c r="H139">
        <v>0</v>
      </c>
      <c r="I139">
        <v>0</v>
      </c>
      <c r="J139">
        <v>0</v>
      </c>
      <c r="K139">
        <v>2.7900000000000001E-4</v>
      </c>
      <c r="L139">
        <v>1.670077</v>
      </c>
      <c r="M139" t="s">
        <v>27</v>
      </c>
      <c r="N139" t="s">
        <v>63</v>
      </c>
      <c r="O139" t="s">
        <v>562</v>
      </c>
      <c r="P139" t="s">
        <v>563</v>
      </c>
      <c r="Q139" t="s">
        <v>564</v>
      </c>
    </row>
    <row r="140" spans="1:17" ht="14.25" customHeight="1" x14ac:dyDescent="0.35">
      <c r="A140" t="s">
        <v>425</v>
      </c>
      <c r="B140">
        <v>13</v>
      </c>
      <c r="C140" t="s">
        <v>573</v>
      </c>
      <c r="D140" t="s">
        <v>421</v>
      </c>
      <c r="E140" t="s">
        <v>25</v>
      </c>
      <c r="F140" t="s">
        <v>62</v>
      </c>
      <c r="G140">
        <v>13664</v>
      </c>
      <c r="H140">
        <v>0</v>
      </c>
      <c r="I140">
        <v>0</v>
      </c>
      <c r="J140">
        <v>0</v>
      </c>
      <c r="K140">
        <v>2.7300000000000002E-4</v>
      </c>
      <c r="L140">
        <v>1.655009</v>
      </c>
      <c r="M140" t="s">
        <v>27</v>
      </c>
      <c r="N140" t="s">
        <v>63</v>
      </c>
      <c r="O140" t="s">
        <v>562</v>
      </c>
      <c r="P140" t="s">
        <v>563</v>
      </c>
      <c r="Q140" t="s">
        <v>564</v>
      </c>
    </row>
    <row r="141" spans="1:17" ht="14.25" customHeight="1" x14ac:dyDescent="0.35">
      <c r="A141" t="s">
        <v>425</v>
      </c>
      <c r="B141">
        <v>14</v>
      </c>
      <c r="C141" t="s">
        <v>574</v>
      </c>
      <c r="D141" t="s">
        <v>421</v>
      </c>
      <c r="E141" t="s">
        <v>25</v>
      </c>
      <c r="F141" t="s">
        <v>62</v>
      </c>
      <c r="G141">
        <v>15300</v>
      </c>
      <c r="H141">
        <v>0</v>
      </c>
      <c r="I141">
        <v>0</v>
      </c>
      <c r="J141">
        <v>0</v>
      </c>
      <c r="K141">
        <v>3.0600000000000001E-4</v>
      </c>
      <c r="L141">
        <v>1.9507749999999999</v>
      </c>
      <c r="M141" t="s">
        <v>27</v>
      </c>
      <c r="N141" t="s">
        <v>63</v>
      </c>
      <c r="O141" t="s">
        <v>562</v>
      </c>
      <c r="P141" t="s">
        <v>563</v>
      </c>
      <c r="Q141" t="s">
        <v>564</v>
      </c>
    </row>
    <row r="142" spans="1:17" ht="14.25" customHeight="1" x14ac:dyDescent="0.35">
      <c r="A142" t="s">
        <v>425</v>
      </c>
      <c r="B142">
        <v>15</v>
      </c>
      <c r="C142" t="s">
        <v>575</v>
      </c>
      <c r="D142" t="s">
        <v>421</v>
      </c>
      <c r="E142" t="s">
        <v>25</v>
      </c>
      <c r="F142" t="s">
        <v>62</v>
      </c>
      <c r="G142">
        <v>14489</v>
      </c>
      <c r="H142">
        <v>0</v>
      </c>
      <c r="I142">
        <v>0</v>
      </c>
      <c r="J142">
        <v>0</v>
      </c>
      <c r="K142">
        <v>2.9E-4</v>
      </c>
      <c r="L142">
        <v>1.7442500000000001</v>
      </c>
      <c r="M142" t="s">
        <v>27</v>
      </c>
      <c r="N142" t="s">
        <v>63</v>
      </c>
      <c r="O142" t="s">
        <v>562</v>
      </c>
      <c r="P142" t="s">
        <v>563</v>
      </c>
      <c r="Q142" t="s">
        <v>564</v>
      </c>
    </row>
    <row r="143" spans="1:17" ht="14.25" customHeight="1" x14ac:dyDescent="0.35">
      <c r="A143" t="s">
        <v>425</v>
      </c>
      <c r="B143">
        <v>16</v>
      </c>
      <c r="C143" t="s">
        <v>576</v>
      </c>
      <c r="D143" t="s">
        <v>421</v>
      </c>
      <c r="E143" t="s">
        <v>25</v>
      </c>
      <c r="F143" t="s">
        <v>62</v>
      </c>
      <c r="G143">
        <v>14223</v>
      </c>
      <c r="H143">
        <v>0</v>
      </c>
      <c r="I143">
        <v>0</v>
      </c>
      <c r="J143">
        <v>0</v>
      </c>
      <c r="K143">
        <v>2.8400000000000002E-4</v>
      </c>
      <c r="L143">
        <v>1.648339</v>
      </c>
      <c r="M143" t="s">
        <v>27</v>
      </c>
      <c r="N143" t="s">
        <v>63</v>
      </c>
      <c r="O143" t="s">
        <v>562</v>
      </c>
      <c r="P143" t="s">
        <v>563</v>
      </c>
      <c r="Q143" t="s">
        <v>564</v>
      </c>
    </row>
    <row r="144" spans="1:17" ht="14.25" customHeight="1" x14ac:dyDescent="0.35">
      <c r="A144" t="s">
        <v>425</v>
      </c>
      <c r="B144">
        <v>17</v>
      </c>
      <c r="C144" t="s">
        <v>577</v>
      </c>
      <c r="D144" t="s">
        <v>421</v>
      </c>
      <c r="E144" t="s">
        <v>25</v>
      </c>
      <c r="F144" t="s">
        <v>62</v>
      </c>
      <c r="G144">
        <v>14912</v>
      </c>
      <c r="H144">
        <v>0</v>
      </c>
      <c r="I144">
        <v>0</v>
      </c>
      <c r="J144">
        <v>0</v>
      </c>
      <c r="K144">
        <v>2.9799999999999998E-4</v>
      </c>
      <c r="L144">
        <v>1.738936</v>
      </c>
      <c r="M144" t="s">
        <v>27</v>
      </c>
      <c r="N144" t="s">
        <v>63</v>
      </c>
      <c r="O144" t="s">
        <v>562</v>
      </c>
      <c r="P144" t="s">
        <v>563</v>
      </c>
      <c r="Q144" t="s">
        <v>564</v>
      </c>
    </row>
    <row r="145" spans="1:17" ht="14.25" customHeight="1" x14ac:dyDescent="0.35">
      <c r="A145" t="s">
        <v>425</v>
      </c>
      <c r="B145">
        <v>18</v>
      </c>
      <c r="C145" t="s">
        <v>578</v>
      </c>
      <c r="D145" t="s">
        <v>421</v>
      </c>
      <c r="E145" t="s">
        <v>25</v>
      </c>
      <c r="F145" t="s">
        <v>62</v>
      </c>
      <c r="G145">
        <v>14029</v>
      </c>
      <c r="H145">
        <v>0</v>
      </c>
      <c r="I145">
        <v>0</v>
      </c>
      <c r="J145">
        <v>0</v>
      </c>
      <c r="K145">
        <v>2.81E-4</v>
      </c>
      <c r="L145">
        <v>1.926796</v>
      </c>
      <c r="M145" t="s">
        <v>27</v>
      </c>
      <c r="N145" t="s">
        <v>63</v>
      </c>
      <c r="O145" t="s">
        <v>562</v>
      </c>
      <c r="P145" t="s">
        <v>563</v>
      </c>
      <c r="Q145" t="s">
        <v>564</v>
      </c>
    </row>
    <row r="146" spans="1:17" ht="14.25" customHeight="1" x14ac:dyDescent="0.35">
      <c r="A146" t="s">
        <v>425</v>
      </c>
      <c r="B146">
        <v>19</v>
      </c>
      <c r="C146" t="s">
        <v>579</v>
      </c>
      <c r="D146" t="s">
        <v>421</v>
      </c>
      <c r="E146" t="s">
        <v>25</v>
      </c>
      <c r="F146" t="s">
        <v>62</v>
      </c>
      <c r="G146">
        <v>10723</v>
      </c>
      <c r="H146">
        <v>0</v>
      </c>
      <c r="I146">
        <v>0</v>
      </c>
      <c r="J146">
        <v>0</v>
      </c>
      <c r="K146">
        <v>2.14E-4</v>
      </c>
      <c r="L146">
        <v>1.692596</v>
      </c>
      <c r="M146" t="s">
        <v>27</v>
      </c>
      <c r="N146" t="s">
        <v>63</v>
      </c>
      <c r="O146" t="s">
        <v>562</v>
      </c>
      <c r="P146" t="s">
        <v>563</v>
      </c>
      <c r="Q146" t="s">
        <v>564</v>
      </c>
    </row>
    <row r="147" spans="1:17" ht="14.25" customHeight="1" x14ac:dyDescent="0.35">
      <c r="A147" t="s">
        <v>425</v>
      </c>
      <c r="B147">
        <v>20</v>
      </c>
      <c r="C147" t="s">
        <v>580</v>
      </c>
      <c r="D147" t="s">
        <v>421</v>
      </c>
      <c r="E147" t="s">
        <v>25</v>
      </c>
      <c r="F147" t="s">
        <v>62</v>
      </c>
      <c r="G147">
        <v>10592</v>
      </c>
      <c r="H147">
        <v>0</v>
      </c>
      <c r="I147">
        <v>0</v>
      </c>
      <c r="J147">
        <v>0</v>
      </c>
      <c r="K147">
        <v>2.12E-4</v>
      </c>
      <c r="L147">
        <v>1.5299799999999999</v>
      </c>
      <c r="M147" t="s">
        <v>27</v>
      </c>
      <c r="N147" t="s">
        <v>63</v>
      </c>
      <c r="O147" t="s">
        <v>562</v>
      </c>
      <c r="P147" t="s">
        <v>563</v>
      </c>
      <c r="Q147" t="s">
        <v>564</v>
      </c>
    </row>
    <row r="148" spans="1:17" ht="14.25" customHeight="1" x14ac:dyDescent="0.35">
      <c r="A148" t="s">
        <v>425</v>
      </c>
      <c r="B148">
        <v>21</v>
      </c>
      <c r="C148" t="s">
        <v>581</v>
      </c>
      <c r="D148" t="s">
        <v>421</v>
      </c>
      <c r="E148" t="s">
        <v>25</v>
      </c>
      <c r="F148" t="s">
        <v>62</v>
      </c>
      <c r="G148">
        <v>5250</v>
      </c>
      <c r="H148">
        <v>0</v>
      </c>
      <c r="I148">
        <v>0</v>
      </c>
      <c r="J148">
        <v>0</v>
      </c>
      <c r="K148">
        <v>1.05E-4</v>
      </c>
      <c r="L148">
        <v>2.6730130000000001</v>
      </c>
      <c r="M148" t="s">
        <v>27</v>
      </c>
      <c r="N148" t="s">
        <v>63</v>
      </c>
      <c r="O148" t="s">
        <v>562</v>
      </c>
      <c r="P148" t="s">
        <v>563</v>
      </c>
      <c r="Q148" t="s">
        <v>564</v>
      </c>
    </row>
    <row r="149" spans="1:17" ht="14.25" customHeight="1" x14ac:dyDescent="0.35">
      <c r="A149" t="s">
        <v>425</v>
      </c>
      <c r="B149">
        <v>22</v>
      </c>
      <c r="C149" t="s">
        <v>582</v>
      </c>
      <c r="D149" t="s">
        <v>421</v>
      </c>
      <c r="E149" t="s">
        <v>25</v>
      </c>
      <c r="F149" t="s">
        <v>62</v>
      </c>
      <c r="G149">
        <v>4257</v>
      </c>
      <c r="H149">
        <v>0</v>
      </c>
      <c r="I149">
        <v>0</v>
      </c>
      <c r="J149">
        <v>0</v>
      </c>
      <c r="K149">
        <v>8.5000000000000006E-5</v>
      </c>
      <c r="L149">
        <v>1.7547779999999999</v>
      </c>
      <c r="M149" t="s">
        <v>27</v>
      </c>
      <c r="N149" t="s">
        <v>63</v>
      </c>
      <c r="O149" t="s">
        <v>562</v>
      </c>
      <c r="P149" t="s">
        <v>563</v>
      </c>
      <c r="Q149" t="s">
        <v>564</v>
      </c>
    </row>
    <row r="150" spans="1:17" ht="14.25" customHeight="1" x14ac:dyDescent="0.35">
      <c r="A150" t="s">
        <v>425</v>
      </c>
      <c r="B150">
        <v>23</v>
      </c>
      <c r="C150" t="s">
        <v>583</v>
      </c>
      <c r="D150" t="s">
        <v>421</v>
      </c>
      <c r="E150" t="s">
        <v>25</v>
      </c>
      <c r="F150" t="s">
        <v>62</v>
      </c>
      <c r="G150">
        <v>4486</v>
      </c>
      <c r="H150">
        <v>0</v>
      </c>
      <c r="I150">
        <v>0</v>
      </c>
      <c r="J150">
        <v>0</v>
      </c>
      <c r="K150">
        <v>9.0000000000000006E-5</v>
      </c>
      <c r="L150">
        <v>1.7255860000000001</v>
      </c>
      <c r="M150" t="s">
        <v>27</v>
      </c>
      <c r="N150" t="s">
        <v>63</v>
      </c>
      <c r="O150" t="s">
        <v>562</v>
      </c>
      <c r="P150" t="s">
        <v>563</v>
      </c>
      <c r="Q150" t="s">
        <v>564</v>
      </c>
    </row>
    <row r="151" spans="1:17" ht="14.25" customHeight="1" x14ac:dyDescent="0.35">
      <c r="A151" t="s">
        <v>425</v>
      </c>
      <c r="B151">
        <v>24</v>
      </c>
      <c r="C151" t="s">
        <v>584</v>
      </c>
      <c r="D151" t="s">
        <v>421</v>
      </c>
      <c r="E151" t="s">
        <v>25</v>
      </c>
      <c r="F151" t="s">
        <v>62</v>
      </c>
      <c r="G151">
        <v>4215</v>
      </c>
      <c r="H151">
        <v>0</v>
      </c>
      <c r="I151">
        <v>0</v>
      </c>
      <c r="J151">
        <v>0</v>
      </c>
      <c r="K151">
        <v>8.3999999999999995E-5</v>
      </c>
      <c r="L151">
        <v>1.5168470000000001</v>
      </c>
      <c r="M151" t="s">
        <v>27</v>
      </c>
      <c r="N151" t="s">
        <v>63</v>
      </c>
      <c r="O151" t="s">
        <v>562</v>
      </c>
      <c r="P151" t="s">
        <v>563</v>
      </c>
      <c r="Q151" t="s">
        <v>564</v>
      </c>
    </row>
    <row r="152" spans="1:17" ht="14.25" customHeight="1" x14ac:dyDescent="0.35">
      <c r="A152" t="s">
        <v>425</v>
      </c>
      <c r="B152">
        <v>25</v>
      </c>
      <c r="C152" t="s">
        <v>585</v>
      </c>
      <c r="D152" t="s">
        <v>421</v>
      </c>
      <c r="E152" t="s">
        <v>25</v>
      </c>
      <c r="F152" t="s">
        <v>62</v>
      </c>
      <c r="G152">
        <v>3412</v>
      </c>
      <c r="H152">
        <v>0</v>
      </c>
      <c r="I152">
        <v>0</v>
      </c>
      <c r="J152">
        <v>0</v>
      </c>
      <c r="K152">
        <v>6.7999999999999999E-5</v>
      </c>
      <c r="L152">
        <v>1.6799299999999999</v>
      </c>
      <c r="M152" t="s">
        <v>27</v>
      </c>
      <c r="N152" t="s">
        <v>63</v>
      </c>
      <c r="O152" t="s">
        <v>562</v>
      </c>
      <c r="P152" t="s">
        <v>563</v>
      </c>
      <c r="Q152" t="s">
        <v>564</v>
      </c>
    </row>
    <row r="153" spans="1:17" ht="14.25" customHeight="1" x14ac:dyDescent="0.35">
      <c r="A153" t="s">
        <v>425</v>
      </c>
      <c r="B153">
        <v>26</v>
      </c>
      <c r="C153" t="s">
        <v>586</v>
      </c>
      <c r="D153" t="s">
        <v>421</v>
      </c>
      <c r="E153" t="s">
        <v>25</v>
      </c>
      <c r="F153" t="s">
        <v>62</v>
      </c>
      <c r="G153">
        <v>164</v>
      </c>
      <c r="H153">
        <v>0</v>
      </c>
      <c r="I153">
        <v>0</v>
      </c>
      <c r="J153">
        <v>0</v>
      </c>
      <c r="K153">
        <v>3.0000000000000001E-6</v>
      </c>
      <c r="L153">
        <v>0.48621199999999998</v>
      </c>
      <c r="M153" t="s">
        <v>27</v>
      </c>
      <c r="N153" t="s">
        <v>63</v>
      </c>
      <c r="O153" t="s">
        <v>562</v>
      </c>
      <c r="P153" t="s">
        <v>563</v>
      </c>
      <c r="Q153" t="s">
        <v>564</v>
      </c>
    </row>
    <row r="154" spans="1:17" ht="14.25" customHeight="1" x14ac:dyDescent="0.35">
      <c r="A154" t="s">
        <v>425</v>
      </c>
      <c r="B154">
        <v>27</v>
      </c>
      <c r="C154" t="s">
        <v>587</v>
      </c>
      <c r="D154" t="s">
        <v>421</v>
      </c>
      <c r="E154" t="s">
        <v>25</v>
      </c>
      <c r="F154" t="s">
        <v>62</v>
      </c>
      <c r="G154">
        <v>11</v>
      </c>
      <c r="H154">
        <v>0</v>
      </c>
      <c r="I154">
        <v>0</v>
      </c>
      <c r="J154">
        <v>0</v>
      </c>
      <c r="K154">
        <v>0</v>
      </c>
      <c r="L154">
        <v>0.25305800000000001</v>
      </c>
      <c r="M154" t="s">
        <v>27</v>
      </c>
      <c r="N154" t="s">
        <v>63</v>
      </c>
      <c r="O154" t="s">
        <v>562</v>
      </c>
      <c r="P154" t="s">
        <v>563</v>
      </c>
      <c r="Q154" t="s">
        <v>564</v>
      </c>
    </row>
    <row r="155" spans="1:17" ht="14.25" customHeight="1" x14ac:dyDescent="0.35">
      <c r="A155" t="s">
        <v>425</v>
      </c>
      <c r="B155">
        <v>28</v>
      </c>
      <c r="C155" t="s">
        <v>588</v>
      </c>
      <c r="D155" t="s">
        <v>24</v>
      </c>
      <c r="E155" t="s">
        <v>25</v>
      </c>
      <c r="F155" t="s">
        <v>26</v>
      </c>
      <c r="G155">
        <v>1317</v>
      </c>
      <c r="H155">
        <v>0</v>
      </c>
      <c r="I155">
        <v>84</v>
      </c>
      <c r="J155">
        <v>0</v>
      </c>
      <c r="K155">
        <v>4.1320000000000003E-3</v>
      </c>
      <c r="L155">
        <v>2.0165030000000002</v>
      </c>
      <c r="M155" t="s">
        <v>27</v>
      </c>
      <c r="N155" t="s">
        <v>28</v>
      </c>
      <c r="O155" t="s">
        <v>29</v>
      </c>
      <c r="P155" t="s">
        <v>30</v>
      </c>
      <c r="Q155" t="s">
        <v>31</v>
      </c>
    </row>
    <row r="156" spans="1:17" ht="14.25" customHeight="1" x14ac:dyDescent="0.35">
      <c r="A156" t="s">
        <v>425</v>
      </c>
      <c r="B156">
        <v>29</v>
      </c>
      <c r="C156" t="s">
        <v>589</v>
      </c>
      <c r="D156" t="s">
        <v>460</v>
      </c>
      <c r="E156" t="s">
        <v>40</v>
      </c>
      <c r="F156" t="s">
        <v>41</v>
      </c>
      <c r="G156">
        <v>262</v>
      </c>
      <c r="H156">
        <v>0</v>
      </c>
      <c r="I156">
        <v>20</v>
      </c>
      <c r="J156">
        <v>5.0000000000000001E-3</v>
      </c>
      <c r="K156">
        <v>5.28E-3</v>
      </c>
      <c r="L156">
        <v>1.7403489999999999</v>
      </c>
      <c r="M156" t="s">
        <v>27</v>
      </c>
      <c r="N156" t="s">
        <v>42</v>
      </c>
      <c r="O156" t="s">
        <v>590</v>
      </c>
      <c r="P156" t="s">
        <v>591</v>
      </c>
      <c r="Q156" t="s">
        <v>592</v>
      </c>
    </row>
    <row r="157" spans="1:17" ht="14.25" customHeight="1" x14ac:dyDescent="0.35">
      <c r="A157" t="s">
        <v>425</v>
      </c>
      <c r="B157">
        <v>30</v>
      </c>
      <c r="C157" t="s">
        <v>593</v>
      </c>
      <c r="D157" t="s">
        <v>460</v>
      </c>
      <c r="E157" t="s">
        <v>40</v>
      </c>
      <c r="F157" t="s">
        <v>373</v>
      </c>
      <c r="G157">
        <v>812</v>
      </c>
      <c r="H157">
        <v>0</v>
      </c>
      <c r="I157">
        <v>58</v>
      </c>
      <c r="J157">
        <v>1.4E-2</v>
      </c>
      <c r="K157">
        <v>1.7309999999999999E-2</v>
      </c>
      <c r="L157">
        <v>6.2383819999999996</v>
      </c>
      <c r="M157" t="s">
        <v>27</v>
      </c>
      <c r="N157" t="s">
        <v>594</v>
      </c>
      <c r="O157" t="s">
        <v>595</v>
      </c>
      <c r="P157" t="s">
        <v>596</v>
      </c>
      <c r="Q157" t="s">
        <v>597</v>
      </c>
    </row>
    <row r="158" spans="1:17" ht="14.25" customHeight="1" x14ac:dyDescent="0.35">
      <c r="A158" t="s">
        <v>425</v>
      </c>
      <c r="B158">
        <v>31</v>
      </c>
      <c r="C158" t="s">
        <v>598</v>
      </c>
      <c r="D158" t="s">
        <v>460</v>
      </c>
      <c r="E158" t="s">
        <v>47</v>
      </c>
      <c r="F158" t="s">
        <v>47</v>
      </c>
      <c r="G158">
        <v>0</v>
      </c>
      <c r="H158">
        <v>0</v>
      </c>
      <c r="I158">
        <v>0</v>
      </c>
      <c r="J158">
        <v>1E-3</v>
      </c>
      <c r="K158">
        <v>1E-3</v>
      </c>
      <c r="L158">
        <v>1.8178339999999999</v>
      </c>
      <c r="M158" t="s">
        <v>27</v>
      </c>
      <c r="N158" t="s">
        <v>48</v>
      </c>
      <c r="O158" t="s">
        <v>599</v>
      </c>
      <c r="P158" t="s">
        <v>600</v>
      </c>
      <c r="Q158" t="s">
        <v>601</v>
      </c>
    </row>
    <row r="159" spans="1:17" ht="14.25" customHeight="1" x14ac:dyDescent="0.35">
      <c r="A159" t="s">
        <v>425</v>
      </c>
      <c r="B159">
        <v>32</v>
      </c>
      <c r="C159" t="s">
        <v>602</v>
      </c>
      <c r="D159" t="s">
        <v>460</v>
      </c>
      <c r="E159" t="s">
        <v>40</v>
      </c>
      <c r="F159" t="s">
        <v>603</v>
      </c>
      <c r="G159">
        <v>0</v>
      </c>
      <c r="H159">
        <v>0</v>
      </c>
      <c r="I159">
        <v>0</v>
      </c>
      <c r="J159">
        <v>5.0000000000000001E-3</v>
      </c>
      <c r="K159">
        <v>5.0000000000000001E-3</v>
      </c>
      <c r="L159">
        <v>1.4398029999999999</v>
      </c>
      <c r="M159" t="s">
        <v>27</v>
      </c>
      <c r="N159" t="s">
        <v>604</v>
      </c>
      <c r="O159" t="s">
        <v>605</v>
      </c>
      <c r="P159" t="s">
        <v>606</v>
      </c>
      <c r="Q159" t="s">
        <v>607</v>
      </c>
    </row>
    <row r="160" spans="1:17" ht="14.25" customHeight="1" x14ac:dyDescent="0.35">
      <c r="A160" t="s">
        <v>425</v>
      </c>
      <c r="B160">
        <v>33</v>
      </c>
      <c r="C160" t="s">
        <v>608</v>
      </c>
      <c r="D160" t="s">
        <v>460</v>
      </c>
      <c r="E160" t="s">
        <v>47</v>
      </c>
      <c r="F160" t="s">
        <v>47</v>
      </c>
      <c r="G160">
        <v>0</v>
      </c>
      <c r="H160">
        <v>0</v>
      </c>
      <c r="I160">
        <v>0</v>
      </c>
      <c r="J160">
        <v>1E-3</v>
      </c>
      <c r="K160">
        <v>1E-3</v>
      </c>
      <c r="L160">
        <v>2.5164490000000002</v>
      </c>
      <c r="M160" t="s">
        <v>27</v>
      </c>
      <c r="N160" t="s">
        <v>48</v>
      </c>
      <c r="O160" t="s">
        <v>599</v>
      </c>
      <c r="P160" t="s">
        <v>600</v>
      </c>
      <c r="Q160" t="s">
        <v>601</v>
      </c>
    </row>
    <row r="161" spans="1:17" ht="14.25" customHeight="1" x14ac:dyDescent="0.35">
      <c r="A161" t="s">
        <v>425</v>
      </c>
      <c r="B161">
        <v>34</v>
      </c>
      <c r="C161" t="s">
        <v>609</v>
      </c>
      <c r="D161" t="s">
        <v>460</v>
      </c>
      <c r="E161" t="s">
        <v>40</v>
      </c>
      <c r="F161" t="s">
        <v>603</v>
      </c>
      <c r="G161">
        <v>0</v>
      </c>
      <c r="H161">
        <v>0</v>
      </c>
      <c r="I161">
        <v>0</v>
      </c>
      <c r="J161">
        <v>5.0000000000000001E-3</v>
      </c>
      <c r="K161">
        <v>5.0000000000000001E-3</v>
      </c>
      <c r="L161">
        <v>1.5095860000000001</v>
      </c>
      <c r="M161" t="s">
        <v>27</v>
      </c>
      <c r="N161" t="s">
        <v>604</v>
      </c>
      <c r="O161" t="s">
        <v>605</v>
      </c>
      <c r="P161" t="s">
        <v>606</v>
      </c>
      <c r="Q161" t="s">
        <v>607</v>
      </c>
    </row>
    <row r="162" spans="1:17" ht="14.25" customHeight="1" x14ac:dyDescent="0.35">
      <c r="A162" t="s">
        <v>425</v>
      </c>
      <c r="B162">
        <v>35</v>
      </c>
      <c r="C162" t="s">
        <v>610</v>
      </c>
      <c r="D162" t="s">
        <v>460</v>
      </c>
      <c r="E162" t="s">
        <v>47</v>
      </c>
      <c r="F162" t="s">
        <v>47</v>
      </c>
      <c r="G162">
        <v>0</v>
      </c>
      <c r="H162">
        <v>0</v>
      </c>
      <c r="I162">
        <v>0</v>
      </c>
      <c r="J162">
        <v>1E-3</v>
      </c>
      <c r="K162">
        <v>1E-3</v>
      </c>
      <c r="L162">
        <v>1.19306</v>
      </c>
      <c r="M162" t="s">
        <v>27</v>
      </c>
      <c r="N162" t="s">
        <v>48</v>
      </c>
      <c r="O162" t="s">
        <v>599</v>
      </c>
      <c r="P162" t="s">
        <v>600</v>
      </c>
      <c r="Q162" t="s">
        <v>601</v>
      </c>
    </row>
    <row r="163" spans="1:17" ht="14.25" customHeight="1" x14ac:dyDescent="0.35">
      <c r="A163" t="s">
        <v>425</v>
      </c>
      <c r="B163">
        <v>36</v>
      </c>
      <c r="C163" t="s">
        <v>611</v>
      </c>
      <c r="D163" t="s">
        <v>460</v>
      </c>
      <c r="E163" t="s">
        <v>40</v>
      </c>
      <c r="F163" t="s">
        <v>603</v>
      </c>
      <c r="G163">
        <v>0</v>
      </c>
      <c r="H163">
        <v>0</v>
      </c>
      <c r="I163">
        <v>0</v>
      </c>
      <c r="J163">
        <v>5.0000000000000001E-3</v>
      </c>
      <c r="K163">
        <v>5.0000000000000001E-3</v>
      </c>
      <c r="L163">
        <v>1.814147</v>
      </c>
      <c r="M163" t="s">
        <v>27</v>
      </c>
      <c r="N163" t="s">
        <v>604</v>
      </c>
      <c r="O163" t="s">
        <v>605</v>
      </c>
      <c r="P163" t="s">
        <v>606</v>
      </c>
      <c r="Q163" t="s">
        <v>607</v>
      </c>
    </row>
    <row r="164" spans="1:17" ht="14.25" customHeight="1" x14ac:dyDescent="0.35">
      <c r="A164" t="s">
        <v>425</v>
      </c>
      <c r="B164">
        <v>37</v>
      </c>
      <c r="C164" t="s">
        <v>612</v>
      </c>
      <c r="D164" t="s">
        <v>460</v>
      </c>
      <c r="E164" t="s">
        <v>47</v>
      </c>
      <c r="F164" t="s">
        <v>47</v>
      </c>
      <c r="G164">
        <v>0</v>
      </c>
      <c r="H164">
        <v>0</v>
      </c>
      <c r="I164">
        <v>0</v>
      </c>
      <c r="J164">
        <v>1E-3</v>
      </c>
      <c r="K164">
        <v>1E-3</v>
      </c>
      <c r="L164">
        <v>1.2685900000000001</v>
      </c>
      <c r="M164" t="s">
        <v>27</v>
      </c>
      <c r="N164" t="s">
        <v>48</v>
      </c>
      <c r="O164" t="s">
        <v>599</v>
      </c>
      <c r="P164" t="s">
        <v>600</v>
      </c>
      <c r="Q164" t="s">
        <v>601</v>
      </c>
    </row>
    <row r="165" spans="1:17" ht="14.25" customHeight="1" x14ac:dyDescent="0.35">
      <c r="A165" t="s">
        <v>425</v>
      </c>
      <c r="B165">
        <v>38</v>
      </c>
      <c r="C165" t="s">
        <v>613</v>
      </c>
      <c r="D165" t="s">
        <v>460</v>
      </c>
      <c r="E165" t="s">
        <v>40</v>
      </c>
      <c r="F165" t="s">
        <v>603</v>
      </c>
      <c r="G165">
        <v>0</v>
      </c>
      <c r="H165">
        <v>0</v>
      </c>
      <c r="I165">
        <v>0</v>
      </c>
      <c r="J165">
        <v>5.0000000000000001E-3</v>
      </c>
      <c r="K165">
        <v>5.0000000000000001E-3</v>
      </c>
      <c r="L165">
        <v>2.02677</v>
      </c>
      <c r="M165" t="s">
        <v>27</v>
      </c>
      <c r="N165" t="s">
        <v>604</v>
      </c>
      <c r="O165" t="s">
        <v>605</v>
      </c>
      <c r="P165" t="s">
        <v>606</v>
      </c>
      <c r="Q165" t="s">
        <v>607</v>
      </c>
    </row>
    <row r="166" spans="1:17" ht="14.25" customHeight="1" x14ac:dyDescent="0.35">
      <c r="A166" t="s">
        <v>425</v>
      </c>
      <c r="B166">
        <v>39</v>
      </c>
      <c r="C166" t="s">
        <v>614</v>
      </c>
      <c r="D166" t="s">
        <v>460</v>
      </c>
      <c r="E166" t="s">
        <v>47</v>
      </c>
      <c r="F166" t="s">
        <v>47</v>
      </c>
      <c r="G166">
        <v>0</v>
      </c>
      <c r="H166">
        <v>0</v>
      </c>
      <c r="I166">
        <v>0</v>
      </c>
      <c r="J166">
        <v>1E-3</v>
      </c>
      <c r="K166">
        <v>1E-3</v>
      </c>
      <c r="L166">
        <v>1.3002609999999999</v>
      </c>
      <c r="M166" t="s">
        <v>27</v>
      </c>
      <c r="N166" t="s">
        <v>48</v>
      </c>
      <c r="O166" t="s">
        <v>599</v>
      </c>
      <c r="P166" t="s">
        <v>600</v>
      </c>
      <c r="Q166" t="s">
        <v>601</v>
      </c>
    </row>
    <row r="167" spans="1:17" ht="14.25" customHeight="1" x14ac:dyDescent="0.35">
      <c r="A167" t="s">
        <v>425</v>
      </c>
      <c r="B167">
        <v>40</v>
      </c>
      <c r="C167" t="s">
        <v>615</v>
      </c>
      <c r="D167" t="s">
        <v>460</v>
      </c>
      <c r="E167" t="s">
        <v>40</v>
      </c>
      <c r="F167" t="s">
        <v>603</v>
      </c>
      <c r="G167">
        <v>0</v>
      </c>
      <c r="H167">
        <v>0</v>
      </c>
      <c r="I167">
        <v>0</v>
      </c>
      <c r="J167">
        <v>5.0000000000000001E-3</v>
      </c>
      <c r="K167">
        <v>5.0000000000000001E-3</v>
      </c>
      <c r="L167">
        <v>1.551031</v>
      </c>
      <c r="M167" t="s">
        <v>27</v>
      </c>
      <c r="N167" t="s">
        <v>604</v>
      </c>
      <c r="O167" t="s">
        <v>605</v>
      </c>
      <c r="P167" t="s">
        <v>606</v>
      </c>
      <c r="Q167" t="s">
        <v>607</v>
      </c>
    </row>
    <row r="168" spans="1:17" ht="14.25" customHeight="1" x14ac:dyDescent="0.35">
      <c r="A168" t="s">
        <v>425</v>
      </c>
      <c r="B168">
        <v>41</v>
      </c>
      <c r="C168" t="s">
        <v>616</v>
      </c>
      <c r="D168" t="s">
        <v>460</v>
      </c>
      <c r="E168" t="s">
        <v>40</v>
      </c>
      <c r="F168" t="s">
        <v>41</v>
      </c>
      <c r="G168">
        <v>261</v>
      </c>
      <c r="H168">
        <v>0</v>
      </c>
      <c r="I168">
        <v>7</v>
      </c>
      <c r="J168">
        <v>5.0000000000000001E-3</v>
      </c>
      <c r="K168">
        <v>5.2700000000000004E-3</v>
      </c>
      <c r="L168">
        <v>4.600155</v>
      </c>
      <c r="M168" t="s">
        <v>27</v>
      </c>
      <c r="N168" t="s">
        <v>42</v>
      </c>
      <c r="O168" t="s">
        <v>617</v>
      </c>
      <c r="P168" t="s">
        <v>618</v>
      </c>
      <c r="Q168" t="s">
        <v>619</v>
      </c>
    </row>
    <row r="169" spans="1:17" ht="14.25" customHeight="1" x14ac:dyDescent="0.35">
      <c r="A169" t="s">
        <v>425</v>
      </c>
      <c r="B169">
        <v>42</v>
      </c>
      <c r="C169" t="s">
        <v>620</v>
      </c>
      <c r="D169" t="s">
        <v>460</v>
      </c>
      <c r="E169" t="s">
        <v>40</v>
      </c>
      <c r="F169" t="s">
        <v>41</v>
      </c>
      <c r="G169">
        <v>241</v>
      </c>
      <c r="H169">
        <v>0</v>
      </c>
      <c r="I169">
        <v>7</v>
      </c>
      <c r="J169">
        <v>5.0000000000000001E-3</v>
      </c>
      <c r="K169">
        <v>5.2500000000000003E-3</v>
      </c>
      <c r="L169">
        <v>3.6516540000000002</v>
      </c>
      <c r="M169" t="s">
        <v>27</v>
      </c>
      <c r="N169" t="s">
        <v>42</v>
      </c>
      <c r="O169" t="s">
        <v>617</v>
      </c>
      <c r="P169" t="s">
        <v>618</v>
      </c>
      <c r="Q169" t="s">
        <v>619</v>
      </c>
    </row>
    <row r="170" spans="1:17" ht="14.25" customHeight="1" x14ac:dyDescent="0.35">
      <c r="A170" t="s">
        <v>425</v>
      </c>
      <c r="B170">
        <v>43</v>
      </c>
      <c r="C170" t="s">
        <v>621</v>
      </c>
      <c r="D170" t="s">
        <v>460</v>
      </c>
      <c r="E170" t="s">
        <v>40</v>
      </c>
      <c r="F170" t="s">
        <v>41</v>
      </c>
      <c r="G170">
        <v>289</v>
      </c>
      <c r="H170">
        <v>0</v>
      </c>
      <c r="I170">
        <v>7</v>
      </c>
      <c r="J170">
        <v>5.0000000000000001E-3</v>
      </c>
      <c r="K170">
        <v>5.3E-3</v>
      </c>
      <c r="L170">
        <v>3.941551</v>
      </c>
      <c r="M170" t="s">
        <v>27</v>
      </c>
      <c r="N170" t="s">
        <v>42</v>
      </c>
      <c r="O170" t="s">
        <v>617</v>
      </c>
      <c r="P170" t="s">
        <v>618</v>
      </c>
      <c r="Q170" t="s">
        <v>619</v>
      </c>
    </row>
    <row r="171" spans="1:17" ht="14.25" customHeight="1" x14ac:dyDescent="0.35">
      <c r="A171" t="s">
        <v>425</v>
      </c>
      <c r="B171">
        <v>44</v>
      </c>
      <c r="C171" t="s">
        <v>622</v>
      </c>
      <c r="D171" t="s">
        <v>460</v>
      </c>
      <c r="E171" t="s">
        <v>40</v>
      </c>
      <c r="F171" t="s">
        <v>41</v>
      </c>
      <c r="G171">
        <v>235</v>
      </c>
      <c r="H171">
        <v>0</v>
      </c>
      <c r="I171">
        <v>7</v>
      </c>
      <c r="J171">
        <v>5.0000000000000001E-3</v>
      </c>
      <c r="K171">
        <v>5.2399999999999999E-3</v>
      </c>
      <c r="L171">
        <v>7.8380150000000004</v>
      </c>
      <c r="M171" t="s">
        <v>27</v>
      </c>
      <c r="N171" t="s">
        <v>42</v>
      </c>
      <c r="O171" t="s">
        <v>617</v>
      </c>
      <c r="P171" t="s">
        <v>618</v>
      </c>
      <c r="Q171" t="s">
        <v>619</v>
      </c>
    </row>
    <row r="172" spans="1:17" ht="14.25" customHeight="1" x14ac:dyDescent="0.35">
      <c r="A172" t="s">
        <v>425</v>
      </c>
      <c r="B172">
        <v>45</v>
      </c>
      <c r="C172" t="s">
        <v>623</v>
      </c>
      <c r="D172" t="s">
        <v>460</v>
      </c>
      <c r="E172" t="s">
        <v>40</v>
      </c>
      <c r="F172" t="s">
        <v>41</v>
      </c>
      <c r="G172">
        <v>215</v>
      </c>
      <c r="H172">
        <v>0</v>
      </c>
      <c r="I172">
        <v>7</v>
      </c>
      <c r="J172">
        <v>5.0000000000000001E-3</v>
      </c>
      <c r="K172">
        <v>5.2199999999999998E-3</v>
      </c>
      <c r="L172">
        <v>5.0316140000000003</v>
      </c>
      <c r="M172" t="s">
        <v>27</v>
      </c>
      <c r="N172" t="s">
        <v>42</v>
      </c>
      <c r="O172" t="s">
        <v>617</v>
      </c>
      <c r="P172" t="s">
        <v>618</v>
      </c>
      <c r="Q172" t="s">
        <v>619</v>
      </c>
    </row>
    <row r="173" spans="1:17" ht="14.25" customHeight="1" x14ac:dyDescent="0.35">
      <c r="A173" t="s">
        <v>425</v>
      </c>
      <c r="B173">
        <v>46</v>
      </c>
      <c r="C173" t="s">
        <v>624</v>
      </c>
      <c r="D173" t="s">
        <v>460</v>
      </c>
      <c r="E173" t="s">
        <v>25</v>
      </c>
      <c r="F173" t="s">
        <v>62</v>
      </c>
      <c r="G173">
        <v>4981</v>
      </c>
      <c r="H173">
        <v>0</v>
      </c>
      <c r="I173">
        <v>0</v>
      </c>
      <c r="J173">
        <v>0</v>
      </c>
      <c r="K173">
        <v>1E-4</v>
      </c>
      <c r="L173">
        <v>0.83907699999999996</v>
      </c>
      <c r="M173" t="s">
        <v>27</v>
      </c>
      <c r="N173" t="s">
        <v>63</v>
      </c>
      <c r="O173" t="s">
        <v>625</v>
      </c>
      <c r="P173" t="s">
        <v>626</v>
      </c>
      <c r="Q173" t="s">
        <v>627</v>
      </c>
    </row>
    <row r="174" spans="1:17" ht="14.25" customHeight="1" x14ac:dyDescent="0.35">
      <c r="A174" t="s">
        <v>425</v>
      </c>
      <c r="B174">
        <v>47</v>
      </c>
      <c r="C174" t="s">
        <v>624</v>
      </c>
      <c r="D174" t="s">
        <v>460</v>
      </c>
      <c r="E174" t="s">
        <v>25</v>
      </c>
      <c r="F174" t="s">
        <v>62</v>
      </c>
      <c r="G174">
        <v>41</v>
      </c>
      <c r="H174">
        <v>0</v>
      </c>
      <c r="I174">
        <v>0</v>
      </c>
      <c r="J174">
        <v>0</v>
      </c>
      <c r="K174">
        <v>9.9999999999999995E-7</v>
      </c>
      <c r="L174">
        <v>0.30229899999999998</v>
      </c>
      <c r="M174" t="s">
        <v>27</v>
      </c>
      <c r="N174" t="s">
        <v>63</v>
      </c>
      <c r="O174" t="s">
        <v>625</v>
      </c>
      <c r="P174" t="s">
        <v>628</v>
      </c>
      <c r="Q174" t="s">
        <v>627</v>
      </c>
    </row>
    <row r="175" spans="1:17" ht="14.25" customHeight="1" x14ac:dyDescent="0.35">
      <c r="A175" t="s">
        <v>425</v>
      </c>
      <c r="B175">
        <v>48</v>
      </c>
      <c r="C175" t="s">
        <v>629</v>
      </c>
      <c r="D175" t="s">
        <v>460</v>
      </c>
      <c r="E175" t="s">
        <v>25</v>
      </c>
      <c r="F175" t="s">
        <v>34</v>
      </c>
      <c r="G175">
        <v>1914</v>
      </c>
      <c r="H175">
        <v>0</v>
      </c>
      <c r="I175">
        <v>3</v>
      </c>
      <c r="J175">
        <v>0</v>
      </c>
      <c r="K175">
        <v>2.8899999999999998E-4</v>
      </c>
      <c r="L175">
        <v>0.99155599999999999</v>
      </c>
      <c r="M175" t="s">
        <v>27</v>
      </c>
      <c r="N175" t="s">
        <v>28</v>
      </c>
      <c r="O175" t="s">
        <v>625</v>
      </c>
      <c r="P175" t="s">
        <v>628</v>
      </c>
      <c r="Q175" t="s">
        <v>627</v>
      </c>
    </row>
    <row r="176" spans="1:17" ht="14.25" customHeight="1" x14ac:dyDescent="0.35">
      <c r="A176" t="s">
        <v>425</v>
      </c>
      <c r="B176">
        <v>49</v>
      </c>
      <c r="C176" t="s">
        <v>630</v>
      </c>
      <c r="D176" t="s">
        <v>460</v>
      </c>
      <c r="E176" t="s">
        <v>25</v>
      </c>
      <c r="F176" t="s">
        <v>62</v>
      </c>
      <c r="G176">
        <v>11658</v>
      </c>
      <c r="H176">
        <v>0</v>
      </c>
      <c r="I176">
        <v>0</v>
      </c>
      <c r="J176">
        <v>0</v>
      </c>
      <c r="K176">
        <v>2.33E-4</v>
      </c>
      <c r="L176">
        <v>0.968781</v>
      </c>
      <c r="M176" t="s">
        <v>27</v>
      </c>
      <c r="N176" t="s">
        <v>63</v>
      </c>
      <c r="O176" t="s">
        <v>625</v>
      </c>
      <c r="P176" t="s">
        <v>626</v>
      </c>
      <c r="Q176" t="s">
        <v>627</v>
      </c>
    </row>
    <row r="177" spans="1:17" ht="14.25" customHeight="1" x14ac:dyDescent="0.35">
      <c r="A177" t="s">
        <v>425</v>
      </c>
      <c r="B177">
        <v>50</v>
      </c>
      <c r="C177" t="s">
        <v>630</v>
      </c>
      <c r="D177" t="s">
        <v>460</v>
      </c>
      <c r="E177" t="s">
        <v>25</v>
      </c>
      <c r="F177" t="s">
        <v>62</v>
      </c>
      <c r="G177">
        <v>41</v>
      </c>
      <c r="H177">
        <v>0</v>
      </c>
      <c r="I177">
        <v>0</v>
      </c>
      <c r="J177">
        <v>0</v>
      </c>
      <c r="K177">
        <v>9.9999999999999995E-7</v>
      </c>
      <c r="L177">
        <v>0.27387299999999998</v>
      </c>
      <c r="M177" t="s">
        <v>27</v>
      </c>
      <c r="N177" t="s">
        <v>63</v>
      </c>
      <c r="O177" t="s">
        <v>625</v>
      </c>
      <c r="P177" t="s">
        <v>628</v>
      </c>
      <c r="Q177" t="s">
        <v>627</v>
      </c>
    </row>
    <row r="178" spans="1:17" ht="14.25" customHeight="1" x14ac:dyDescent="0.35">
      <c r="A178" t="s">
        <v>425</v>
      </c>
      <c r="B178">
        <v>51</v>
      </c>
      <c r="C178" t="s">
        <v>631</v>
      </c>
      <c r="D178" t="s">
        <v>460</v>
      </c>
      <c r="E178" t="s">
        <v>25</v>
      </c>
      <c r="F178" t="s">
        <v>34</v>
      </c>
      <c r="G178">
        <v>2316</v>
      </c>
      <c r="H178">
        <v>0</v>
      </c>
      <c r="I178">
        <v>3</v>
      </c>
      <c r="J178">
        <v>0</v>
      </c>
      <c r="K178">
        <v>3.4900000000000003E-4</v>
      </c>
      <c r="L178">
        <v>0.98650499999999997</v>
      </c>
      <c r="M178" t="s">
        <v>27</v>
      </c>
      <c r="N178" t="s">
        <v>28</v>
      </c>
      <c r="O178" t="s">
        <v>625</v>
      </c>
      <c r="P178" t="s">
        <v>628</v>
      </c>
      <c r="Q178" t="s">
        <v>627</v>
      </c>
    </row>
    <row r="179" spans="1:17" ht="14.25" customHeight="1" x14ac:dyDescent="0.35">
      <c r="A179" t="s">
        <v>425</v>
      </c>
      <c r="B179">
        <v>52</v>
      </c>
      <c r="C179" t="s">
        <v>632</v>
      </c>
      <c r="D179" t="s">
        <v>24</v>
      </c>
      <c r="E179" t="s">
        <v>25</v>
      </c>
      <c r="F179" t="s">
        <v>26</v>
      </c>
      <c r="G179">
        <v>1422</v>
      </c>
      <c r="H179">
        <v>1280</v>
      </c>
      <c r="I179">
        <v>99</v>
      </c>
      <c r="J179">
        <v>0</v>
      </c>
      <c r="K179">
        <v>2.9450000000000001E-3</v>
      </c>
      <c r="L179">
        <v>2.3407309999999999</v>
      </c>
      <c r="M179" t="s">
        <v>27</v>
      </c>
      <c r="N179" t="s">
        <v>28</v>
      </c>
      <c r="O179" t="s">
        <v>29</v>
      </c>
      <c r="P179" t="s">
        <v>30</v>
      </c>
      <c r="Q179" t="s">
        <v>31</v>
      </c>
    </row>
    <row r="180" spans="1:17" ht="14.25" customHeight="1" x14ac:dyDescent="0.35">
      <c r="A180" t="s">
        <v>429</v>
      </c>
      <c r="B180">
        <v>1</v>
      </c>
      <c r="C180" t="s">
        <v>633</v>
      </c>
      <c r="D180" t="s">
        <v>24</v>
      </c>
      <c r="E180" t="s">
        <v>25</v>
      </c>
      <c r="F180" t="s">
        <v>26</v>
      </c>
      <c r="G180">
        <v>1176</v>
      </c>
      <c r="H180">
        <v>0</v>
      </c>
      <c r="I180">
        <v>59</v>
      </c>
      <c r="J180">
        <v>0</v>
      </c>
      <c r="K180">
        <v>3.5300000000000002E-3</v>
      </c>
      <c r="L180">
        <v>2.0596480000000001</v>
      </c>
      <c r="M180" t="s">
        <v>27</v>
      </c>
      <c r="N180" t="s">
        <v>28</v>
      </c>
      <c r="O180" t="s">
        <v>29</v>
      </c>
      <c r="P180" t="s">
        <v>30</v>
      </c>
      <c r="Q180" t="s">
        <v>31</v>
      </c>
    </row>
    <row r="181" spans="1:17" ht="14.25" customHeight="1" x14ac:dyDescent="0.35">
      <c r="A181" t="s">
        <v>429</v>
      </c>
      <c r="B181">
        <v>2</v>
      </c>
      <c r="C181" t="s">
        <v>634</v>
      </c>
      <c r="D181" t="s">
        <v>421</v>
      </c>
      <c r="E181" t="s">
        <v>25</v>
      </c>
      <c r="F181" t="s">
        <v>34</v>
      </c>
      <c r="G181">
        <v>1585</v>
      </c>
      <c r="H181">
        <v>1024</v>
      </c>
      <c r="I181">
        <v>53</v>
      </c>
      <c r="J181">
        <v>0</v>
      </c>
      <c r="K181">
        <v>1.93E-4</v>
      </c>
      <c r="L181">
        <v>1.55481</v>
      </c>
      <c r="M181" t="s">
        <v>27</v>
      </c>
      <c r="N181" t="s">
        <v>28</v>
      </c>
      <c r="O181" t="s">
        <v>463</v>
      </c>
      <c r="P181" t="s">
        <v>464</v>
      </c>
      <c r="Q181" t="s">
        <v>465</v>
      </c>
    </row>
    <row r="182" spans="1:17" ht="14.25" customHeight="1" x14ac:dyDescent="0.35">
      <c r="A182" t="s">
        <v>429</v>
      </c>
      <c r="B182">
        <v>3</v>
      </c>
      <c r="C182" t="s">
        <v>635</v>
      </c>
      <c r="D182" t="s">
        <v>421</v>
      </c>
      <c r="E182" t="s">
        <v>25</v>
      </c>
      <c r="F182" t="s">
        <v>26</v>
      </c>
      <c r="G182">
        <v>520</v>
      </c>
      <c r="H182">
        <v>0</v>
      </c>
      <c r="I182">
        <v>233</v>
      </c>
      <c r="J182">
        <v>0</v>
      </c>
      <c r="K182">
        <v>3.63E-3</v>
      </c>
      <c r="L182">
        <v>4.2564169999999999</v>
      </c>
      <c r="M182" t="s">
        <v>27</v>
      </c>
      <c r="N182" t="s">
        <v>28</v>
      </c>
      <c r="O182" t="s">
        <v>467</v>
      </c>
      <c r="P182" t="s">
        <v>468</v>
      </c>
      <c r="Q182" t="s">
        <v>469</v>
      </c>
    </row>
    <row r="183" spans="1:17" ht="14.25" customHeight="1" x14ac:dyDescent="0.35">
      <c r="A183" t="s">
        <v>429</v>
      </c>
      <c r="B183">
        <v>4</v>
      </c>
      <c r="C183" t="s">
        <v>636</v>
      </c>
      <c r="D183" t="s">
        <v>421</v>
      </c>
      <c r="E183" t="s">
        <v>25</v>
      </c>
      <c r="F183" t="s">
        <v>62</v>
      </c>
      <c r="G183">
        <v>36</v>
      </c>
      <c r="H183">
        <v>0</v>
      </c>
      <c r="I183">
        <v>0</v>
      </c>
      <c r="J183">
        <v>0</v>
      </c>
      <c r="K183">
        <v>9.9999999999999995E-7</v>
      </c>
      <c r="L183">
        <v>0.43113299999999999</v>
      </c>
      <c r="M183" t="s">
        <v>27</v>
      </c>
      <c r="N183" t="s">
        <v>63</v>
      </c>
      <c r="O183" t="s">
        <v>471</v>
      </c>
      <c r="P183" t="s">
        <v>472</v>
      </c>
      <c r="Q183" t="s">
        <v>473</v>
      </c>
    </row>
    <row r="184" spans="1:17" ht="14.25" customHeight="1" x14ac:dyDescent="0.35">
      <c r="A184" t="s">
        <v>429</v>
      </c>
      <c r="B184">
        <v>5</v>
      </c>
      <c r="C184" t="s">
        <v>637</v>
      </c>
      <c r="D184" t="s">
        <v>421</v>
      </c>
      <c r="E184" t="s">
        <v>25</v>
      </c>
      <c r="F184" t="s">
        <v>34</v>
      </c>
      <c r="G184">
        <v>4595</v>
      </c>
      <c r="H184">
        <v>0</v>
      </c>
      <c r="I184">
        <v>24</v>
      </c>
      <c r="J184">
        <v>0</v>
      </c>
      <c r="K184">
        <v>7.0399999999999998E-4</v>
      </c>
      <c r="L184">
        <v>3.6226120000000002</v>
      </c>
      <c r="M184" t="s">
        <v>27</v>
      </c>
      <c r="N184" t="s">
        <v>28</v>
      </c>
      <c r="O184" t="s">
        <v>471</v>
      </c>
      <c r="P184" t="s">
        <v>472</v>
      </c>
      <c r="Q184" t="s">
        <v>473</v>
      </c>
    </row>
    <row r="185" spans="1:17" ht="14.25" customHeight="1" x14ac:dyDescent="0.35">
      <c r="A185" t="s">
        <v>429</v>
      </c>
      <c r="B185">
        <v>6</v>
      </c>
      <c r="C185" t="s">
        <v>637</v>
      </c>
      <c r="D185" t="s">
        <v>421</v>
      </c>
      <c r="E185" t="s">
        <v>25</v>
      </c>
      <c r="F185" t="s">
        <v>62</v>
      </c>
      <c r="G185">
        <v>99</v>
      </c>
      <c r="H185">
        <v>0</v>
      </c>
      <c r="I185">
        <v>0</v>
      </c>
      <c r="J185">
        <v>0</v>
      </c>
      <c r="K185">
        <v>1.9999999999999999E-6</v>
      </c>
      <c r="L185">
        <v>0.30868400000000001</v>
      </c>
      <c r="M185" t="s">
        <v>27</v>
      </c>
      <c r="N185" t="s">
        <v>63</v>
      </c>
      <c r="O185" t="s">
        <v>471</v>
      </c>
      <c r="P185" t="s">
        <v>472</v>
      </c>
      <c r="Q185" t="s">
        <v>473</v>
      </c>
    </row>
    <row r="186" spans="1:17" ht="14.25" customHeight="1" x14ac:dyDescent="0.35">
      <c r="A186" t="s">
        <v>429</v>
      </c>
      <c r="B186">
        <v>7</v>
      </c>
      <c r="C186" t="s">
        <v>638</v>
      </c>
      <c r="D186" t="s">
        <v>421</v>
      </c>
      <c r="E186" t="s">
        <v>25</v>
      </c>
      <c r="F186" t="s">
        <v>34</v>
      </c>
      <c r="G186">
        <v>4747</v>
      </c>
      <c r="H186">
        <v>0</v>
      </c>
      <c r="I186">
        <v>234</v>
      </c>
      <c r="J186">
        <v>0</v>
      </c>
      <c r="K186">
        <v>8.52E-4</v>
      </c>
      <c r="L186">
        <v>2.9579369999999998</v>
      </c>
      <c r="M186" t="s">
        <v>27</v>
      </c>
      <c r="N186" t="s">
        <v>28</v>
      </c>
      <c r="O186" t="s">
        <v>471</v>
      </c>
      <c r="P186" t="s">
        <v>472</v>
      </c>
      <c r="Q186" t="s">
        <v>473</v>
      </c>
    </row>
    <row r="187" spans="1:17" ht="14.25" customHeight="1" x14ac:dyDescent="0.35">
      <c r="A187" t="s">
        <v>429</v>
      </c>
      <c r="B187">
        <v>8</v>
      </c>
      <c r="C187" t="s">
        <v>638</v>
      </c>
      <c r="D187" t="s">
        <v>421</v>
      </c>
      <c r="E187" t="s">
        <v>25</v>
      </c>
      <c r="F187" t="s">
        <v>62</v>
      </c>
      <c r="G187">
        <v>442</v>
      </c>
      <c r="H187">
        <v>0</v>
      </c>
      <c r="I187">
        <v>0</v>
      </c>
      <c r="J187">
        <v>0</v>
      </c>
      <c r="K187">
        <v>9.0000000000000002E-6</v>
      </c>
      <c r="L187">
        <v>0.221252</v>
      </c>
      <c r="M187" t="s">
        <v>27</v>
      </c>
      <c r="N187" t="s">
        <v>63</v>
      </c>
      <c r="O187" t="s">
        <v>471</v>
      </c>
      <c r="P187" t="s">
        <v>472</v>
      </c>
      <c r="Q187" t="s">
        <v>473</v>
      </c>
    </row>
    <row r="188" spans="1:17" ht="14.25" customHeight="1" x14ac:dyDescent="0.35">
      <c r="A188" t="s">
        <v>429</v>
      </c>
      <c r="B188">
        <v>9</v>
      </c>
      <c r="C188" t="s">
        <v>639</v>
      </c>
      <c r="D188" t="s">
        <v>421</v>
      </c>
      <c r="E188" t="s">
        <v>25</v>
      </c>
      <c r="F188" t="s">
        <v>34</v>
      </c>
      <c r="G188">
        <v>5326</v>
      </c>
      <c r="H188">
        <v>0</v>
      </c>
      <c r="I188">
        <v>352</v>
      </c>
      <c r="J188">
        <v>0</v>
      </c>
      <c r="K188">
        <v>1.01E-3</v>
      </c>
      <c r="L188">
        <v>3.716529</v>
      </c>
      <c r="M188" t="s">
        <v>27</v>
      </c>
      <c r="N188" t="s">
        <v>28</v>
      </c>
      <c r="O188" t="s">
        <v>471</v>
      </c>
      <c r="P188" t="s">
        <v>472</v>
      </c>
      <c r="Q188" t="s">
        <v>473</v>
      </c>
    </row>
    <row r="189" spans="1:17" ht="14.25" customHeight="1" x14ac:dyDescent="0.35">
      <c r="A189" t="s">
        <v>429</v>
      </c>
      <c r="B189">
        <v>10</v>
      </c>
      <c r="C189" t="s">
        <v>639</v>
      </c>
      <c r="D189" t="s">
        <v>421</v>
      </c>
      <c r="E189" t="s">
        <v>25</v>
      </c>
      <c r="F189" t="s">
        <v>62</v>
      </c>
      <c r="G189">
        <v>74</v>
      </c>
      <c r="H189">
        <v>0</v>
      </c>
      <c r="I189">
        <v>0</v>
      </c>
      <c r="J189">
        <v>0</v>
      </c>
      <c r="K189">
        <v>9.9999999999999995E-7</v>
      </c>
      <c r="L189">
        <v>0.23947299999999999</v>
      </c>
      <c r="M189" t="s">
        <v>27</v>
      </c>
      <c r="N189" t="s">
        <v>63</v>
      </c>
      <c r="O189" t="s">
        <v>471</v>
      </c>
      <c r="P189" t="s">
        <v>472</v>
      </c>
      <c r="Q189" t="s">
        <v>473</v>
      </c>
    </row>
    <row r="190" spans="1:17" ht="14.25" customHeight="1" x14ac:dyDescent="0.35">
      <c r="A190" t="s">
        <v>429</v>
      </c>
      <c r="B190">
        <v>11</v>
      </c>
      <c r="C190" t="s">
        <v>640</v>
      </c>
      <c r="D190" t="s">
        <v>421</v>
      </c>
      <c r="E190" t="s">
        <v>25</v>
      </c>
      <c r="F190" t="s">
        <v>34</v>
      </c>
      <c r="G190">
        <v>4921</v>
      </c>
      <c r="H190">
        <v>1024</v>
      </c>
      <c r="I190">
        <v>290</v>
      </c>
      <c r="J190">
        <v>0</v>
      </c>
      <c r="K190">
        <v>8.3500000000000002E-4</v>
      </c>
      <c r="L190">
        <v>3.4637009999999999</v>
      </c>
      <c r="M190" t="s">
        <v>27</v>
      </c>
      <c r="N190" t="s">
        <v>28</v>
      </c>
      <c r="O190" t="s">
        <v>471</v>
      </c>
      <c r="P190" t="s">
        <v>472</v>
      </c>
      <c r="Q190" t="s">
        <v>473</v>
      </c>
    </row>
    <row r="191" spans="1:17" ht="14.25" customHeight="1" x14ac:dyDescent="0.35">
      <c r="A191" t="s">
        <v>429</v>
      </c>
      <c r="B191">
        <v>12</v>
      </c>
      <c r="C191" t="s">
        <v>640</v>
      </c>
      <c r="D191" t="s">
        <v>421</v>
      </c>
      <c r="E191" t="s">
        <v>25</v>
      </c>
      <c r="F191" t="s">
        <v>62</v>
      </c>
      <c r="G191">
        <v>83</v>
      </c>
      <c r="H191">
        <v>0</v>
      </c>
      <c r="I191">
        <v>0</v>
      </c>
      <c r="J191">
        <v>0</v>
      </c>
      <c r="K191">
        <v>1.9999999999999999E-6</v>
      </c>
      <c r="L191">
        <v>0.30063699999999999</v>
      </c>
      <c r="M191" t="s">
        <v>27</v>
      </c>
      <c r="N191" t="s">
        <v>63</v>
      </c>
      <c r="O191" t="s">
        <v>471</v>
      </c>
      <c r="P191" t="s">
        <v>472</v>
      </c>
      <c r="Q191" t="s">
        <v>473</v>
      </c>
    </row>
    <row r="192" spans="1:17" ht="14.25" customHeight="1" x14ac:dyDescent="0.35">
      <c r="A192" t="s">
        <v>429</v>
      </c>
      <c r="B192">
        <v>13</v>
      </c>
      <c r="C192" t="s">
        <v>641</v>
      </c>
      <c r="D192" t="s">
        <v>421</v>
      </c>
      <c r="E192" t="s">
        <v>25</v>
      </c>
      <c r="F192" t="s">
        <v>34</v>
      </c>
      <c r="G192">
        <v>4931</v>
      </c>
      <c r="H192">
        <v>2176</v>
      </c>
      <c r="I192">
        <v>258</v>
      </c>
      <c r="J192">
        <v>0</v>
      </c>
      <c r="K192">
        <v>7.3099999999999999E-4</v>
      </c>
      <c r="L192">
        <v>3.397173</v>
      </c>
      <c r="M192" t="s">
        <v>27</v>
      </c>
      <c r="N192" t="s">
        <v>28</v>
      </c>
      <c r="O192" t="s">
        <v>471</v>
      </c>
      <c r="P192" t="s">
        <v>472</v>
      </c>
      <c r="Q192" t="s">
        <v>473</v>
      </c>
    </row>
    <row r="193" spans="1:17" ht="14.25" customHeight="1" x14ac:dyDescent="0.35">
      <c r="A193" t="s">
        <v>429</v>
      </c>
      <c r="B193">
        <v>14</v>
      </c>
      <c r="C193" t="s">
        <v>642</v>
      </c>
      <c r="D193" t="s">
        <v>421</v>
      </c>
      <c r="E193" t="s">
        <v>25</v>
      </c>
      <c r="F193" t="s">
        <v>62</v>
      </c>
      <c r="G193">
        <v>74</v>
      </c>
      <c r="H193">
        <v>0</v>
      </c>
      <c r="I193">
        <v>0</v>
      </c>
      <c r="J193">
        <v>0</v>
      </c>
      <c r="K193">
        <v>9.9999999999999995E-7</v>
      </c>
      <c r="L193">
        <v>0.30560599999999999</v>
      </c>
      <c r="M193" t="s">
        <v>27</v>
      </c>
      <c r="N193" t="s">
        <v>63</v>
      </c>
      <c r="O193" t="s">
        <v>471</v>
      </c>
      <c r="P193" t="s">
        <v>472</v>
      </c>
      <c r="Q193" t="s">
        <v>473</v>
      </c>
    </row>
    <row r="194" spans="1:17" ht="14.25" customHeight="1" x14ac:dyDescent="0.35">
      <c r="A194" t="s">
        <v>429</v>
      </c>
      <c r="B194">
        <v>15</v>
      </c>
      <c r="C194" t="s">
        <v>643</v>
      </c>
      <c r="D194" t="s">
        <v>421</v>
      </c>
      <c r="E194" t="s">
        <v>25</v>
      </c>
      <c r="F194" t="s">
        <v>34</v>
      </c>
      <c r="G194">
        <v>4981</v>
      </c>
      <c r="H194">
        <v>1024</v>
      </c>
      <c r="I194">
        <v>358</v>
      </c>
      <c r="J194">
        <v>0</v>
      </c>
      <c r="K194">
        <v>8.8500000000000004E-4</v>
      </c>
      <c r="L194">
        <v>4.2061520000000003</v>
      </c>
      <c r="M194" t="s">
        <v>27</v>
      </c>
      <c r="N194" t="s">
        <v>28</v>
      </c>
      <c r="O194" t="s">
        <v>471</v>
      </c>
      <c r="P194" t="s">
        <v>472</v>
      </c>
      <c r="Q194" t="s">
        <v>473</v>
      </c>
    </row>
    <row r="195" spans="1:17" ht="14.25" customHeight="1" x14ac:dyDescent="0.35">
      <c r="A195" t="s">
        <v>429</v>
      </c>
      <c r="B195">
        <v>16</v>
      </c>
      <c r="C195" t="s">
        <v>644</v>
      </c>
      <c r="D195" t="s">
        <v>421</v>
      </c>
      <c r="E195" t="s">
        <v>25</v>
      </c>
      <c r="F195" t="s">
        <v>62</v>
      </c>
      <c r="G195">
        <v>36</v>
      </c>
      <c r="H195">
        <v>0</v>
      </c>
      <c r="I195">
        <v>0</v>
      </c>
      <c r="J195">
        <v>0</v>
      </c>
      <c r="K195">
        <v>9.9999999999999995E-7</v>
      </c>
      <c r="L195">
        <v>0.66185400000000005</v>
      </c>
      <c r="M195" t="s">
        <v>27</v>
      </c>
      <c r="N195" t="s">
        <v>63</v>
      </c>
      <c r="O195" t="s">
        <v>471</v>
      </c>
      <c r="P195" t="s">
        <v>472</v>
      </c>
      <c r="Q195" t="s">
        <v>473</v>
      </c>
    </row>
    <row r="196" spans="1:17" ht="14.25" customHeight="1" x14ac:dyDescent="0.35">
      <c r="A196" t="s">
        <v>429</v>
      </c>
      <c r="B196">
        <v>17</v>
      </c>
      <c r="C196" t="s">
        <v>645</v>
      </c>
      <c r="D196" t="s">
        <v>421</v>
      </c>
      <c r="E196" t="s">
        <v>25</v>
      </c>
      <c r="F196" t="s">
        <v>34</v>
      </c>
      <c r="G196">
        <v>4868</v>
      </c>
      <c r="H196">
        <v>0</v>
      </c>
      <c r="I196">
        <v>31</v>
      </c>
      <c r="J196">
        <v>0</v>
      </c>
      <c r="K196">
        <v>7.4899999999999999E-4</v>
      </c>
      <c r="L196">
        <v>1.5399670000000001</v>
      </c>
      <c r="M196" t="s">
        <v>27</v>
      </c>
      <c r="N196" t="s">
        <v>28</v>
      </c>
      <c r="O196" t="s">
        <v>471</v>
      </c>
      <c r="P196" t="s">
        <v>472</v>
      </c>
      <c r="Q196" t="s">
        <v>473</v>
      </c>
    </row>
    <row r="197" spans="1:17" ht="14.25" customHeight="1" x14ac:dyDescent="0.35">
      <c r="A197" t="s">
        <v>429</v>
      </c>
      <c r="B197">
        <v>18</v>
      </c>
      <c r="C197" t="s">
        <v>646</v>
      </c>
      <c r="D197" t="s">
        <v>421</v>
      </c>
      <c r="E197" t="s">
        <v>25</v>
      </c>
      <c r="F197" t="s">
        <v>62</v>
      </c>
      <c r="G197">
        <v>99</v>
      </c>
      <c r="H197">
        <v>0</v>
      </c>
      <c r="I197">
        <v>0</v>
      </c>
      <c r="J197">
        <v>0</v>
      </c>
      <c r="K197">
        <v>1.9999999999999999E-6</v>
      </c>
      <c r="L197">
        <v>0.291329</v>
      </c>
      <c r="M197" t="s">
        <v>27</v>
      </c>
      <c r="N197" t="s">
        <v>63</v>
      </c>
      <c r="O197" t="s">
        <v>471</v>
      </c>
      <c r="P197" t="s">
        <v>472</v>
      </c>
      <c r="Q197" t="s">
        <v>473</v>
      </c>
    </row>
    <row r="198" spans="1:17" ht="14.25" customHeight="1" x14ac:dyDescent="0.35">
      <c r="A198" t="s">
        <v>429</v>
      </c>
      <c r="B198">
        <v>19</v>
      </c>
      <c r="C198" t="s">
        <v>647</v>
      </c>
      <c r="D198" t="s">
        <v>421</v>
      </c>
      <c r="E198" t="s">
        <v>25</v>
      </c>
      <c r="F198" t="s">
        <v>34</v>
      </c>
      <c r="G198">
        <v>5069</v>
      </c>
      <c r="H198">
        <v>0</v>
      </c>
      <c r="I198">
        <v>245</v>
      </c>
      <c r="J198">
        <v>0</v>
      </c>
      <c r="K198">
        <v>9.0700000000000004E-4</v>
      </c>
      <c r="L198">
        <v>2.7718630000000002</v>
      </c>
      <c r="M198" t="s">
        <v>27</v>
      </c>
      <c r="N198" t="s">
        <v>28</v>
      </c>
      <c r="O198" t="s">
        <v>471</v>
      </c>
      <c r="P198" t="s">
        <v>472</v>
      </c>
      <c r="Q198" t="s">
        <v>473</v>
      </c>
    </row>
    <row r="199" spans="1:17" ht="14.25" customHeight="1" x14ac:dyDescent="0.35">
      <c r="A199" t="s">
        <v>429</v>
      </c>
      <c r="B199">
        <v>20</v>
      </c>
      <c r="C199" t="s">
        <v>647</v>
      </c>
      <c r="D199" t="s">
        <v>421</v>
      </c>
      <c r="E199" t="s">
        <v>25</v>
      </c>
      <c r="F199" t="s">
        <v>62</v>
      </c>
      <c r="G199">
        <v>442</v>
      </c>
      <c r="H199">
        <v>0</v>
      </c>
      <c r="I199">
        <v>0</v>
      </c>
      <c r="J199">
        <v>0</v>
      </c>
      <c r="K199">
        <v>9.0000000000000002E-6</v>
      </c>
      <c r="L199">
        <v>0.30177300000000001</v>
      </c>
      <c r="M199" t="s">
        <v>27</v>
      </c>
      <c r="N199" t="s">
        <v>63</v>
      </c>
      <c r="O199" t="s">
        <v>471</v>
      </c>
      <c r="P199" t="s">
        <v>472</v>
      </c>
      <c r="Q199" t="s">
        <v>473</v>
      </c>
    </row>
    <row r="200" spans="1:17" ht="14.25" customHeight="1" x14ac:dyDescent="0.35">
      <c r="A200" t="s">
        <v>429</v>
      </c>
      <c r="B200">
        <v>21</v>
      </c>
      <c r="C200" t="s">
        <v>648</v>
      </c>
      <c r="D200" t="s">
        <v>421</v>
      </c>
      <c r="E200" t="s">
        <v>25</v>
      </c>
      <c r="F200" t="s">
        <v>34</v>
      </c>
      <c r="G200">
        <v>5477</v>
      </c>
      <c r="H200">
        <v>0</v>
      </c>
      <c r="I200">
        <v>287</v>
      </c>
      <c r="J200">
        <v>0</v>
      </c>
      <c r="K200">
        <v>9.9400000000000009E-4</v>
      </c>
      <c r="L200">
        <v>3.1607419999999999</v>
      </c>
      <c r="M200" t="s">
        <v>27</v>
      </c>
      <c r="N200" t="s">
        <v>28</v>
      </c>
      <c r="O200" t="s">
        <v>471</v>
      </c>
      <c r="P200" t="s">
        <v>472</v>
      </c>
      <c r="Q200" t="s">
        <v>473</v>
      </c>
    </row>
    <row r="201" spans="1:17" ht="14.25" customHeight="1" x14ac:dyDescent="0.35">
      <c r="A201" t="s">
        <v>429</v>
      </c>
      <c r="B201">
        <v>22</v>
      </c>
      <c r="C201" t="s">
        <v>649</v>
      </c>
      <c r="D201" t="s">
        <v>421</v>
      </c>
      <c r="E201" t="s">
        <v>25</v>
      </c>
      <c r="F201" t="s">
        <v>62</v>
      </c>
      <c r="G201">
        <v>74</v>
      </c>
      <c r="H201">
        <v>0</v>
      </c>
      <c r="I201">
        <v>0</v>
      </c>
      <c r="J201">
        <v>0</v>
      </c>
      <c r="K201">
        <v>9.9999999999999995E-7</v>
      </c>
      <c r="L201">
        <v>0.31403900000000001</v>
      </c>
      <c r="M201" t="s">
        <v>27</v>
      </c>
      <c r="N201" t="s">
        <v>63</v>
      </c>
      <c r="O201" t="s">
        <v>471</v>
      </c>
      <c r="P201" t="s">
        <v>472</v>
      </c>
      <c r="Q201" t="s">
        <v>473</v>
      </c>
    </row>
    <row r="202" spans="1:17" ht="14.25" customHeight="1" x14ac:dyDescent="0.35">
      <c r="A202" t="s">
        <v>429</v>
      </c>
      <c r="B202">
        <v>23</v>
      </c>
      <c r="C202" t="s">
        <v>650</v>
      </c>
      <c r="D202" t="s">
        <v>421</v>
      </c>
      <c r="E202" t="s">
        <v>25</v>
      </c>
      <c r="F202" t="s">
        <v>34</v>
      </c>
      <c r="G202">
        <v>5072</v>
      </c>
      <c r="H202">
        <v>0</v>
      </c>
      <c r="I202">
        <v>315</v>
      </c>
      <c r="J202">
        <v>0</v>
      </c>
      <c r="K202">
        <v>9.5E-4</v>
      </c>
      <c r="L202">
        <v>2.964343</v>
      </c>
      <c r="M202" t="s">
        <v>27</v>
      </c>
      <c r="N202" t="s">
        <v>28</v>
      </c>
      <c r="O202" t="s">
        <v>471</v>
      </c>
      <c r="P202" t="s">
        <v>472</v>
      </c>
      <c r="Q202" t="s">
        <v>473</v>
      </c>
    </row>
    <row r="203" spans="1:17" ht="14.25" customHeight="1" x14ac:dyDescent="0.35">
      <c r="A203" t="s">
        <v>429</v>
      </c>
      <c r="B203">
        <v>24</v>
      </c>
      <c r="C203" t="s">
        <v>650</v>
      </c>
      <c r="D203" t="s">
        <v>421</v>
      </c>
      <c r="E203" t="s">
        <v>25</v>
      </c>
      <c r="F203" t="s">
        <v>62</v>
      </c>
      <c r="G203">
        <v>83</v>
      </c>
      <c r="H203">
        <v>0</v>
      </c>
      <c r="I203">
        <v>0</v>
      </c>
      <c r="J203">
        <v>0</v>
      </c>
      <c r="K203">
        <v>1.9999999999999999E-6</v>
      </c>
      <c r="L203">
        <v>0.29885099999999998</v>
      </c>
      <c r="M203" t="s">
        <v>27</v>
      </c>
      <c r="N203" t="s">
        <v>63</v>
      </c>
      <c r="O203" t="s">
        <v>471</v>
      </c>
      <c r="P203" t="s">
        <v>472</v>
      </c>
      <c r="Q203" t="s">
        <v>473</v>
      </c>
    </row>
    <row r="204" spans="1:17" ht="14.25" customHeight="1" x14ac:dyDescent="0.35">
      <c r="A204" t="s">
        <v>429</v>
      </c>
      <c r="B204">
        <v>25</v>
      </c>
      <c r="C204" t="s">
        <v>651</v>
      </c>
      <c r="D204" t="s">
        <v>421</v>
      </c>
      <c r="E204" t="s">
        <v>25</v>
      </c>
      <c r="F204" t="s">
        <v>34</v>
      </c>
      <c r="G204">
        <v>5082</v>
      </c>
      <c r="H204">
        <v>0</v>
      </c>
      <c r="I204">
        <v>267</v>
      </c>
      <c r="J204">
        <v>0</v>
      </c>
      <c r="K204">
        <v>9.2299999999999999E-4</v>
      </c>
      <c r="L204">
        <v>2.9557440000000001</v>
      </c>
      <c r="M204" t="s">
        <v>27</v>
      </c>
      <c r="N204" t="s">
        <v>28</v>
      </c>
      <c r="O204" t="s">
        <v>471</v>
      </c>
      <c r="P204" t="s">
        <v>472</v>
      </c>
      <c r="Q204" t="s">
        <v>473</v>
      </c>
    </row>
    <row r="205" spans="1:17" ht="14.25" customHeight="1" x14ac:dyDescent="0.35">
      <c r="A205" t="s">
        <v>429</v>
      </c>
      <c r="B205">
        <v>26</v>
      </c>
      <c r="C205" t="s">
        <v>651</v>
      </c>
      <c r="D205" t="s">
        <v>421</v>
      </c>
      <c r="E205" t="s">
        <v>25</v>
      </c>
      <c r="F205" t="s">
        <v>62</v>
      </c>
      <c r="G205">
        <v>74</v>
      </c>
      <c r="H205">
        <v>0</v>
      </c>
      <c r="I205">
        <v>0</v>
      </c>
      <c r="J205">
        <v>0</v>
      </c>
      <c r="K205">
        <v>9.9999999999999995E-7</v>
      </c>
      <c r="L205">
        <v>0.22814799999999999</v>
      </c>
      <c r="M205" t="s">
        <v>27</v>
      </c>
      <c r="N205" t="s">
        <v>63</v>
      </c>
      <c r="O205" t="s">
        <v>471</v>
      </c>
      <c r="P205" t="s">
        <v>472</v>
      </c>
      <c r="Q205" t="s">
        <v>473</v>
      </c>
    </row>
    <row r="206" spans="1:17" ht="14.25" customHeight="1" x14ac:dyDescent="0.35">
      <c r="A206" t="s">
        <v>429</v>
      </c>
      <c r="B206">
        <v>27</v>
      </c>
      <c r="C206" t="s">
        <v>652</v>
      </c>
      <c r="D206" t="s">
        <v>421</v>
      </c>
      <c r="E206" t="s">
        <v>25</v>
      </c>
      <c r="F206" t="s">
        <v>34</v>
      </c>
      <c r="G206">
        <v>5072</v>
      </c>
      <c r="H206">
        <v>2048</v>
      </c>
      <c r="I206">
        <v>242</v>
      </c>
      <c r="J206">
        <v>0</v>
      </c>
      <c r="K206">
        <v>7.5199999999999996E-4</v>
      </c>
      <c r="L206">
        <v>2.576111</v>
      </c>
      <c r="M206" t="s">
        <v>27</v>
      </c>
      <c r="N206" t="s">
        <v>28</v>
      </c>
      <c r="O206" t="s">
        <v>471</v>
      </c>
      <c r="P206" t="s">
        <v>472</v>
      </c>
      <c r="Q206" t="s">
        <v>473</v>
      </c>
    </row>
    <row r="207" spans="1:17" ht="14.25" customHeight="1" x14ac:dyDescent="0.35">
      <c r="A207" t="s">
        <v>429</v>
      </c>
      <c r="B207">
        <v>28</v>
      </c>
      <c r="C207" t="s">
        <v>653</v>
      </c>
      <c r="D207" t="s">
        <v>421</v>
      </c>
      <c r="E207" t="s">
        <v>25</v>
      </c>
      <c r="F207" t="s">
        <v>62</v>
      </c>
      <c r="G207">
        <v>36</v>
      </c>
      <c r="H207">
        <v>0</v>
      </c>
      <c r="I207">
        <v>0</v>
      </c>
      <c r="J207">
        <v>0</v>
      </c>
      <c r="K207">
        <v>9.9999999999999995E-7</v>
      </c>
      <c r="L207">
        <v>0.53437999999999997</v>
      </c>
      <c r="M207" t="s">
        <v>27</v>
      </c>
      <c r="N207" t="s">
        <v>63</v>
      </c>
      <c r="O207" t="s">
        <v>471</v>
      </c>
      <c r="P207" t="s">
        <v>472</v>
      </c>
      <c r="Q207" t="s">
        <v>473</v>
      </c>
    </row>
    <row r="208" spans="1:17" ht="14.25" customHeight="1" x14ac:dyDescent="0.35">
      <c r="A208" t="s">
        <v>429</v>
      </c>
      <c r="B208">
        <v>29</v>
      </c>
      <c r="C208" t="s">
        <v>654</v>
      </c>
      <c r="D208" t="s">
        <v>421</v>
      </c>
      <c r="E208" t="s">
        <v>25</v>
      </c>
      <c r="F208" t="s">
        <v>34</v>
      </c>
      <c r="G208">
        <v>5052</v>
      </c>
      <c r="H208">
        <v>0</v>
      </c>
      <c r="I208">
        <v>80</v>
      </c>
      <c r="J208">
        <v>0</v>
      </c>
      <c r="K208">
        <v>8.0599999999999997E-4</v>
      </c>
      <c r="L208">
        <v>1.9687349999999999</v>
      </c>
      <c r="M208" t="s">
        <v>27</v>
      </c>
      <c r="N208" t="s">
        <v>28</v>
      </c>
      <c r="O208" t="s">
        <v>471</v>
      </c>
      <c r="P208" t="s">
        <v>472</v>
      </c>
      <c r="Q208" t="s">
        <v>473</v>
      </c>
    </row>
    <row r="209" spans="1:17" ht="14.25" customHeight="1" x14ac:dyDescent="0.35">
      <c r="A209" t="s">
        <v>429</v>
      </c>
      <c r="B209">
        <v>30</v>
      </c>
      <c r="C209" t="s">
        <v>654</v>
      </c>
      <c r="D209" t="s">
        <v>421</v>
      </c>
      <c r="E209" t="s">
        <v>25</v>
      </c>
      <c r="F209" t="s">
        <v>62</v>
      </c>
      <c r="G209">
        <v>99</v>
      </c>
      <c r="H209">
        <v>0</v>
      </c>
      <c r="I209">
        <v>0</v>
      </c>
      <c r="J209">
        <v>0</v>
      </c>
      <c r="K209">
        <v>1.9999999999999999E-6</v>
      </c>
      <c r="L209">
        <v>0.21537999999999999</v>
      </c>
      <c r="M209" t="s">
        <v>27</v>
      </c>
      <c r="N209" t="s">
        <v>63</v>
      </c>
      <c r="O209" t="s">
        <v>471</v>
      </c>
      <c r="P209" t="s">
        <v>472</v>
      </c>
      <c r="Q209" t="s">
        <v>473</v>
      </c>
    </row>
    <row r="210" spans="1:17" ht="14.25" customHeight="1" x14ac:dyDescent="0.35">
      <c r="A210" t="s">
        <v>429</v>
      </c>
      <c r="B210">
        <v>31</v>
      </c>
      <c r="C210" t="s">
        <v>655</v>
      </c>
      <c r="D210" t="s">
        <v>421</v>
      </c>
      <c r="E210" t="s">
        <v>25</v>
      </c>
      <c r="F210" t="s">
        <v>34</v>
      </c>
      <c r="G210">
        <v>5098</v>
      </c>
      <c r="H210">
        <v>0</v>
      </c>
      <c r="I210">
        <v>234</v>
      </c>
      <c r="J210">
        <v>0</v>
      </c>
      <c r="K210">
        <v>9.0499999999999999E-4</v>
      </c>
      <c r="L210">
        <v>2.949614</v>
      </c>
      <c r="M210" t="s">
        <v>27</v>
      </c>
      <c r="N210" t="s">
        <v>28</v>
      </c>
      <c r="O210" t="s">
        <v>471</v>
      </c>
      <c r="P210" t="s">
        <v>472</v>
      </c>
      <c r="Q210" t="s">
        <v>473</v>
      </c>
    </row>
    <row r="211" spans="1:17" ht="14.25" customHeight="1" x14ac:dyDescent="0.35">
      <c r="A211" t="s">
        <v>429</v>
      </c>
      <c r="B211">
        <v>32</v>
      </c>
      <c r="C211" t="s">
        <v>656</v>
      </c>
      <c r="D211" t="s">
        <v>421</v>
      </c>
      <c r="E211" t="s">
        <v>25</v>
      </c>
      <c r="F211" t="s">
        <v>62</v>
      </c>
      <c r="G211">
        <v>442</v>
      </c>
      <c r="H211">
        <v>0</v>
      </c>
      <c r="I211">
        <v>0</v>
      </c>
      <c r="J211">
        <v>0</v>
      </c>
      <c r="K211">
        <v>9.0000000000000002E-6</v>
      </c>
      <c r="L211">
        <v>0.30063099999999998</v>
      </c>
      <c r="M211" t="s">
        <v>27</v>
      </c>
      <c r="N211" t="s">
        <v>63</v>
      </c>
      <c r="O211" t="s">
        <v>471</v>
      </c>
      <c r="P211" t="s">
        <v>472</v>
      </c>
      <c r="Q211" t="s">
        <v>473</v>
      </c>
    </row>
    <row r="212" spans="1:17" ht="14.25" customHeight="1" x14ac:dyDescent="0.35">
      <c r="A212" t="s">
        <v>429</v>
      </c>
      <c r="B212">
        <v>33</v>
      </c>
      <c r="C212" t="s">
        <v>657</v>
      </c>
      <c r="D212" t="s">
        <v>421</v>
      </c>
      <c r="E212" t="s">
        <v>25</v>
      </c>
      <c r="F212" t="s">
        <v>34</v>
      </c>
      <c r="G212">
        <v>5496</v>
      </c>
      <c r="H212">
        <v>0</v>
      </c>
      <c r="I212">
        <v>326</v>
      </c>
      <c r="J212">
        <v>0</v>
      </c>
      <c r="K212">
        <v>1.0200000000000001E-3</v>
      </c>
      <c r="L212">
        <v>4.5014500000000002</v>
      </c>
      <c r="M212" t="s">
        <v>27</v>
      </c>
      <c r="N212" t="s">
        <v>28</v>
      </c>
      <c r="O212" t="s">
        <v>471</v>
      </c>
      <c r="P212" t="s">
        <v>472</v>
      </c>
      <c r="Q212" t="s">
        <v>473</v>
      </c>
    </row>
    <row r="213" spans="1:17" ht="14.25" customHeight="1" x14ac:dyDescent="0.35">
      <c r="A213" t="s">
        <v>429</v>
      </c>
      <c r="B213">
        <v>34</v>
      </c>
      <c r="C213" t="s">
        <v>658</v>
      </c>
      <c r="D213" t="s">
        <v>421</v>
      </c>
      <c r="E213" t="s">
        <v>25</v>
      </c>
      <c r="F213" t="s">
        <v>62</v>
      </c>
      <c r="G213">
        <v>74</v>
      </c>
      <c r="H213">
        <v>0</v>
      </c>
      <c r="I213">
        <v>0</v>
      </c>
      <c r="J213">
        <v>0</v>
      </c>
      <c r="K213">
        <v>9.9999999999999995E-7</v>
      </c>
      <c r="L213">
        <v>0.59809999999999997</v>
      </c>
      <c r="M213" t="s">
        <v>27</v>
      </c>
      <c r="N213" t="s">
        <v>63</v>
      </c>
      <c r="O213" t="s">
        <v>471</v>
      </c>
      <c r="P213" t="s">
        <v>472</v>
      </c>
      <c r="Q213" t="s">
        <v>473</v>
      </c>
    </row>
    <row r="214" spans="1:17" ht="14.25" customHeight="1" x14ac:dyDescent="0.35">
      <c r="A214" t="s">
        <v>429</v>
      </c>
      <c r="B214">
        <v>35</v>
      </c>
      <c r="C214" t="s">
        <v>659</v>
      </c>
      <c r="D214" t="s">
        <v>421</v>
      </c>
      <c r="E214" t="s">
        <v>25</v>
      </c>
      <c r="F214" t="s">
        <v>34</v>
      </c>
      <c r="G214">
        <v>5091</v>
      </c>
      <c r="H214">
        <v>0</v>
      </c>
      <c r="I214">
        <v>271</v>
      </c>
      <c r="J214">
        <v>0</v>
      </c>
      <c r="K214">
        <v>9.2599999999999996E-4</v>
      </c>
      <c r="L214">
        <v>3.1590159999999998</v>
      </c>
      <c r="M214" t="s">
        <v>27</v>
      </c>
      <c r="N214" t="s">
        <v>28</v>
      </c>
      <c r="O214" t="s">
        <v>471</v>
      </c>
      <c r="P214" t="s">
        <v>472</v>
      </c>
      <c r="Q214" t="s">
        <v>473</v>
      </c>
    </row>
    <row r="215" spans="1:17" ht="14.25" customHeight="1" x14ac:dyDescent="0.35">
      <c r="A215" t="s">
        <v>429</v>
      </c>
      <c r="B215">
        <v>36</v>
      </c>
      <c r="C215" t="s">
        <v>660</v>
      </c>
      <c r="D215" t="s">
        <v>421</v>
      </c>
      <c r="E215" t="s">
        <v>25</v>
      </c>
      <c r="F215" t="s">
        <v>62</v>
      </c>
      <c r="G215">
        <v>83</v>
      </c>
      <c r="H215">
        <v>0</v>
      </c>
      <c r="I215">
        <v>0</v>
      </c>
      <c r="J215">
        <v>0</v>
      </c>
      <c r="K215">
        <v>1.9999999999999999E-6</v>
      </c>
      <c r="L215">
        <v>0.30280200000000002</v>
      </c>
      <c r="M215" t="s">
        <v>27</v>
      </c>
      <c r="N215" t="s">
        <v>63</v>
      </c>
      <c r="O215" t="s">
        <v>471</v>
      </c>
      <c r="P215" t="s">
        <v>472</v>
      </c>
      <c r="Q215" t="s">
        <v>473</v>
      </c>
    </row>
    <row r="216" spans="1:17" ht="14.25" customHeight="1" x14ac:dyDescent="0.35">
      <c r="A216" t="s">
        <v>429</v>
      </c>
      <c r="B216">
        <v>37</v>
      </c>
      <c r="C216" t="s">
        <v>661</v>
      </c>
      <c r="D216" t="s">
        <v>421</v>
      </c>
      <c r="E216" t="s">
        <v>25</v>
      </c>
      <c r="F216" t="s">
        <v>34</v>
      </c>
      <c r="G216">
        <v>5101</v>
      </c>
      <c r="H216">
        <v>1920</v>
      </c>
      <c r="I216">
        <v>264</v>
      </c>
      <c r="J216">
        <v>0</v>
      </c>
      <c r="K216">
        <v>7.7999999999999999E-4</v>
      </c>
      <c r="L216">
        <v>4.0427160000000004</v>
      </c>
      <c r="M216" t="s">
        <v>27</v>
      </c>
      <c r="N216" t="s">
        <v>28</v>
      </c>
      <c r="O216" t="s">
        <v>471</v>
      </c>
      <c r="P216" t="s">
        <v>472</v>
      </c>
      <c r="Q216" t="s">
        <v>473</v>
      </c>
    </row>
    <row r="217" spans="1:17" ht="14.25" customHeight="1" x14ac:dyDescent="0.35">
      <c r="A217" t="s">
        <v>429</v>
      </c>
      <c r="B217">
        <v>38</v>
      </c>
      <c r="C217" t="s">
        <v>661</v>
      </c>
      <c r="D217" t="s">
        <v>421</v>
      </c>
      <c r="E217" t="s">
        <v>25</v>
      </c>
      <c r="F217" t="s">
        <v>62</v>
      </c>
      <c r="G217">
        <v>74</v>
      </c>
      <c r="H217">
        <v>0</v>
      </c>
      <c r="I217">
        <v>0</v>
      </c>
      <c r="J217">
        <v>0</v>
      </c>
      <c r="K217">
        <v>9.9999999999999995E-7</v>
      </c>
      <c r="L217">
        <v>0.27374599999999999</v>
      </c>
      <c r="M217" t="s">
        <v>27</v>
      </c>
      <c r="N217" t="s">
        <v>63</v>
      </c>
      <c r="O217" t="s">
        <v>471</v>
      </c>
      <c r="P217" t="s">
        <v>472</v>
      </c>
      <c r="Q217" t="s">
        <v>473</v>
      </c>
    </row>
    <row r="218" spans="1:17" ht="14.25" customHeight="1" x14ac:dyDescent="0.35">
      <c r="A218" t="s">
        <v>429</v>
      </c>
      <c r="B218">
        <v>39</v>
      </c>
      <c r="C218" t="s">
        <v>662</v>
      </c>
      <c r="D218" t="s">
        <v>421</v>
      </c>
      <c r="E218" t="s">
        <v>25</v>
      </c>
      <c r="F218" t="s">
        <v>34</v>
      </c>
      <c r="G218">
        <v>5067</v>
      </c>
      <c r="H218">
        <v>1024</v>
      </c>
      <c r="I218">
        <v>324</v>
      </c>
      <c r="J218">
        <v>0</v>
      </c>
      <c r="K218">
        <v>8.7799999999999998E-4</v>
      </c>
      <c r="L218">
        <v>4.427492</v>
      </c>
      <c r="M218" t="s">
        <v>27</v>
      </c>
      <c r="N218" t="s">
        <v>28</v>
      </c>
      <c r="O218" t="s">
        <v>471</v>
      </c>
      <c r="P218" t="s">
        <v>472</v>
      </c>
      <c r="Q218" t="s">
        <v>473</v>
      </c>
    </row>
    <row r="219" spans="1:17" ht="14.25" customHeight="1" x14ac:dyDescent="0.35">
      <c r="A219" t="s">
        <v>429</v>
      </c>
      <c r="B219">
        <v>40</v>
      </c>
      <c r="C219" t="s">
        <v>663</v>
      </c>
      <c r="D219" t="s">
        <v>421</v>
      </c>
      <c r="E219" t="s">
        <v>25</v>
      </c>
      <c r="F219" t="s">
        <v>62</v>
      </c>
      <c r="G219">
        <v>36</v>
      </c>
      <c r="H219">
        <v>0</v>
      </c>
      <c r="I219">
        <v>0</v>
      </c>
      <c r="J219">
        <v>0</v>
      </c>
      <c r="K219">
        <v>9.9999999999999995E-7</v>
      </c>
      <c r="L219">
        <v>0.54170700000000005</v>
      </c>
      <c r="M219" t="s">
        <v>27</v>
      </c>
      <c r="N219" t="s">
        <v>63</v>
      </c>
      <c r="O219" t="s">
        <v>471</v>
      </c>
      <c r="P219" t="s">
        <v>472</v>
      </c>
      <c r="Q219" t="s">
        <v>473</v>
      </c>
    </row>
    <row r="220" spans="1:17" ht="14.25" customHeight="1" x14ac:dyDescent="0.35">
      <c r="A220" t="s">
        <v>429</v>
      </c>
      <c r="B220">
        <v>41</v>
      </c>
      <c r="C220" t="s">
        <v>664</v>
      </c>
      <c r="D220" t="s">
        <v>421</v>
      </c>
      <c r="E220" t="s">
        <v>25</v>
      </c>
      <c r="F220" t="s">
        <v>34</v>
      </c>
      <c r="G220">
        <v>4960</v>
      </c>
      <c r="H220">
        <v>0</v>
      </c>
      <c r="I220">
        <v>88</v>
      </c>
      <c r="J220">
        <v>0</v>
      </c>
      <c r="K220">
        <v>7.9699999999999997E-4</v>
      </c>
      <c r="L220">
        <v>2.2681819999999999</v>
      </c>
      <c r="M220" t="s">
        <v>27</v>
      </c>
      <c r="N220" t="s">
        <v>28</v>
      </c>
      <c r="O220" t="s">
        <v>471</v>
      </c>
      <c r="P220" t="s">
        <v>472</v>
      </c>
      <c r="Q220" t="s">
        <v>473</v>
      </c>
    </row>
    <row r="221" spans="1:17" ht="14.25" customHeight="1" x14ac:dyDescent="0.35">
      <c r="A221" t="s">
        <v>429</v>
      </c>
      <c r="B221">
        <v>42</v>
      </c>
      <c r="C221" t="s">
        <v>665</v>
      </c>
      <c r="D221" t="s">
        <v>421</v>
      </c>
      <c r="E221" t="s">
        <v>25</v>
      </c>
      <c r="F221" t="s">
        <v>62</v>
      </c>
      <c r="G221">
        <v>99</v>
      </c>
      <c r="H221">
        <v>0</v>
      </c>
      <c r="I221">
        <v>0</v>
      </c>
      <c r="J221">
        <v>0</v>
      </c>
      <c r="K221">
        <v>1.9999999999999999E-6</v>
      </c>
      <c r="L221">
        <v>0.295543</v>
      </c>
      <c r="M221" t="s">
        <v>27</v>
      </c>
      <c r="N221" t="s">
        <v>63</v>
      </c>
      <c r="O221" t="s">
        <v>471</v>
      </c>
      <c r="P221" t="s">
        <v>472</v>
      </c>
      <c r="Q221" t="s">
        <v>473</v>
      </c>
    </row>
    <row r="222" spans="1:17" ht="14.25" customHeight="1" x14ac:dyDescent="0.35">
      <c r="A222" t="s">
        <v>429</v>
      </c>
      <c r="B222">
        <v>43</v>
      </c>
      <c r="C222" t="s">
        <v>666</v>
      </c>
      <c r="D222" t="s">
        <v>421</v>
      </c>
      <c r="E222" t="s">
        <v>25</v>
      </c>
      <c r="F222" t="s">
        <v>34</v>
      </c>
      <c r="G222">
        <v>4929</v>
      </c>
      <c r="H222">
        <v>0</v>
      </c>
      <c r="I222">
        <v>200</v>
      </c>
      <c r="J222">
        <v>0</v>
      </c>
      <c r="K222">
        <v>8.5899999999999995E-4</v>
      </c>
      <c r="L222">
        <v>2.839664</v>
      </c>
      <c r="M222" t="s">
        <v>27</v>
      </c>
      <c r="N222" t="s">
        <v>28</v>
      </c>
      <c r="O222" t="s">
        <v>471</v>
      </c>
      <c r="P222" t="s">
        <v>472</v>
      </c>
      <c r="Q222" t="s">
        <v>473</v>
      </c>
    </row>
    <row r="223" spans="1:17" ht="14.25" customHeight="1" x14ac:dyDescent="0.35">
      <c r="A223" t="s">
        <v>429</v>
      </c>
      <c r="B223">
        <v>44</v>
      </c>
      <c r="C223" t="s">
        <v>666</v>
      </c>
      <c r="D223" t="s">
        <v>421</v>
      </c>
      <c r="E223" t="s">
        <v>25</v>
      </c>
      <c r="F223" t="s">
        <v>62</v>
      </c>
      <c r="G223">
        <v>442</v>
      </c>
      <c r="H223">
        <v>0</v>
      </c>
      <c r="I223">
        <v>0</v>
      </c>
      <c r="J223">
        <v>0</v>
      </c>
      <c r="K223">
        <v>9.0000000000000002E-6</v>
      </c>
      <c r="L223">
        <v>0.22003300000000001</v>
      </c>
      <c r="M223" t="s">
        <v>27</v>
      </c>
      <c r="N223" t="s">
        <v>63</v>
      </c>
      <c r="O223" t="s">
        <v>471</v>
      </c>
      <c r="P223" t="s">
        <v>472</v>
      </c>
      <c r="Q223" t="s">
        <v>473</v>
      </c>
    </row>
    <row r="224" spans="1:17" ht="14.25" customHeight="1" x14ac:dyDescent="0.35">
      <c r="A224" t="s">
        <v>429</v>
      </c>
      <c r="B224">
        <v>45</v>
      </c>
      <c r="C224" t="s">
        <v>667</v>
      </c>
      <c r="D224" t="s">
        <v>421</v>
      </c>
      <c r="E224" t="s">
        <v>25</v>
      </c>
      <c r="F224" t="s">
        <v>34</v>
      </c>
      <c r="G224">
        <v>5367</v>
      </c>
      <c r="H224">
        <v>0</v>
      </c>
      <c r="I224">
        <v>348</v>
      </c>
      <c r="J224">
        <v>0</v>
      </c>
      <c r="K224">
        <v>1.0139999999999999E-3</v>
      </c>
      <c r="L224">
        <v>3.7396479999999999</v>
      </c>
      <c r="M224" t="s">
        <v>27</v>
      </c>
      <c r="N224" t="s">
        <v>28</v>
      </c>
      <c r="O224" t="s">
        <v>471</v>
      </c>
      <c r="P224" t="s">
        <v>472</v>
      </c>
      <c r="Q224" t="s">
        <v>473</v>
      </c>
    </row>
    <row r="225" spans="1:17" ht="14.25" customHeight="1" x14ac:dyDescent="0.35">
      <c r="A225" t="s">
        <v>429</v>
      </c>
      <c r="B225">
        <v>46</v>
      </c>
      <c r="C225" t="s">
        <v>667</v>
      </c>
      <c r="D225" t="s">
        <v>421</v>
      </c>
      <c r="E225" t="s">
        <v>25</v>
      </c>
      <c r="F225" t="s">
        <v>62</v>
      </c>
      <c r="G225">
        <v>74</v>
      </c>
      <c r="H225">
        <v>0</v>
      </c>
      <c r="I225">
        <v>0</v>
      </c>
      <c r="J225">
        <v>0</v>
      </c>
      <c r="K225">
        <v>9.9999999999999995E-7</v>
      </c>
      <c r="L225">
        <v>0.31247900000000001</v>
      </c>
      <c r="M225" t="s">
        <v>27</v>
      </c>
      <c r="N225" t="s">
        <v>63</v>
      </c>
      <c r="O225" t="s">
        <v>471</v>
      </c>
      <c r="P225" t="s">
        <v>472</v>
      </c>
      <c r="Q225" t="s">
        <v>473</v>
      </c>
    </row>
    <row r="226" spans="1:17" ht="14.25" customHeight="1" x14ac:dyDescent="0.35">
      <c r="A226" t="s">
        <v>429</v>
      </c>
      <c r="B226">
        <v>47</v>
      </c>
      <c r="C226" t="s">
        <v>668</v>
      </c>
      <c r="D226" t="s">
        <v>421</v>
      </c>
      <c r="E226" t="s">
        <v>25</v>
      </c>
      <c r="F226" t="s">
        <v>34</v>
      </c>
      <c r="G226">
        <v>4901</v>
      </c>
      <c r="H226">
        <v>0</v>
      </c>
      <c r="I226">
        <v>284</v>
      </c>
      <c r="J226">
        <v>0</v>
      </c>
      <c r="K226">
        <v>9.0600000000000001E-4</v>
      </c>
      <c r="L226">
        <v>3.4939439999999999</v>
      </c>
      <c r="M226" t="s">
        <v>27</v>
      </c>
      <c r="N226" t="s">
        <v>28</v>
      </c>
      <c r="O226" t="s">
        <v>471</v>
      </c>
      <c r="P226" t="s">
        <v>472</v>
      </c>
      <c r="Q226" t="s">
        <v>473</v>
      </c>
    </row>
    <row r="227" spans="1:17" ht="14.25" customHeight="1" x14ac:dyDescent="0.35">
      <c r="A227" t="s">
        <v>429</v>
      </c>
      <c r="B227">
        <v>48</v>
      </c>
      <c r="C227" t="s">
        <v>669</v>
      </c>
      <c r="D227" t="s">
        <v>421</v>
      </c>
      <c r="E227" t="s">
        <v>25</v>
      </c>
      <c r="F227" t="s">
        <v>62</v>
      </c>
      <c r="G227">
        <v>83</v>
      </c>
      <c r="H227">
        <v>0</v>
      </c>
      <c r="I227">
        <v>0</v>
      </c>
      <c r="J227">
        <v>0</v>
      </c>
      <c r="K227">
        <v>1.9999999999999999E-6</v>
      </c>
      <c r="L227">
        <v>0.28974800000000001</v>
      </c>
      <c r="M227" t="s">
        <v>27</v>
      </c>
      <c r="N227" t="s">
        <v>63</v>
      </c>
      <c r="O227" t="s">
        <v>471</v>
      </c>
      <c r="P227" t="s">
        <v>472</v>
      </c>
      <c r="Q227" t="s">
        <v>473</v>
      </c>
    </row>
    <row r="228" spans="1:17" ht="14.25" customHeight="1" x14ac:dyDescent="0.35">
      <c r="A228" t="s">
        <v>429</v>
      </c>
      <c r="B228">
        <v>49</v>
      </c>
      <c r="C228" t="s">
        <v>670</v>
      </c>
      <c r="D228" t="s">
        <v>421</v>
      </c>
      <c r="E228" t="s">
        <v>25</v>
      </c>
      <c r="F228" t="s">
        <v>34</v>
      </c>
      <c r="G228">
        <v>5058</v>
      </c>
      <c r="H228">
        <v>0</v>
      </c>
      <c r="I228">
        <v>285</v>
      </c>
      <c r="J228">
        <v>0</v>
      </c>
      <c r="K228">
        <v>9.3000000000000005E-4</v>
      </c>
      <c r="L228">
        <v>3.3298390000000002</v>
      </c>
      <c r="M228" t="s">
        <v>27</v>
      </c>
      <c r="N228" t="s">
        <v>28</v>
      </c>
      <c r="O228" t="s">
        <v>471</v>
      </c>
      <c r="P228" t="s">
        <v>472</v>
      </c>
      <c r="Q228" t="s">
        <v>473</v>
      </c>
    </row>
    <row r="229" spans="1:17" ht="14.25" customHeight="1" x14ac:dyDescent="0.35">
      <c r="A229" t="s">
        <v>429</v>
      </c>
      <c r="B229">
        <v>50</v>
      </c>
      <c r="C229" t="s">
        <v>670</v>
      </c>
      <c r="D229" t="s">
        <v>421</v>
      </c>
      <c r="E229" t="s">
        <v>25</v>
      </c>
      <c r="F229" t="s">
        <v>62</v>
      </c>
      <c r="G229">
        <v>74</v>
      </c>
      <c r="H229">
        <v>0</v>
      </c>
      <c r="I229">
        <v>0</v>
      </c>
      <c r="J229">
        <v>0</v>
      </c>
      <c r="K229">
        <v>9.9999999999999995E-7</v>
      </c>
      <c r="L229">
        <v>0.30113600000000001</v>
      </c>
      <c r="M229" t="s">
        <v>27</v>
      </c>
      <c r="N229" t="s">
        <v>63</v>
      </c>
      <c r="O229" t="s">
        <v>471</v>
      </c>
      <c r="P229" t="s">
        <v>472</v>
      </c>
      <c r="Q229" t="s">
        <v>473</v>
      </c>
    </row>
    <row r="230" spans="1:17" ht="14.25" customHeight="1" x14ac:dyDescent="0.35">
      <c r="A230" t="s">
        <v>429</v>
      </c>
      <c r="B230">
        <v>51</v>
      </c>
      <c r="C230" t="s">
        <v>671</v>
      </c>
      <c r="D230" t="s">
        <v>421</v>
      </c>
      <c r="E230" t="s">
        <v>25</v>
      </c>
      <c r="F230" t="s">
        <v>34</v>
      </c>
      <c r="G230">
        <v>4966</v>
      </c>
      <c r="H230">
        <v>1024</v>
      </c>
      <c r="I230">
        <v>324</v>
      </c>
      <c r="J230">
        <v>0</v>
      </c>
      <c r="K230">
        <v>8.6200000000000003E-4</v>
      </c>
      <c r="L230">
        <v>3.5667040000000001</v>
      </c>
      <c r="M230" t="s">
        <v>27</v>
      </c>
      <c r="N230" t="s">
        <v>28</v>
      </c>
      <c r="O230" t="s">
        <v>471</v>
      </c>
      <c r="P230" t="s">
        <v>472</v>
      </c>
      <c r="Q230" t="s">
        <v>473</v>
      </c>
    </row>
    <row r="231" spans="1:17" ht="14.25" customHeight="1" x14ac:dyDescent="0.35">
      <c r="A231" t="s">
        <v>429</v>
      </c>
      <c r="B231">
        <v>52</v>
      </c>
      <c r="C231" t="s">
        <v>672</v>
      </c>
      <c r="D231" t="s">
        <v>421</v>
      </c>
      <c r="E231" t="s">
        <v>25</v>
      </c>
      <c r="F231" t="s">
        <v>62</v>
      </c>
      <c r="G231">
        <v>36</v>
      </c>
      <c r="H231">
        <v>0</v>
      </c>
      <c r="I231">
        <v>0</v>
      </c>
      <c r="J231">
        <v>0</v>
      </c>
      <c r="K231">
        <v>9.9999999999999995E-7</v>
      </c>
      <c r="L231">
        <v>0.55295300000000003</v>
      </c>
      <c r="M231" t="s">
        <v>27</v>
      </c>
      <c r="N231" t="s">
        <v>63</v>
      </c>
      <c r="O231" t="s">
        <v>471</v>
      </c>
      <c r="P231" t="s">
        <v>472</v>
      </c>
      <c r="Q231" t="s">
        <v>473</v>
      </c>
    </row>
    <row r="232" spans="1:17" ht="14.25" customHeight="1" x14ac:dyDescent="0.35">
      <c r="A232" t="s">
        <v>429</v>
      </c>
      <c r="B232">
        <v>53</v>
      </c>
      <c r="C232" t="s">
        <v>673</v>
      </c>
      <c r="D232" t="s">
        <v>421</v>
      </c>
      <c r="E232" t="s">
        <v>25</v>
      </c>
      <c r="F232" t="s">
        <v>34</v>
      </c>
      <c r="G232">
        <v>4996</v>
      </c>
      <c r="H232">
        <v>0</v>
      </c>
      <c r="I232">
        <v>33</v>
      </c>
      <c r="J232">
        <v>0</v>
      </c>
      <c r="K232">
        <v>7.6900000000000004E-4</v>
      </c>
      <c r="L232">
        <v>1.5641210000000001</v>
      </c>
      <c r="M232" t="s">
        <v>27</v>
      </c>
      <c r="N232" t="s">
        <v>28</v>
      </c>
      <c r="O232" t="s">
        <v>471</v>
      </c>
      <c r="P232" t="s">
        <v>472</v>
      </c>
      <c r="Q232" t="s">
        <v>473</v>
      </c>
    </row>
    <row r="233" spans="1:17" ht="14.25" customHeight="1" x14ac:dyDescent="0.35">
      <c r="A233" t="s">
        <v>429</v>
      </c>
      <c r="B233">
        <v>54</v>
      </c>
      <c r="C233" t="s">
        <v>673</v>
      </c>
      <c r="D233" t="s">
        <v>421</v>
      </c>
      <c r="E233" t="s">
        <v>25</v>
      </c>
      <c r="F233" t="s">
        <v>62</v>
      </c>
      <c r="G233">
        <v>99</v>
      </c>
      <c r="H233">
        <v>0</v>
      </c>
      <c r="I233">
        <v>0</v>
      </c>
      <c r="J233">
        <v>0</v>
      </c>
      <c r="K233">
        <v>1.9999999999999999E-6</v>
      </c>
      <c r="L233">
        <v>0.35916999999999999</v>
      </c>
      <c r="M233" t="s">
        <v>27</v>
      </c>
      <c r="N233" t="s">
        <v>63</v>
      </c>
      <c r="O233" t="s">
        <v>471</v>
      </c>
      <c r="P233" t="s">
        <v>472</v>
      </c>
      <c r="Q233" t="s">
        <v>473</v>
      </c>
    </row>
    <row r="234" spans="1:17" ht="14.25" customHeight="1" x14ac:dyDescent="0.35">
      <c r="A234" t="s">
        <v>429</v>
      </c>
      <c r="B234">
        <v>55</v>
      </c>
      <c r="C234" t="s">
        <v>674</v>
      </c>
      <c r="D234" t="s">
        <v>421</v>
      </c>
      <c r="E234" t="s">
        <v>25</v>
      </c>
      <c r="F234" t="s">
        <v>34</v>
      </c>
      <c r="G234">
        <v>5132</v>
      </c>
      <c r="H234">
        <v>1024</v>
      </c>
      <c r="I234">
        <v>182</v>
      </c>
      <c r="J234">
        <v>0</v>
      </c>
      <c r="K234">
        <v>8.0199999999999998E-4</v>
      </c>
      <c r="L234">
        <v>2.9929480000000002</v>
      </c>
      <c r="M234" t="s">
        <v>27</v>
      </c>
      <c r="N234" t="s">
        <v>28</v>
      </c>
      <c r="O234" t="s">
        <v>471</v>
      </c>
      <c r="P234" t="s">
        <v>472</v>
      </c>
      <c r="Q234" t="s">
        <v>473</v>
      </c>
    </row>
    <row r="235" spans="1:17" ht="14.25" customHeight="1" x14ac:dyDescent="0.35">
      <c r="A235" t="s">
        <v>429</v>
      </c>
      <c r="B235">
        <v>56</v>
      </c>
      <c r="C235" t="s">
        <v>674</v>
      </c>
      <c r="D235" t="s">
        <v>421</v>
      </c>
      <c r="E235" t="s">
        <v>25</v>
      </c>
      <c r="F235" t="s">
        <v>62</v>
      </c>
      <c r="G235">
        <v>442</v>
      </c>
      <c r="H235">
        <v>0</v>
      </c>
      <c r="I235">
        <v>0</v>
      </c>
      <c r="J235">
        <v>0</v>
      </c>
      <c r="K235">
        <v>9.0000000000000002E-6</v>
      </c>
      <c r="L235">
        <v>0.24613099999999999</v>
      </c>
      <c r="M235" t="s">
        <v>27</v>
      </c>
      <c r="N235" t="s">
        <v>63</v>
      </c>
      <c r="O235" t="s">
        <v>471</v>
      </c>
      <c r="P235" t="s">
        <v>472</v>
      </c>
      <c r="Q235" t="s">
        <v>473</v>
      </c>
    </row>
    <row r="236" spans="1:17" ht="14.25" customHeight="1" x14ac:dyDescent="0.35">
      <c r="A236" t="s">
        <v>429</v>
      </c>
      <c r="B236">
        <v>57</v>
      </c>
      <c r="C236" t="s">
        <v>675</v>
      </c>
      <c r="D236" t="s">
        <v>421</v>
      </c>
      <c r="E236" t="s">
        <v>25</v>
      </c>
      <c r="F236" t="s">
        <v>34</v>
      </c>
      <c r="G236">
        <v>5504</v>
      </c>
      <c r="H236">
        <v>0</v>
      </c>
      <c r="I236">
        <v>377</v>
      </c>
      <c r="J236">
        <v>0</v>
      </c>
      <c r="K236">
        <v>1.052E-3</v>
      </c>
      <c r="L236">
        <v>5.2151050000000003</v>
      </c>
      <c r="M236" t="s">
        <v>27</v>
      </c>
      <c r="N236" t="s">
        <v>28</v>
      </c>
      <c r="O236" t="s">
        <v>471</v>
      </c>
      <c r="P236" t="s">
        <v>472</v>
      </c>
      <c r="Q236" t="s">
        <v>473</v>
      </c>
    </row>
    <row r="237" spans="1:17" ht="14.25" customHeight="1" x14ac:dyDescent="0.35">
      <c r="A237" t="s">
        <v>429</v>
      </c>
      <c r="B237">
        <v>58</v>
      </c>
      <c r="C237" t="s">
        <v>676</v>
      </c>
      <c r="D237" t="s">
        <v>421</v>
      </c>
      <c r="E237" t="s">
        <v>25</v>
      </c>
      <c r="F237" t="s">
        <v>62</v>
      </c>
      <c r="G237">
        <v>74</v>
      </c>
      <c r="H237">
        <v>0</v>
      </c>
      <c r="I237">
        <v>0</v>
      </c>
      <c r="J237">
        <v>0</v>
      </c>
      <c r="K237">
        <v>9.9999999999999995E-7</v>
      </c>
      <c r="L237">
        <v>0.504915</v>
      </c>
      <c r="M237" t="s">
        <v>27</v>
      </c>
      <c r="N237" t="s">
        <v>63</v>
      </c>
      <c r="O237" t="s">
        <v>471</v>
      </c>
      <c r="P237" t="s">
        <v>472</v>
      </c>
      <c r="Q237" t="s">
        <v>473</v>
      </c>
    </row>
    <row r="238" spans="1:17" ht="14.25" customHeight="1" x14ac:dyDescent="0.35">
      <c r="A238" t="s">
        <v>429</v>
      </c>
      <c r="B238">
        <v>59</v>
      </c>
      <c r="C238" t="s">
        <v>677</v>
      </c>
      <c r="D238" t="s">
        <v>421</v>
      </c>
      <c r="E238" t="s">
        <v>25</v>
      </c>
      <c r="F238" t="s">
        <v>34</v>
      </c>
      <c r="G238">
        <v>5099</v>
      </c>
      <c r="H238">
        <v>2176</v>
      </c>
      <c r="I238">
        <v>299</v>
      </c>
      <c r="J238">
        <v>0</v>
      </c>
      <c r="K238">
        <v>7.8100000000000001E-4</v>
      </c>
      <c r="L238">
        <v>3.076705</v>
      </c>
      <c r="M238" t="s">
        <v>27</v>
      </c>
      <c r="N238" t="s">
        <v>28</v>
      </c>
      <c r="O238" t="s">
        <v>471</v>
      </c>
      <c r="P238" t="s">
        <v>472</v>
      </c>
      <c r="Q238" t="s">
        <v>473</v>
      </c>
    </row>
    <row r="239" spans="1:17" ht="14.25" customHeight="1" x14ac:dyDescent="0.35">
      <c r="A239" t="s">
        <v>429</v>
      </c>
      <c r="B239">
        <v>60</v>
      </c>
      <c r="C239" t="s">
        <v>677</v>
      </c>
      <c r="D239" t="s">
        <v>421</v>
      </c>
      <c r="E239" t="s">
        <v>25</v>
      </c>
      <c r="F239" t="s">
        <v>62</v>
      </c>
      <c r="G239">
        <v>83</v>
      </c>
      <c r="H239">
        <v>0</v>
      </c>
      <c r="I239">
        <v>0</v>
      </c>
      <c r="J239">
        <v>0</v>
      </c>
      <c r="K239">
        <v>1.9999999999999999E-6</v>
      </c>
      <c r="L239">
        <v>0.27065800000000001</v>
      </c>
      <c r="M239" t="s">
        <v>27</v>
      </c>
      <c r="N239" t="s">
        <v>63</v>
      </c>
      <c r="O239" t="s">
        <v>471</v>
      </c>
      <c r="P239" t="s">
        <v>472</v>
      </c>
      <c r="Q239" t="s">
        <v>473</v>
      </c>
    </row>
    <row r="240" spans="1:17" ht="14.25" customHeight="1" x14ac:dyDescent="0.35">
      <c r="A240" t="s">
        <v>429</v>
      </c>
      <c r="B240">
        <v>61</v>
      </c>
      <c r="C240" t="s">
        <v>678</v>
      </c>
      <c r="D240" t="s">
        <v>421</v>
      </c>
      <c r="E240" t="s">
        <v>25</v>
      </c>
      <c r="F240" t="s">
        <v>34</v>
      </c>
      <c r="G240">
        <v>5109</v>
      </c>
      <c r="H240">
        <v>1920</v>
      </c>
      <c r="I240">
        <v>251</v>
      </c>
      <c r="J240">
        <v>0</v>
      </c>
      <c r="K240">
        <v>7.7300000000000003E-4</v>
      </c>
      <c r="L240">
        <v>3.0486409999999999</v>
      </c>
      <c r="M240" t="s">
        <v>27</v>
      </c>
      <c r="N240" t="s">
        <v>28</v>
      </c>
      <c r="O240" t="s">
        <v>471</v>
      </c>
      <c r="P240" t="s">
        <v>472</v>
      </c>
      <c r="Q240" t="s">
        <v>473</v>
      </c>
    </row>
    <row r="241" spans="1:17" ht="14.25" customHeight="1" x14ac:dyDescent="0.35">
      <c r="A241" t="s">
        <v>429</v>
      </c>
      <c r="B241">
        <v>62</v>
      </c>
      <c r="C241" t="s">
        <v>678</v>
      </c>
      <c r="D241" t="s">
        <v>421</v>
      </c>
      <c r="E241" t="s">
        <v>25</v>
      </c>
      <c r="F241" t="s">
        <v>62</v>
      </c>
      <c r="G241">
        <v>74</v>
      </c>
      <c r="H241">
        <v>0</v>
      </c>
      <c r="I241">
        <v>0</v>
      </c>
      <c r="J241">
        <v>0</v>
      </c>
      <c r="K241">
        <v>9.9999999999999995E-7</v>
      </c>
      <c r="L241">
        <v>0.30544100000000002</v>
      </c>
      <c r="M241" t="s">
        <v>27</v>
      </c>
      <c r="N241" t="s">
        <v>63</v>
      </c>
      <c r="O241" t="s">
        <v>471</v>
      </c>
      <c r="P241" t="s">
        <v>472</v>
      </c>
      <c r="Q241" t="s">
        <v>473</v>
      </c>
    </row>
    <row r="242" spans="1:17" ht="14.25" customHeight="1" x14ac:dyDescent="0.35">
      <c r="A242" t="s">
        <v>429</v>
      </c>
      <c r="B242">
        <v>63</v>
      </c>
      <c r="C242" t="s">
        <v>679</v>
      </c>
      <c r="D242" t="s">
        <v>421</v>
      </c>
      <c r="E242" t="s">
        <v>25</v>
      </c>
      <c r="F242" t="s">
        <v>34</v>
      </c>
      <c r="G242">
        <v>5113</v>
      </c>
      <c r="H242">
        <v>1920</v>
      </c>
      <c r="I242">
        <v>297</v>
      </c>
      <c r="J242">
        <v>0</v>
      </c>
      <c r="K242">
        <v>8.0099999999999995E-4</v>
      </c>
      <c r="L242">
        <v>3.430075</v>
      </c>
      <c r="M242" t="s">
        <v>27</v>
      </c>
      <c r="N242" t="s">
        <v>28</v>
      </c>
      <c r="O242" t="s">
        <v>471</v>
      </c>
      <c r="P242" t="s">
        <v>472</v>
      </c>
      <c r="Q242" t="s">
        <v>473</v>
      </c>
    </row>
    <row r="243" spans="1:17" ht="14.25" customHeight="1" x14ac:dyDescent="0.35">
      <c r="A243" t="s">
        <v>432</v>
      </c>
      <c r="B243">
        <v>1</v>
      </c>
      <c r="C243" t="s">
        <v>680</v>
      </c>
      <c r="D243" t="s">
        <v>24</v>
      </c>
      <c r="E243" t="s">
        <v>25</v>
      </c>
      <c r="F243" t="s">
        <v>26</v>
      </c>
      <c r="G243">
        <v>1171</v>
      </c>
      <c r="H243">
        <v>1024</v>
      </c>
      <c r="I243">
        <v>46</v>
      </c>
      <c r="J243">
        <v>0</v>
      </c>
      <c r="K243">
        <v>2.1069999999999999E-3</v>
      </c>
      <c r="L243">
        <v>2.0818210000000001</v>
      </c>
      <c r="M243" t="s">
        <v>27</v>
      </c>
      <c r="N243" t="s">
        <v>28</v>
      </c>
      <c r="O243" t="s">
        <v>29</v>
      </c>
      <c r="P243" t="s">
        <v>30</v>
      </c>
      <c r="Q243" t="s">
        <v>31</v>
      </c>
    </row>
    <row r="244" spans="1:17" ht="14.25" customHeight="1" x14ac:dyDescent="0.35">
      <c r="A244" t="s">
        <v>432</v>
      </c>
      <c r="B244">
        <v>2</v>
      </c>
      <c r="C244" t="s">
        <v>681</v>
      </c>
      <c r="D244" t="s">
        <v>421</v>
      </c>
      <c r="E244" t="s">
        <v>25</v>
      </c>
      <c r="F244" t="s">
        <v>34</v>
      </c>
      <c r="G244">
        <v>1581</v>
      </c>
      <c r="H244">
        <v>1024</v>
      </c>
      <c r="I244">
        <v>45</v>
      </c>
      <c r="J244">
        <v>0</v>
      </c>
      <c r="K244">
        <v>1.8699999999999999E-4</v>
      </c>
      <c r="L244">
        <v>1.5190619999999999</v>
      </c>
      <c r="M244" t="s">
        <v>27</v>
      </c>
      <c r="N244" t="s">
        <v>28</v>
      </c>
      <c r="O244" t="s">
        <v>463</v>
      </c>
      <c r="P244" t="s">
        <v>464</v>
      </c>
      <c r="Q244" t="s">
        <v>465</v>
      </c>
    </row>
    <row r="245" spans="1:17" ht="14.25" customHeight="1" x14ac:dyDescent="0.35">
      <c r="A245" t="s">
        <v>432</v>
      </c>
      <c r="B245">
        <v>3</v>
      </c>
      <c r="C245" t="s">
        <v>682</v>
      </c>
      <c r="D245" t="s">
        <v>421</v>
      </c>
      <c r="E245" t="s">
        <v>25</v>
      </c>
      <c r="F245" t="s">
        <v>26</v>
      </c>
      <c r="G245">
        <v>516</v>
      </c>
      <c r="H245">
        <v>0</v>
      </c>
      <c r="I245">
        <v>33</v>
      </c>
      <c r="J245">
        <v>0</v>
      </c>
      <c r="K245">
        <v>1.6199999999999999E-3</v>
      </c>
      <c r="L245">
        <v>1.5841259999999999</v>
      </c>
      <c r="M245" t="s">
        <v>27</v>
      </c>
      <c r="N245" t="s">
        <v>28</v>
      </c>
      <c r="O245" t="s">
        <v>467</v>
      </c>
      <c r="P245" t="s">
        <v>468</v>
      </c>
      <c r="Q245" t="s">
        <v>469</v>
      </c>
    </row>
    <row r="246" spans="1:17" ht="14.25" customHeight="1" x14ac:dyDescent="0.35">
      <c r="A246" t="s">
        <v>432</v>
      </c>
      <c r="B246">
        <v>4</v>
      </c>
      <c r="C246" t="s">
        <v>683</v>
      </c>
      <c r="D246" t="s">
        <v>421</v>
      </c>
      <c r="E246" t="s">
        <v>25</v>
      </c>
      <c r="F246" t="s">
        <v>62</v>
      </c>
      <c r="G246">
        <v>36</v>
      </c>
      <c r="H246">
        <v>0</v>
      </c>
      <c r="I246">
        <v>0</v>
      </c>
      <c r="J246">
        <v>0</v>
      </c>
      <c r="K246">
        <v>9.9999999999999995E-7</v>
      </c>
      <c r="L246">
        <v>0.70651200000000003</v>
      </c>
      <c r="M246" t="s">
        <v>27</v>
      </c>
      <c r="N246" t="s">
        <v>63</v>
      </c>
      <c r="O246" t="s">
        <v>471</v>
      </c>
      <c r="P246" t="s">
        <v>472</v>
      </c>
      <c r="Q246" t="s">
        <v>473</v>
      </c>
    </row>
    <row r="247" spans="1:17" ht="14.25" customHeight="1" x14ac:dyDescent="0.35">
      <c r="A247" t="s">
        <v>432</v>
      </c>
      <c r="B247">
        <v>5</v>
      </c>
      <c r="C247" t="s">
        <v>684</v>
      </c>
      <c r="D247" t="s">
        <v>421</v>
      </c>
      <c r="E247" t="s">
        <v>25</v>
      </c>
      <c r="F247" t="s">
        <v>34</v>
      </c>
      <c r="G247">
        <v>1845</v>
      </c>
      <c r="H247">
        <v>0</v>
      </c>
      <c r="I247">
        <v>11</v>
      </c>
      <c r="J247">
        <v>0</v>
      </c>
      <c r="K247">
        <v>2.8299999999999999E-4</v>
      </c>
      <c r="L247">
        <v>1.3912169999999999</v>
      </c>
      <c r="M247" t="s">
        <v>27</v>
      </c>
      <c r="N247" t="s">
        <v>28</v>
      </c>
      <c r="O247" t="s">
        <v>471</v>
      </c>
      <c r="P247" t="s">
        <v>472</v>
      </c>
      <c r="Q247" t="s">
        <v>473</v>
      </c>
    </row>
    <row r="248" spans="1:17" ht="14.25" customHeight="1" x14ac:dyDescent="0.35">
      <c r="A248" t="s">
        <v>432</v>
      </c>
      <c r="B248">
        <v>6</v>
      </c>
      <c r="C248" t="s">
        <v>684</v>
      </c>
      <c r="D248" t="s">
        <v>421</v>
      </c>
      <c r="E248" t="s">
        <v>25</v>
      </c>
      <c r="F248" t="s">
        <v>62</v>
      </c>
      <c r="G248">
        <v>99</v>
      </c>
      <c r="H248">
        <v>0</v>
      </c>
      <c r="I248">
        <v>0</v>
      </c>
      <c r="J248">
        <v>0</v>
      </c>
      <c r="K248">
        <v>1.9999999999999999E-6</v>
      </c>
      <c r="L248">
        <v>0.274036</v>
      </c>
      <c r="M248" t="s">
        <v>27</v>
      </c>
      <c r="N248" t="s">
        <v>63</v>
      </c>
      <c r="O248" t="s">
        <v>471</v>
      </c>
      <c r="P248" t="s">
        <v>472</v>
      </c>
      <c r="Q248" t="s">
        <v>473</v>
      </c>
    </row>
    <row r="249" spans="1:17" ht="14.25" customHeight="1" x14ac:dyDescent="0.35">
      <c r="A249" t="s">
        <v>432</v>
      </c>
      <c r="B249">
        <v>7</v>
      </c>
      <c r="C249" t="s">
        <v>685</v>
      </c>
      <c r="D249" t="s">
        <v>421</v>
      </c>
      <c r="E249" t="s">
        <v>25</v>
      </c>
      <c r="F249" t="s">
        <v>34</v>
      </c>
      <c r="G249">
        <v>1908</v>
      </c>
      <c r="H249">
        <v>1664</v>
      </c>
      <c r="I249">
        <v>165</v>
      </c>
      <c r="J249">
        <v>0</v>
      </c>
      <c r="K249">
        <v>2.5999999999999998E-4</v>
      </c>
      <c r="L249">
        <v>2.226658</v>
      </c>
      <c r="M249" t="s">
        <v>27</v>
      </c>
      <c r="N249" t="s">
        <v>28</v>
      </c>
      <c r="O249" t="s">
        <v>471</v>
      </c>
      <c r="P249" t="s">
        <v>472</v>
      </c>
      <c r="Q249" t="s">
        <v>473</v>
      </c>
    </row>
    <row r="250" spans="1:17" ht="14.25" customHeight="1" x14ac:dyDescent="0.35">
      <c r="A250" t="s">
        <v>432</v>
      </c>
      <c r="B250">
        <v>8</v>
      </c>
      <c r="C250" t="s">
        <v>685</v>
      </c>
      <c r="D250" t="s">
        <v>421</v>
      </c>
      <c r="E250" t="s">
        <v>25</v>
      </c>
      <c r="F250" t="s">
        <v>62</v>
      </c>
      <c r="G250">
        <v>442</v>
      </c>
      <c r="H250">
        <v>0</v>
      </c>
      <c r="I250">
        <v>0</v>
      </c>
      <c r="J250">
        <v>0</v>
      </c>
      <c r="K250">
        <v>9.0000000000000002E-6</v>
      </c>
      <c r="L250">
        <v>0.33338800000000002</v>
      </c>
      <c r="M250" t="s">
        <v>27</v>
      </c>
      <c r="N250" t="s">
        <v>63</v>
      </c>
      <c r="O250" t="s">
        <v>471</v>
      </c>
      <c r="P250" t="s">
        <v>472</v>
      </c>
      <c r="Q250" t="s">
        <v>473</v>
      </c>
    </row>
    <row r="251" spans="1:17" ht="14.25" customHeight="1" x14ac:dyDescent="0.35">
      <c r="A251" t="s">
        <v>432</v>
      </c>
      <c r="B251">
        <v>9</v>
      </c>
      <c r="C251" t="s">
        <v>686</v>
      </c>
      <c r="D251" t="s">
        <v>421</v>
      </c>
      <c r="E251" t="s">
        <v>25</v>
      </c>
      <c r="F251" t="s">
        <v>34</v>
      </c>
      <c r="G251">
        <v>2288</v>
      </c>
      <c r="H251">
        <v>1664</v>
      </c>
      <c r="I251">
        <v>309</v>
      </c>
      <c r="J251">
        <v>0</v>
      </c>
      <c r="K251">
        <v>4.0400000000000001E-4</v>
      </c>
      <c r="L251">
        <v>3.485274</v>
      </c>
      <c r="M251" t="s">
        <v>27</v>
      </c>
      <c r="N251" t="s">
        <v>28</v>
      </c>
      <c r="O251" t="s">
        <v>471</v>
      </c>
      <c r="P251" t="s">
        <v>472</v>
      </c>
      <c r="Q251" t="s">
        <v>473</v>
      </c>
    </row>
    <row r="252" spans="1:17" ht="14.25" customHeight="1" x14ac:dyDescent="0.35">
      <c r="A252" t="s">
        <v>432</v>
      </c>
      <c r="B252">
        <v>10</v>
      </c>
      <c r="C252" t="s">
        <v>686</v>
      </c>
      <c r="D252" t="s">
        <v>421</v>
      </c>
      <c r="E252" t="s">
        <v>25</v>
      </c>
      <c r="F252" t="s">
        <v>62</v>
      </c>
      <c r="G252">
        <v>74</v>
      </c>
      <c r="H252">
        <v>0</v>
      </c>
      <c r="I252">
        <v>0</v>
      </c>
      <c r="J252">
        <v>0</v>
      </c>
      <c r="K252">
        <v>9.9999999999999995E-7</v>
      </c>
      <c r="L252">
        <v>0.203011</v>
      </c>
      <c r="M252" t="s">
        <v>27</v>
      </c>
      <c r="N252" t="s">
        <v>63</v>
      </c>
      <c r="O252" t="s">
        <v>471</v>
      </c>
      <c r="P252" t="s">
        <v>472</v>
      </c>
      <c r="Q252" t="s">
        <v>473</v>
      </c>
    </row>
    <row r="253" spans="1:17" ht="14.25" customHeight="1" x14ac:dyDescent="0.35">
      <c r="A253" t="s">
        <v>432</v>
      </c>
      <c r="B253">
        <v>11</v>
      </c>
      <c r="C253" t="s">
        <v>687</v>
      </c>
      <c r="D253" t="s">
        <v>421</v>
      </c>
      <c r="E253" t="s">
        <v>25</v>
      </c>
      <c r="F253" t="s">
        <v>34</v>
      </c>
      <c r="G253">
        <v>1883</v>
      </c>
      <c r="H253">
        <v>1024</v>
      </c>
      <c r="I253">
        <v>298</v>
      </c>
      <c r="J253">
        <v>0</v>
      </c>
      <c r="K253">
        <v>3.8400000000000001E-4</v>
      </c>
      <c r="L253">
        <v>3.1122770000000002</v>
      </c>
      <c r="M253" t="s">
        <v>27</v>
      </c>
      <c r="N253" t="s">
        <v>28</v>
      </c>
      <c r="O253" t="s">
        <v>471</v>
      </c>
      <c r="P253" t="s">
        <v>472</v>
      </c>
      <c r="Q253" t="s">
        <v>473</v>
      </c>
    </row>
    <row r="254" spans="1:17" ht="14.25" customHeight="1" x14ac:dyDescent="0.35">
      <c r="A254" t="s">
        <v>432</v>
      </c>
      <c r="B254">
        <v>12</v>
      </c>
      <c r="C254" t="s">
        <v>687</v>
      </c>
      <c r="D254" t="s">
        <v>421</v>
      </c>
      <c r="E254" t="s">
        <v>25</v>
      </c>
      <c r="F254" t="s">
        <v>62</v>
      </c>
      <c r="G254">
        <v>83</v>
      </c>
      <c r="H254">
        <v>0</v>
      </c>
      <c r="I254">
        <v>0</v>
      </c>
      <c r="J254">
        <v>0</v>
      </c>
      <c r="K254">
        <v>1.9999999999999999E-6</v>
      </c>
      <c r="L254">
        <v>0.20757200000000001</v>
      </c>
      <c r="M254" t="s">
        <v>27</v>
      </c>
      <c r="N254" t="s">
        <v>63</v>
      </c>
      <c r="O254" t="s">
        <v>471</v>
      </c>
      <c r="P254" t="s">
        <v>472</v>
      </c>
      <c r="Q254" t="s">
        <v>473</v>
      </c>
    </row>
    <row r="255" spans="1:17" ht="14.25" customHeight="1" x14ac:dyDescent="0.35">
      <c r="A255" t="s">
        <v>432</v>
      </c>
      <c r="B255">
        <v>13</v>
      </c>
      <c r="C255" t="s">
        <v>688</v>
      </c>
      <c r="D255" t="s">
        <v>421</v>
      </c>
      <c r="E255" t="s">
        <v>25</v>
      </c>
      <c r="F255" t="s">
        <v>34</v>
      </c>
      <c r="G255">
        <v>1893</v>
      </c>
      <c r="H255">
        <v>1792</v>
      </c>
      <c r="I255">
        <v>325</v>
      </c>
      <c r="J255">
        <v>0</v>
      </c>
      <c r="K255">
        <v>3.4499999999999998E-4</v>
      </c>
      <c r="L255">
        <v>3.6290909999999998</v>
      </c>
      <c r="M255" t="s">
        <v>27</v>
      </c>
      <c r="N255" t="s">
        <v>28</v>
      </c>
      <c r="O255" t="s">
        <v>471</v>
      </c>
      <c r="P255" t="s">
        <v>472</v>
      </c>
      <c r="Q255" t="s">
        <v>473</v>
      </c>
    </row>
    <row r="256" spans="1:17" ht="14.25" customHeight="1" x14ac:dyDescent="0.35">
      <c r="A256" t="s">
        <v>432</v>
      </c>
      <c r="B256">
        <v>14</v>
      </c>
      <c r="C256" t="s">
        <v>688</v>
      </c>
      <c r="D256" t="s">
        <v>421</v>
      </c>
      <c r="E256" t="s">
        <v>25</v>
      </c>
      <c r="F256" t="s">
        <v>62</v>
      </c>
      <c r="G256">
        <v>74</v>
      </c>
      <c r="H256">
        <v>0</v>
      </c>
      <c r="I256">
        <v>0</v>
      </c>
      <c r="J256">
        <v>0</v>
      </c>
      <c r="K256">
        <v>9.9999999999999995E-7</v>
      </c>
      <c r="L256">
        <v>0.298628</v>
      </c>
      <c r="M256" t="s">
        <v>27</v>
      </c>
      <c r="N256" t="s">
        <v>63</v>
      </c>
      <c r="O256" t="s">
        <v>471</v>
      </c>
      <c r="P256" t="s">
        <v>472</v>
      </c>
      <c r="Q256" t="s">
        <v>473</v>
      </c>
    </row>
    <row r="257" spans="1:17" ht="14.25" customHeight="1" x14ac:dyDescent="0.35">
      <c r="A257" t="s">
        <v>432</v>
      </c>
      <c r="B257">
        <v>15</v>
      </c>
      <c r="C257" t="s">
        <v>689</v>
      </c>
      <c r="D257" t="s">
        <v>421</v>
      </c>
      <c r="E257" t="s">
        <v>25</v>
      </c>
      <c r="F257" t="s">
        <v>34</v>
      </c>
      <c r="G257">
        <v>1883</v>
      </c>
      <c r="H257">
        <v>1664</v>
      </c>
      <c r="I257">
        <v>291</v>
      </c>
      <c r="J257">
        <v>0</v>
      </c>
      <c r="K257">
        <v>3.3199999999999999E-4</v>
      </c>
      <c r="L257">
        <v>3.4189769999999999</v>
      </c>
      <c r="M257" t="s">
        <v>27</v>
      </c>
      <c r="N257" t="s">
        <v>28</v>
      </c>
      <c r="O257" t="s">
        <v>471</v>
      </c>
      <c r="P257" t="s">
        <v>472</v>
      </c>
      <c r="Q257" t="s">
        <v>473</v>
      </c>
    </row>
    <row r="258" spans="1:17" ht="14.25" customHeight="1" x14ac:dyDescent="0.35">
      <c r="A258" t="s">
        <v>432</v>
      </c>
      <c r="B258">
        <v>16</v>
      </c>
      <c r="C258" t="s">
        <v>689</v>
      </c>
      <c r="D258" t="s">
        <v>421</v>
      </c>
      <c r="E258" t="s">
        <v>25</v>
      </c>
      <c r="F258" t="s">
        <v>62</v>
      </c>
      <c r="G258">
        <v>36</v>
      </c>
      <c r="H258">
        <v>0</v>
      </c>
      <c r="I258">
        <v>0</v>
      </c>
      <c r="J258">
        <v>0</v>
      </c>
      <c r="K258">
        <v>9.9999999999999995E-7</v>
      </c>
      <c r="L258">
        <v>0.71892699999999998</v>
      </c>
      <c r="M258" t="s">
        <v>27</v>
      </c>
      <c r="N258" t="s">
        <v>63</v>
      </c>
      <c r="O258" t="s">
        <v>471</v>
      </c>
      <c r="P258" t="s">
        <v>472</v>
      </c>
      <c r="Q258" t="s">
        <v>473</v>
      </c>
    </row>
    <row r="259" spans="1:17" ht="14.25" customHeight="1" x14ac:dyDescent="0.35">
      <c r="A259" t="s">
        <v>432</v>
      </c>
      <c r="B259">
        <v>17</v>
      </c>
      <c r="C259" t="s">
        <v>690</v>
      </c>
      <c r="D259" t="s">
        <v>421</v>
      </c>
      <c r="E259" t="s">
        <v>25</v>
      </c>
      <c r="F259" t="s">
        <v>34</v>
      </c>
      <c r="G259">
        <v>2369</v>
      </c>
      <c r="H259">
        <v>2304</v>
      </c>
      <c r="I259">
        <v>10</v>
      </c>
      <c r="J259">
        <v>0</v>
      </c>
      <c r="K259">
        <v>1.8900000000000001E-4</v>
      </c>
      <c r="L259">
        <v>1.7469730000000001</v>
      </c>
      <c r="M259" t="s">
        <v>27</v>
      </c>
      <c r="N259" t="s">
        <v>28</v>
      </c>
      <c r="O259" t="s">
        <v>471</v>
      </c>
      <c r="P259" t="s">
        <v>472</v>
      </c>
      <c r="Q259" t="s">
        <v>473</v>
      </c>
    </row>
    <row r="260" spans="1:17" ht="14.25" customHeight="1" x14ac:dyDescent="0.35">
      <c r="A260" t="s">
        <v>432</v>
      </c>
      <c r="B260">
        <v>18</v>
      </c>
      <c r="C260" t="s">
        <v>690</v>
      </c>
      <c r="D260" t="s">
        <v>421</v>
      </c>
      <c r="E260" t="s">
        <v>25</v>
      </c>
      <c r="F260" t="s">
        <v>62</v>
      </c>
      <c r="G260">
        <v>99</v>
      </c>
      <c r="H260">
        <v>0</v>
      </c>
      <c r="I260">
        <v>0</v>
      </c>
      <c r="J260">
        <v>0</v>
      </c>
      <c r="K260">
        <v>1.9999999999999999E-6</v>
      </c>
      <c r="L260">
        <v>0.299738</v>
      </c>
      <c r="M260" t="s">
        <v>27</v>
      </c>
      <c r="N260" t="s">
        <v>63</v>
      </c>
      <c r="O260" t="s">
        <v>471</v>
      </c>
      <c r="P260" t="s">
        <v>472</v>
      </c>
      <c r="Q260" t="s">
        <v>473</v>
      </c>
    </row>
    <row r="261" spans="1:17" ht="14.25" customHeight="1" x14ac:dyDescent="0.35">
      <c r="A261" t="s">
        <v>432</v>
      </c>
      <c r="B261">
        <v>19</v>
      </c>
      <c r="C261" t="s">
        <v>691</v>
      </c>
      <c r="D261" t="s">
        <v>421</v>
      </c>
      <c r="E261" t="s">
        <v>25</v>
      </c>
      <c r="F261" t="s">
        <v>34</v>
      </c>
      <c r="G261">
        <v>2774</v>
      </c>
      <c r="H261">
        <v>0</v>
      </c>
      <c r="I261">
        <v>201</v>
      </c>
      <c r="J261">
        <v>0</v>
      </c>
      <c r="K261">
        <v>5.3700000000000004E-4</v>
      </c>
      <c r="L261">
        <v>2.9756170000000002</v>
      </c>
      <c r="M261" t="s">
        <v>27</v>
      </c>
      <c r="N261" t="s">
        <v>28</v>
      </c>
      <c r="O261" t="s">
        <v>471</v>
      </c>
      <c r="P261" t="s">
        <v>472</v>
      </c>
      <c r="Q261" t="s">
        <v>473</v>
      </c>
    </row>
    <row r="262" spans="1:17" ht="14.25" customHeight="1" x14ac:dyDescent="0.35">
      <c r="A262" t="s">
        <v>432</v>
      </c>
      <c r="B262">
        <v>20</v>
      </c>
      <c r="C262" t="s">
        <v>691</v>
      </c>
      <c r="D262" t="s">
        <v>421</v>
      </c>
      <c r="E262" t="s">
        <v>25</v>
      </c>
      <c r="F262" t="s">
        <v>62</v>
      </c>
      <c r="G262">
        <v>442</v>
      </c>
      <c r="H262">
        <v>0</v>
      </c>
      <c r="I262">
        <v>0</v>
      </c>
      <c r="J262">
        <v>0</v>
      </c>
      <c r="K262">
        <v>9.0000000000000002E-6</v>
      </c>
      <c r="L262">
        <v>0.30352499999999999</v>
      </c>
      <c r="M262" t="s">
        <v>27</v>
      </c>
      <c r="N262" t="s">
        <v>63</v>
      </c>
      <c r="O262" t="s">
        <v>471</v>
      </c>
      <c r="P262" t="s">
        <v>472</v>
      </c>
      <c r="Q262" t="s">
        <v>473</v>
      </c>
    </row>
    <row r="263" spans="1:17" ht="14.25" customHeight="1" x14ac:dyDescent="0.35">
      <c r="A263" t="s">
        <v>432</v>
      </c>
      <c r="B263">
        <v>21</v>
      </c>
      <c r="C263" t="s">
        <v>692</v>
      </c>
      <c r="D263" t="s">
        <v>421</v>
      </c>
      <c r="E263" t="s">
        <v>25</v>
      </c>
      <c r="F263" t="s">
        <v>34</v>
      </c>
      <c r="G263">
        <v>3914</v>
      </c>
      <c r="H263">
        <v>3840</v>
      </c>
      <c r="I263">
        <v>323</v>
      </c>
      <c r="J263">
        <v>0</v>
      </c>
      <c r="K263">
        <v>4.9299999999999995E-4</v>
      </c>
      <c r="L263">
        <v>3.7007289999999999</v>
      </c>
      <c r="M263" t="s">
        <v>27</v>
      </c>
      <c r="N263" t="s">
        <v>28</v>
      </c>
      <c r="O263" t="s">
        <v>471</v>
      </c>
      <c r="P263" t="s">
        <v>472</v>
      </c>
      <c r="Q263" t="s">
        <v>473</v>
      </c>
    </row>
    <row r="264" spans="1:17" ht="14.25" customHeight="1" x14ac:dyDescent="0.35">
      <c r="A264" t="s">
        <v>432</v>
      </c>
      <c r="B264">
        <v>22</v>
      </c>
      <c r="C264" t="s">
        <v>693</v>
      </c>
      <c r="D264" t="s">
        <v>421</v>
      </c>
      <c r="E264" t="s">
        <v>25</v>
      </c>
      <c r="F264" t="s">
        <v>62</v>
      </c>
      <c r="G264">
        <v>74</v>
      </c>
      <c r="H264">
        <v>0</v>
      </c>
      <c r="I264">
        <v>0</v>
      </c>
      <c r="J264">
        <v>0</v>
      </c>
      <c r="K264">
        <v>9.9999999999999995E-7</v>
      </c>
      <c r="L264">
        <v>0.29913899999999999</v>
      </c>
      <c r="M264" t="s">
        <v>27</v>
      </c>
      <c r="N264" t="s">
        <v>63</v>
      </c>
      <c r="O264" t="s">
        <v>471</v>
      </c>
      <c r="P264" t="s">
        <v>472</v>
      </c>
      <c r="Q264" t="s">
        <v>473</v>
      </c>
    </row>
    <row r="265" spans="1:17" ht="14.25" customHeight="1" x14ac:dyDescent="0.35">
      <c r="A265" t="s">
        <v>432</v>
      </c>
      <c r="B265">
        <v>23</v>
      </c>
      <c r="C265" t="s">
        <v>694</v>
      </c>
      <c r="D265" t="s">
        <v>421</v>
      </c>
      <c r="E265" t="s">
        <v>25</v>
      </c>
      <c r="F265" t="s">
        <v>34</v>
      </c>
      <c r="G265">
        <v>3920</v>
      </c>
      <c r="H265">
        <v>3840</v>
      </c>
      <c r="I265">
        <v>275</v>
      </c>
      <c r="J265">
        <v>0</v>
      </c>
      <c r="K265">
        <v>4.6500000000000003E-4</v>
      </c>
      <c r="L265">
        <v>2.7699699999999998</v>
      </c>
      <c r="M265" t="s">
        <v>27</v>
      </c>
      <c r="N265" t="s">
        <v>28</v>
      </c>
      <c r="O265" t="s">
        <v>471</v>
      </c>
      <c r="P265" t="s">
        <v>472</v>
      </c>
      <c r="Q265" t="s">
        <v>473</v>
      </c>
    </row>
    <row r="266" spans="1:17" ht="14.25" customHeight="1" x14ac:dyDescent="0.35">
      <c r="A266" t="s">
        <v>432</v>
      </c>
      <c r="B266">
        <v>24</v>
      </c>
      <c r="C266" t="s">
        <v>694</v>
      </c>
      <c r="D266" t="s">
        <v>421</v>
      </c>
      <c r="E266" t="s">
        <v>25</v>
      </c>
      <c r="F266" t="s">
        <v>62</v>
      </c>
      <c r="G266">
        <v>83</v>
      </c>
      <c r="H266">
        <v>0</v>
      </c>
      <c r="I266">
        <v>0</v>
      </c>
      <c r="J266">
        <v>0</v>
      </c>
      <c r="K266">
        <v>1.9999999999999999E-6</v>
      </c>
      <c r="L266">
        <v>0.29893599999999998</v>
      </c>
      <c r="M266" t="s">
        <v>27</v>
      </c>
      <c r="N266" t="s">
        <v>63</v>
      </c>
      <c r="O266" t="s">
        <v>471</v>
      </c>
      <c r="P266" t="s">
        <v>472</v>
      </c>
      <c r="Q266" t="s">
        <v>473</v>
      </c>
    </row>
    <row r="267" spans="1:17" ht="14.25" customHeight="1" x14ac:dyDescent="0.35">
      <c r="A267" t="s">
        <v>432</v>
      </c>
      <c r="B267">
        <v>25</v>
      </c>
      <c r="C267" t="s">
        <v>695</v>
      </c>
      <c r="D267" t="s">
        <v>421</v>
      </c>
      <c r="E267" t="s">
        <v>25</v>
      </c>
      <c r="F267" t="s">
        <v>34</v>
      </c>
      <c r="G267">
        <v>3973</v>
      </c>
      <c r="H267">
        <v>0</v>
      </c>
      <c r="I267">
        <v>260</v>
      </c>
      <c r="J267">
        <v>0</v>
      </c>
      <c r="K267">
        <v>7.5199999999999996E-4</v>
      </c>
      <c r="L267">
        <v>3.076883</v>
      </c>
      <c r="M267" t="s">
        <v>27</v>
      </c>
      <c r="N267" t="s">
        <v>28</v>
      </c>
      <c r="O267" t="s">
        <v>471</v>
      </c>
      <c r="P267" t="s">
        <v>472</v>
      </c>
      <c r="Q267" t="s">
        <v>473</v>
      </c>
    </row>
    <row r="268" spans="1:17" ht="14.25" customHeight="1" x14ac:dyDescent="0.35">
      <c r="A268" t="s">
        <v>432</v>
      </c>
      <c r="B268">
        <v>26</v>
      </c>
      <c r="C268" t="s">
        <v>696</v>
      </c>
      <c r="D268" t="s">
        <v>421</v>
      </c>
      <c r="E268" t="s">
        <v>25</v>
      </c>
      <c r="F268" t="s">
        <v>62</v>
      </c>
      <c r="G268">
        <v>74</v>
      </c>
      <c r="H268">
        <v>0</v>
      </c>
      <c r="I268">
        <v>0</v>
      </c>
      <c r="J268">
        <v>0</v>
      </c>
      <c r="K268">
        <v>9.9999999999999995E-7</v>
      </c>
      <c r="L268">
        <v>0.29453299999999999</v>
      </c>
      <c r="M268" t="s">
        <v>27</v>
      </c>
      <c r="N268" t="s">
        <v>63</v>
      </c>
      <c r="O268" t="s">
        <v>471</v>
      </c>
      <c r="P268" t="s">
        <v>472</v>
      </c>
      <c r="Q268" t="s">
        <v>473</v>
      </c>
    </row>
    <row r="269" spans="1:17" ht="14.25" customHeight="1" x14ac:dyDescent="0.35">
      <c r="A269" t="s">
        <v>432</v>
      </c>
      <c r="B269">
        <v>27</v>
      </c>
      <c r="C269" t="s">
        <v>697</v>
      </c>
      <c r="D269" t="s">
        <v>421</v>
      </c>
      <c r="E269" t="s">
        <v>25</v>
      </c>
      <c r="F269" t="s">
        <v>34</v>
      </c>
      <c r="G269">
        <v>2868</v>
      </c>
      <c r="H269">
        <v>0</v>
      </c>
      <c r="I269">
        <v>248</v>
      </c>
      <c r="J269">
        <v>0</v>
      </c>
      <c r="K269">
        <v>5.7899999999999998E-4</v>
      </c>
      <c r="L269">
        <v>2.9332180000000001</v>
      </c>
      <c r="M269" t="s">
        <v>27</v>
      </c>
      <c r="N269" t="s">
        <v>28</v>
      </c>
      <c r="O269" t="s">
        <v>471</v>
      </c>
      <c r="P269" t="s">
        <v>472</v>
      </c>
      <c r="Q269" t="s">
        <v>473</v>
      </c>
    </row>
    <row r="270" spans="1:17" ht="14.25" customHeight="1" x14ac:dyDescent="0.35">
      <c r="A270" t="s">
        <v>432</v>
      </c>
      <c r="B270">
        <v>28</v>
      </c>
      <c r="C270" t="s">
        <v>698</v>
      </c>
      <c r="D270" t="s">
        <v>421</v>
      </c>
      <c r="E270" t="s">
        <v>25</v>
      </c>
      <c r="F270" t="s">
        <v>62</v>
      </c>
      <c r="G270">
        <v>36</v>
      </c>
      <c r="H270">
        <v>0</v>
      </c>
      <c r="I270">
        <v>0</v>
      </c>
      <c r="J270">
        <v>0</v>
      </c>
      <c r="K270">
        <v>9.9999999999999995E-7</v>
      </c>
      <c r="L270">
        <v>0.52180400000000005</v>
      </c>
      <c r="M270" t="s">
        <v>27</v>
      </c>
      <c r="N270" t="s">
        <v>63</v>
      </c>
      <c r="O270" t="s">
        <v>471</v>
      </c>
      <c r="P270" t="s">
        <v>472</v>
      </c>
      <c r="Q270" t="s">
        <v>473</v>
      </c>
    </row>
    <row r="271" spans="1:17" ht="14.25" customHeight="1" x14ac:dyDescent="0.35">
      <c r="A271" t="s">
        <v>432</v>
      </c>
      <c r="B271">
        <v>29</v>
      </c>
      <c r="C271" t="s">
        <v>699</v>
      </c>
      <c r="D271" t="s">
        <v>421</v>
      </c>
      <c r="E271" t="s">
        <v>25</v>
      </c>
      <c r="F271" t="s">
        <v>34</v>
      </c>
      <c r="G271">
        <v>2538</v>
      </c>
      <c r="H271">
        <v>0</v>
      </c>
      <c r="I271">
        <v>15</v>
      </c>
      <c r="J271">
        <v>0</v>
      </c>
      <c r="K271">
        <v>3.8999999999999999E-4</v>
      </c>
      <c r="L271">
        <v>1.413516</v>
      </c>
      <c r="M271" t="s">
        <v>27</v>
      </c>
      <c r="N271" t="s">
        <v>28</v>
      </c>
      <c r="O271" t="s">
        <v>471</v>
      </c>
      <c r="P271" t="s">
        <v>472</v>
      </c>
      <c r="Q271" t="s">
        <v>473</v>
      </c>
    </row>
    <row r="272" spans="1:17" ht="14.25" customHeight="1" x14ac:dyDescent="0.35">
      <c r="A272" t="s">
        <v>432</v>
      </c>
      <c r="B272">
        <v>30</v>
      </c>
      <c r="C272" t="s">
        <v>699</v>
      </c>
      <c r="D272" t="s">
        <v>421</v>
      </c>
      <c r="E272" t="s">
        <v>25</v>
      </c>
      <c r="F272" t="s">
        <v>62</v>
      </c>
      <c r="G272">
        <v>99</v>
      </c>
      <c r="H272">
        <v>0</v>
      </c>
      <c r="I272">
        <v>0</v>
      </c>
      <c r="J272">
        <v>0</v>
      </c>
      <c r="K272">
        <v>1.9999999999999999E-6</v>
      </c>
      <c r="L272">
        <v>0.39557599999999998</v>
      </c>
      <c r="M272" t="s">
        <v>27</v>
      </c>
      <c r="N272" t="s">
        <v>63</v>
      </c>
      <c r="O272" t="s">
        <v>471</v>
      </c>
      <c r="P272" t="s">
        <v>472</v>
      </c>
      <c r="Q272" t="s">
        <v>473</v>
      </c>
    </row>
    <row r="273" spans="1:17" ht="14.25" customHeight="1" x14ac:dyDescent="0.35">
      <c r="A273" t="s">
        <v>432</v>
      </c>
      <c r="B273">
        <v>31</v>
      </c>
      <c r="C273" t="s">
        <v>700</v>
      </c>
      <c r="D273" t="s">
        <v>421</v>
      </c>
      <c r="E273" t="s">
        <v>25</v>
      </c>
      <c r="F273" t="s">
        <v>34</v>
      </c>
      <c r="G273">
        <v>3612</v>
      </c>
      <c r="H273">
        <v>0</v>
      </c>
      <c r="I273">
        <v>181</v>
      </c>
      <c r="J273">
        <v>0</v>
      </c>
      <c r="K273">
        <v>6.4999999999999997E-4</v>
      </c>
      <c r="L273">
        <v>2.7441520000000001</v>
      </c>
      <c r="M273" t="s">
        <v>27</v>
      </c>
      <c r="N273" t="s">
        <v>28</v>
      </c>
      <c r="O273" t="s">
        <v>471</v>
      </c>
      <c r="P273" t="s">
        <v>472</v>
      </c>
      <c r="Q273" t="s">
        <v>473</v>
      </c>
    </row>
    <row r="274" spans="1:17" ht="14.25" customHeight="1" x14ac:dyDescent="0.35">
      <c r="A274" t="s">
        <v>432</v>
      </c>
      <c r="B274">
        <v>32</v>
      </c>
      <c r="C274" t="s">
        <v>701</v>
      </c>
      <c r="D274" t="s">
        <v>421</v>
      </c>
      <c r="E274" t="s">
        <v>25</v>
      </c>
      <c r="F274" t="s">
        <v>62</v>
      </c>
      <c r="G274">
        <v>442</v>
      </c>
      <c r="H274">
        <v>0</v>
      </c>
      <c r="I274">
        <v>0</v>
      </c>
      <c r="J274">
        <v>0</v>
      </c>
      <c r="K274">
        <v>9.0000000000000002E-6</v>
      </c>
      <c r="L274">
        <v>0.29693799999999998</v>
      </c>
      <c r="M274" t="s">
        <v>27</v>
      </c>
      <c r="N274" t="s">
        <v>63</v>
      </c>
      <c r="O274" t="s">
        <v>471</v>
      </c>
      <c r="P274" t="s">
        <v>472</v>
      </c>
      <c r="Q274" t="s">
        <v>473</v>
      </c>
    </row>
    <row r="275" spans="1:17" ht="14.25" customHeight="1" x14ac:dyDescent="0.35">
      <c r="A275" t="s">
        <v>432</v>
      </c>
      <c r="B275">
        <v>33</v>
      </c>
      <c r="C275" t="s">
        <v>702</v>
      </c>
      <c r="D275" t="s">
        <v>421</v>
      </c>
      <c r="E275" t="s">
        <v>25</v>
      </c>
      <c r="F275" t="s">
        <v>34</v>
      </c>
      <c r="G275">
        <v>3465</v>
      </c>
      <c r="H275">
        <v>0</v>
      </c>
      <c r="I275">
        <v>270</v>
      </c>
      <c r="J275">
        <v>0</v>
      </c>
      <c r="K275">
        <v>6.8199999999999999E-4</v>
      </c>
      <c r="L275">
        <v>3.4719340000000001</v>
      </c>
      <c r="M275" t="s">
        <v>27</v>
      </c>
      <c r="N275" t="s">
        <v>28</v>
      </c>
      <c r="O275" t="s">
        <v>471</v>
      </c>
      <c r="P275" t="s">
        <v>472</v>
      </c>
      <c r="Q275" t="s">
        <v>473</v>
      </c>
    </row>
    <row r="276" spans="1:17" ht="14.25" customHeight="1" x14ac:dyDescent="0.35">
      <c r="A276" t="s">
        <v>432</v>
      </c>
      <c r="B276">
        <v>34</v>
      </c>
      <c r="C276" t="s">
        <v>702</v>
      </c>
      <c r="D276" t="s">
        <v>421</v>
      </c>
      <c r="E276" t="s">
        <v>25</v>
      </c>
      <c r="F276" t="s">
        <v>62</v>
      </c>
      <c r="G276">
        <v>74</v>
      </c>
      <c r="H276">
        <v>0</v>
      </c>
      <c r="I276">
        <v>0</v>
      </c>
      <c r="J276">
        <v>0</v>
      </c>
      <c r="K276">
        <v>9.9999999999999995E-7</v>
      </c>
      <c r="L276">
        <v>0.30464799999999997</v>
      </c>
      <c r="M276" t="s">
        <v>27</v>
      </c>
      <c r="N276" t="s">
        <v>63</v>
      </c>
      <c r="O276" t="s">
        <v>471</v>
      </c>
      <c r="P276" t="s">
        <v>472</v>
      </c>
      <c r="Q276" t="s">
        <v>473</v>
      </c>
    </row>
    <row r="277" spans="1:17" ht="14.25" customHeight="1" x14ac:dyDescent="0.35">
      <c r="A277" t="s">
        <v>432</v>
      </c>
      <c r="B277">
        <v>35</v>
      </c>
      <c r="C277" t="s">
        <v>703</v>
      </c>
      <c r="D277" t="s">
        <v>421</v>
      </c>
      <c r="E277" t="s">
        <v>25</v>
      </c>
      <c r="F277" t="s">
        <v>34</v>
      </c>
      <c r="G277">
        <v>3857</v>
      </c>
      <c r="H277">
        <v>0</v>
      </c>
      <c r="I277">
        <v>289</v>
      </c>
      <c r="J277">
        <v>0</v>
      </c>
      <c r="K277">
        <v>7.5199999999999996E-4</v>
      </c>
      <c r="L277">
        <v>3.003031</v>
      </c>
      <c r="M277" t="s">
        <v>27</v>
      </c>
      <c r="N277" t="s">
        <v>28</v>
      </c>
      <c r="O277" t="s">
        <v>471</v>
      </c>
      <c r="P277" t="s">
        <v>472</v>
      </c>
      <c r="Q277" t="s">
        <v>473</v>
      </c>
    </row>
    <row r="278" spans="1:17" ht="14.25" customHeight="1" x14ac:dyDescent="0.35">
      <c r="A278" t="s">
        <v>432</v>
      </c>
      <c r="B278">
        <v>36</v>
      </c>
      <c r="C278" t="s">
        <v>704</v>
      </c>
      <c r="D278" t="s">
        <v>421</v>
      </c>
      <c r="E278" t="s">
        <v>25</v>
      </c>
      <c r="F278" t="s">
        <v>62</v>
      </c>
      <c r="G278">
        <v>83</v>
      </c>
      <c r="H278">
        <v>0</v>
      </c>
      <c r="I278">
        <v>0</v>
      </c>
      <c r="J278">
        <v>0</v>
      </c>
      <c r="K278">
        <v>1.9999999999999999E-6</v>
      </c>
      <c r="L278">
        <v>0.86862899999999998</v>
      </c>
      <c r="M278" t="s">
        <v>27</v>
      </c>
      <c r="N278" t="s">
        <v>63</v>
      </c>
      <c r="O278" t="s">
        <v>471</v>
      </c>
      <c r="P278" t="s">
        <v>472</v>
      </c>
      <c r="Q278" t="s">
        <v>473</v>
      </c>
    </row>
    <row r="279" spans="1:17" ht="14.25" customHeight="1" x14ac:dyDescent="0.35">
      <c r="A279" t="s">
        <v>432</v>
      </c>
      <c r="B279">
        <v>37</v>
      </c>
      <c r="C279" t="s">
        <v>705</v>
      </c>
      <c r="D279" t="s">
        <v>421</v>
      </c>
      <c r="E279" t="s">
        <v>25</v>
      </c>
      <c r="F279" t="s">
        <v>34</v>
      </c>
      <c r="G279">
        <v>3909</v>
      </c>
      <c r="H279">
        <v>0</v>
      </c>
      <c r="I279">
        <v>309</v>
      </c>
      <c r="J279">
        <v>0</v>
      </c>
      <c r="K279">
        <v>7.7200000000000001E-4</v>
      </c>
      <c r="L279">
        <v>3.2557779999999998</v>
      </c>
      <c r="M279" t="s">
        <v>27</v>
      </c>
      <c r="N279" t="s">
        <v>28</v>
      </c>
      <c r="O279" t="s">
        <v>471</v>
      </c>
      <c r="P279" t="s">
        <v>472</v>
      </c>
      <c r="Q279" t="s">
        <v>473</v>
      </c>
    </row>
    <row r="280" spans="1:17" ht="14.25" customHeight="1" x14ac:dyDescent="0.35">
      <c r="A280" t="s">
        <v>432</v>
      </c>
      <c r="B280">
        <v>38</v>
      </c>
      <c r="C280" t="s">
        <v>705</v>
      </c>
      <c r="D280" t="s">
        <v>421</v>
      </c>
      <c r="E280" t="s">
        <v>25</v>
      </c>
      <c r="F280" t="s">
        <v>62</v>
      </c>
      <c r="G280">
        <v>74</v>
      </c>
      <c r="H280">
        <v>0</v>
      </c>
      <c r="I280">
        <v>0</v>
      </c>
      <c r="J280">
        <v>0</v>
      </c>
      <c r="K280">
        <v>9.9999999999999995E-7</v>
      </c>
      <c r="L280">
        <v>0.38923400000000002</v>
      </c>
      <c r="M280" t="s">
        <v>27</v>
      </c>
      <c r="N280" t="s">
        <v>63</v>
      </c>
      <c r="O280" t="s">
        <v>471</v>
      </c>
      <c r="P280" t="s">
        <v>472</v>
      </c>
      <c r="Q280" t="s">
        <v>473</v>
      </c>
    </row>
    <row r="281" spans="1:17" ht="14.25" customHeight="1" x14ac:dyDescent="0.35">
      <c r="A281" t="s">
        <v>432</v>
      </c>
      <c r="B281">
        <v>39</v>
      </c>
      <c r="C281" t="s">
        <v>706</v>
      </c>
      <c r="D281" t="s">
        <v>421</v>
      </c>
      <c r="E281" t="s">
        <v>25</v>
      </c>
      <c r="F281" t="s">
        <v>34</v>
      </c>
      <c r="G281">
        <v>3282</v>
      </c>
      <c r="H281">
        <v>0</v>
      </c>
      <c r="I281">
        <v>246</v>
      </c>
      <c r="J281">
        <v>0</v>
      </c>
      <c r="K281">
        <v>6.4000000000000005E-4</v>
      </c>
      <c r="L281">
        <v>2.545077</v>
      </c>
      <c r="M281" t="s">
        <v>27</v>
      </c>
      <c r="N281" t="s">
        <v>28</v>
      </c>
      <c r="O281" t="s">
        <v>471</v>
      </c>
      <c r="P281" t="s">
        <v>472</v>
      </c>
      <c r="Q281" t="s">
        <v>473</v>
      </c>
    </row>
    <row r="282" spans="1:17" ht="14.25" customHeight="1" x14ac:dyDescent="0.35">
      <c r="A282" t="s">
        <v>435</v>
      </c>
      <c r="B282">
        <v>1</v>
      </c>
      <c r="C282" t="s">
        <v>707</v>
      </c>
      <c r="D282" t="s">
        <v>24</v>
      </c>
      <c r="E282" t="s">
        <v>25</v>
      </c>
      <c r="F282" t="s">
        <v>26</v>
      </c>
      <c r="G282">
        <v>1173</v>
      </c>
      <c r="H282">
        <v>1024</v>
      </c>
      <c r="I282">
        <v>53</v>
      </c>
      <c r="J282">
        <v>0</v>
      </c>
      <c r="K282">
        <v>2.1819999999999999E-3</v>
      </c>
      <c r="L282">
        <v>1.7210589999999999</v>
      </c>
      <c r="M282" t="s">
        <v>27</v>
      </c>
      <c r="N282" t="s">
        <v>28</v>
      </c>
      <c r="O282" t="s">
        <v>29</v>
      </c>
      <c r="P282" t="s">
        <v>30</v>
      </c>
      <c r="Q282" t="s">
        <v>31</v>
      </c>
    </row>
    <row r="283" spans="1:17" ht="14.25" customHeight="1" x14ac:dyDescent="0.35">
      <c r="A283" t="s">
        <v>435</v>
      </c>
      <c r="B283">
        <v>2</v>
      </c>
      <c r="C283" t="s">
        <v>708</v>
      </c>
      <c r="D283" t="s">
        <v>421</v>
      </c>
      <c r="E283" t="s">
        <v>25</v>
      </c>
      <c r="F283" t="s">
        <v>34</v>
      </c>
      <c r="G283">
        <v>1584</v>
      </c>
      <c r="H283">
        <v>1024</v>
      </c>
      <c r="I283">
        <v>46</v>
      </c>
      <c r="J283">
        <v>0</v>
      </c>
      <c r="K283">
        <v>1.8799999999999999E-4</v>
      </c>
      <c r="L283">
        <v>1.782511</v>
      </c>
      <c r="M283" t="s">
        <v>27</v>
      </c>
      <c r="N283" t="s">
        <v>28</v>
      </c>
      <c r="O283" t="s">
        <v>463</v>
      </c>
      <c r="P283" t="s">
        <v>464</v>
      </c>
      <c r="Q283" t="s">
        <v>465</v>
      </c>
    </row>
    <row r="284" spans="1:17" ht="14.25" customHeight="1" x14ac:dyDescent="0.35">
      <c r="A284" t="s">
        <v>435</v>
      </c>
      <c r="B284">
        <v>3</v>
      </c>
      <c r="C284" t="s">
        <v>709</v>
      </c>
      <c r="D284" t="s">
        <v>421</v>
      </c>
      <c r="E284" t="s">
        <v>25</v>
      </c>
      <c r="F284" t="s">
        <v>26</v>
      </c>
      <c r="G284">
        <v>519</v>
      </c>
      <c r="H284">
        <v>0</v>
      </c>
      <c r="I284">
        <v>38</v>
      </c>
      <c r="J284">
        <v>0</v>
      </c>
      <c r="K284">
        <v>1.6770000000000001E-3</v>
      </c>
      <c r="L284">
        <v>1.8102229999999999</v>
      </c>
      <c r="M284" t="s">
        <v>27</v>
      </c>
      <c r="N284" t="s">
        <v>28</v>
      </c>
      <c r="O284" t="s">
        <v>467</v>
      </c>
      <c r="P284" t="s">
        <v>468</v>
      </c>
      <c r="Q284" t="s">
        <v>469</v>
      </c>
    </row>
    <row r="285" spans="1:17" ht="14.25" customHeight="1" x14ac:dyDescent="0.35">
      <c r="A285" t="s">
        <v>435</v>
      </c>
      <c r="B285">
        <v>4</v>
      </c>
      <c r="C285" t="s">
        <v>710</v>
      </c>
      <c r="D285" t="s">
        <v>24</v>
      </c>
      <c r="E285" t="s">
        <v>25</v>
      </c>
      <c r="F285" t="s">
        <v>26</v>
      </c>
      <c r="G285">
        <v>1247</v>
      </c>
      <c r="H285">
        <v>1024</v>
      </c>
      <c r="I285">
        <v>49</v>
      </c>
      <c r="J285">
        <v>0</v>
      </c>
      <c r="K285">
        <v>2.3280000000000002E-3</v>
      </c>
      <c r="L285">
        <v>2.5263270000000002</v>
      </c>
      <c r="M285" t="s">
        <v>27</v>
      </c>
      <c r="N285" t="s">
        <v>28</v>
      </c>
      <c r="O285" t="s">
        <v>29</v>
      </c>
      <c r="P285" t="s">
        <v>30</v>
      </c>
      <c r="Q285" t="s">
        <v>31</v>
      </c>
    </row>
    <row r="286" spans="1:17" ht="14.25" customHeight="1" x14ac:dyDescent="0.35">
      <c r="A286" t="s">
        <v>435</v>
      </c>
      <c r="B286">
        <v>5</v>
      </c>
      <c r="C286" t="s">
        <v>711</v>
      </c>
      <c r="D286" t="s">
        <v>460</v>
      </c>
      <c r="E286" t="s">
        <v>40</v>
      </c>
      <c r="F286" t="s">
        <v>41</v>
      </c>
      <c r="G286">
        <v>261</v>
      </c>
      <c r="H286">
        <v>0</v>
      </c>
      <c r="I286">
        <v>18</v>
      </c>
      <c r="J286">
        <v>5.0000000000000001E-3</v>
      </c>
      <c r="K286">
        <v>5.28E-3</v>
      </c>
      <c r="L286">
        <v>1.5298970000000001</v>
      </c>
      <c r="M286" t="s">
        <v>27</v>
      </c>
      <c r="N286" t="s">
        <v>42</v>
      </c>
      <c r="O286" t="s">
        <v>590</v>
      </c>
      <c r="P286" t="s">
        <v>591</v>
      </c>
      <c r="Q286" t="s">
        <v>592</v>
      </c>
    </row>
    <row r="287" spans="1:17" ht="14.25" customHeight="1" x14ac:dyDescent="0.35">
      <c r="A287" t="s">
        <v>435</v>
      </c>
      <c r="B287">
        <v>6</v>
      </c>
      <c r="C287" t="s">
        <v>712</v>
      </c>
      <c r="D287" t="s">
        <v>460</v>
      </c>
      <c r="E287" t="s">
        <v>40</v>
      </c>
      <c r="F287" t="s">
        <v>373</v>
      </c>
      <c r="G287">
        <v>811</v>
      </c>
      <c r="H287">
        <v>0</v>
      </c>
      <c r="I287">
        <v>181</v>
      </c>
      <c r="J287">
        <v>1.4E-2</v>
      </c>
      <c r="K287">
        <v>1.915E-2</v>
      </c>
      <c r="L287">
        <v>8.2438970000000005</v>
      </c>
      <c r="M287" t="s">
        <v>27</v>
      </c>
      <c r="N287" t="s">
        <v>594</v>
      </c>
      <c r="O287" t="s">
        <v>595</v>
      </c>
      <c r="P287" t="s">
        <v>596</v>
      </c>
      <c r="Q287" t="s">
        <v>597</v>
      </c>
    </row>
    <row r="288" spans="1:17" ht="14.25" customHeight="1" x14ac:dyDescent="0.35">
      <c r="A288" t="s">
        <v>435</v>
      </c>
      <c r="B288">
        <v>7</v>
      </c>
      <c r="C288" t="s">
        <v>713</v>
      </c>
      <c r="D288" t="s">
        <v>460</v>
      </c>
      <c r="E288" t="s">
        <v>47</v>
      </c>
      <c r="F288" t="s">
        <v>47</v>
      </c>
      <c r="G288">
        <v>0</v>
      </c>
      <c r="H288">
        <v>0</v>
      </c>
      <c r="I288">
        <v>0</v>
      </c>
      <c r="J288">
        <v>1E-3</v>
      </c>
      <c r="K288">
        <v>1E-3</v>
      </c>
      <c r="L288">
        <v>1.904442</v>
      </c>
      <c r="M288" t="s">
        <v>27</v>
      </c>
      <c r="N288" t="s">
        <v>48</v>
      </c>
      <c r="O288" t="s">
        <v>599</v>
      </c>
      <c r="P288" t="s">
        <v>600</v>
      </c>
      <c r="Q288" t="s">
        <v>601</v>
      </c>
    </row>
    <row r="289" spans="1:17" ht="14.25" customHeight="1" x14ac:dyDescent="0.35">
      <c r="A289" t="s">
        <v>435</v>
      </c>
      <c r="B289">
        <v>8</v>
      </c>
      <c r="C289" t="s">
        <v>714</v>
      </c>
      <c r="D289" t="s">
        <v>460</v>
      </c>
      <c r="E289" t="s">
        <v>40</v>
      </c>
      <c r="F289" t="s">
        <v>603</v>
      </c>
      <c r="G289">
        <v>0</v>
      </c>
      <c r="H289">
        <v>0</v>
      </c>
      <c r="I289">
        <v>0</v>
      </c>
      <c r="J289">
        <v>5.0000000000000001E-3</v>
      </c>
      <c r="K289">
        <v>5.0000000000000001E-3</v>
      </c>
      <c r="L289">
        <v>2.1027439999999999</v>
      </c>
      <c r="M289" t="s">
        <v>27</v>
      </c>
      <c r="N289" t="s">
        <v>604</v>
      </c>
      <c r="O289" t="s">
        <v>605</v>
      </c>
      <c r="P289" t="s">
        <v>606</v>
      </c>
      <c r="Q289" t="s">
        <v>607</v>
      </c>
    </row>
    <row r="290" spans="1:17" ht="14.25" customHeight="1" x14ac:dyDescent="0.35">
      <c r="A290" t="s">
        <v>435</v>
      </c>
      <c r="B290">
        <v>9</v>
      </c>
      <c r="C290" t="s">
        <v>715</v>
      </c>
      <c r="D290" t="s">
        <v>460</v>
      </c>
      <c r="E290" t="s">
        <v>47</v>
      </c>
      <c r="F290" t="s">
        <v>47</v>
      </c>
      <c r="G290">
        <v>0</v>
      </c>
      <c r="H290">
        <v>0</v>
      </c>
      <c r="I290">
        <v>0</v>
      </c>
      <c r="J290">
        <v>1E-3</v>
      </c>
      <c r="K290">
        <v>1E-3</v>
      </c>
      <c r="L290">
        <v>1.704766</v>
      </c>
      <c r="M290" t="s">
        <v>27</v>
      </c>
      <c r="N290" t="s">
        <v>48</v>
      </c>
      <c r="O290" t="s">
        <v>599</v>
      </c>
      <c r="P290" t="s">
        <v>600</v>
      </c>
      <c r="Q290" t="s">
        <v>601</v>
      </c>
    </row>
    <row r="291" spans="1:17" ht="14.25" customHeight="1" x14ac:dyDescent="0.35">
      <c r="A291" t="s">
        <v>435</v>
      </c>
      <c r="B291">
        <v>10</v>
      </c>
      <c r="C291" t="s">
        <v>716</v>
      </c>
      <c r="D291" t="s">
        <v>460</v>
      </c>
      <c r="E291" t="s">
        <v>40</v>
      </c>
      <c r="F291" t="s">
        <v>603</v>
      </c>
      <c r="G291">
        <v>0</v>
      </c>
      <c r="H291">
        <v>0</v>
      </c>
      <c r="I291">
        <v>0</v>
      </c>
      <c r="J291">
        <v>5.0000000000000001E-3</v>
      </c>
      <c r="K291">
        <v>5.0000000000000001E-3</v>
      </c>
      <c r="L291">
        <v>1.1879729999999999</v>
      </c>
      <c r="M291" t="s">
        <v>27</v>
      </c>
      <c r="N291" t="s">
        <v>604</v>
      </c>
      <c r="O291" t="s">
        <v>605</v>
      </c>
      <c r="P291" t="s">
        <v>606</v>
      </c>
      <c r="Q291" t="s">
        <v>607</v>
      </c>
    </row>
    <row r="292" spans="1:17" ht="14.25" customHeight="1" x14ac:dyDescent="0.35">
      <c r="A292" t="s">
        <v>435</v>
      </c>
      <c r="B292">
        <v>11</v>
      </c>
      <c r="C292" t="s">
        <v>717</v>
      </c>
      <c r="D292" t="s">
        <v>460</v>
      </c>
      <c r="E292" t="s">
        <v>47</v>
      </c>
      <c r="F292" t="s">
        <v>47</v>
      </c>
      <c r="G292">
        <v>0</v>
      </c>
      <c r="H292">
        <v>0</v>
      </c>
      <c r="I292">
        <v>0</v>
      </c>
      <c r="J292">
        <v>1E-3</v>
      </c>
      <c r="K292">
        <v>1E-3</v>
      </c>
      <c r="L292">
        <v>1.6950540000000001</v>
      </c>
      <c r="M292" t="s">
        <v>27</v>
      </c>
      <c r="N292" t="s">
        <v>48</v>
      </c>
      <c r="O292" t="s">
        <v>599</v>
      </c>
      <c r="P292" t="s">
        <v>600</v>
      </c>
      <c r="Q292" t="s">
        <v>601</v>
      </c>
    </row>
    <row r="293" spans="1:17" ht="14.25" customHeight="1" x14ac:dyDescent="0.35">
      <c r="A293" t="s">
        <v>435</v>
      </c>
      <c r="B293">
        <v>12</v>
      </c>
      <c r="C293" t="s">
        <v>718</v>
      </c>
      <c r="D293" t="s">
        <v>460</v>
      </c>
      <c r="E293" t="s">
        <v>40</v>
      </c>
      <c r="F293" t="s">
        <v>603</v>
      </c>
      <c r="G293">
        <v>0</v>
      </c>
      <c r="H293">
        <v>0</v>
      </c>
      <c r="I293">
        <v>0</v>
      </c>
      <c r="J293">
        <v>5.0000000000000001E-3</v>
      </c>
      <c r="K293">
        <v>5.0000000000000001E-3</v>
      </c>
      <c r="L293">
        <v>1.6136649999999999</v>
      </c>
      <c r="M293" t="s">
        <v>27</v>
      </c>
      <c r="N293" t="s">
        <v>604</v>
      </c>
      <c r="O293" t="s">
        <v>605</v>
      </c>
      <c r="P293" t="s">
        <v>606</v>
      </c>
      <c r="Q293" t="s">
        <v>607</v>
      </c>
    </row>
    <row r="294" spans="1:17" ht="14.25" customHeight="1" x14ac:dyDescent="0.35">
      <c r="A294" t="s">
        <v>435</v>
      </c>
      <c r="B294">
        <v>13</v>
      </c>
      <c r="C294" t="s">
        <v>719</v>
      </c>
      <c r="D294" t="s">
        <v>460</v>
      </c>
      <c r="E294" t="s">
        <v>47</v>
      </c>
      <c r="F294" t="s">
        <v>47</v>
      </c>
      <c r="G294">
        <v>0</v>
      </c>
      <c r="H294">
        <v>0</v>
      </c>
      <c r="I294">
        <v>0</v>
      </c>
      <c r="J294">
        <v>1E-3</v>
      </c>
      <c r="K294">
        <v>1E-3</v>
      </c>
      <c r="L294">
        <v>1.3917120000000001</v>
      </c>
      <c r="M294" t="s">
        <v>27</v>
      </c>
      <c r="N294" t="s">
        <v>48</v>
      </c>
      <c r="O294" t="s">
        <v>599</v>
      </c>
      <c r="P294" t="s">
        <v>600</v>
      </c>
      <c r="Q294" t="s">
        <v>601</v>
      </c>
    </row>
    <row r="295" spans="1:17" ht="14.25" customHeight="1" x14ac:dyDescent="0.35">
      <c r="A295" t="s">
        <v>435</v>
      </c>
      <c r="B295">
        <v>14</v>
      </c>
      <c r="C295" t="s">
        <v>720</v>
      </c>
      <c r="D295" t="s">
        <v>460</v>
      </c>
      <c r="E295" t="s">
        <v>40</v>
      </c>
      <c r="F295" t="s">
        <v>603</v>
      </c>
      <c r="G295">
        <v>0</v>
      </c>
      <c r="H295">
        <v>0</v>
      </c>
      <c r="I295">
        <v>0</v>
      </c>
      <c r="J295">
        <v>5.0000000000000001E-3</v>
      </c>
      <c r="K295">
        <v>5.0000000000000001E-3</v>
      </c>
      <c r="L295">
        <v>6.3994590000000002</v>
      </c>
      <c r="M295" t="s">
        <v>27</v>
      </c>
      <c r="N295" t="s">
        <v>604</v>
      </c>
      <c r="O295" t="s">
        <v>605</v>
      </c>
      <c r="P295" t="s">
        <v>606</v>
      </c>
      <c r="Q295" t="s">
        <v>607</v>
      </c>
    </row>
    <row r="296" spans="1:17" ht="14.25" customHeight="1" x14ac:dyDescent="0.35">
      <c r="A296" t="s">
        <v>435</v>
      </c>
      <c r="B296">
        <v>15</v>
      </c>
      <c r="C296" t="s">
        <v>721</v>
      </c>
      <c r="D296" t="s">
        <v>460</v>
      </c>
      <c r="E296" t="s">
        <v>47</v>
      </c>
      <c r="F296" t="s">
        <v>47</v>
      </c>
      <c r="G296">
        <v>0</v>
      </c>
      <c r="H296">
        <v>0</v>
      </c>
      <c r="I296">
        <v>0</v>
      </c>
      <c r="J296">
        <v>1E-3</v>
      </c>
      <c r="K296">
        <v>1E-3</v>
      </c>
      <c r="L296">
        <v>1.4085460000000001</v>
      </c>
      <c r="M296" t="s">
        <v>27</v>
      </c>
      <c r="N296" t="s">
        <v>48</v>
      </c>
      <c r="O296" t="s">
        <v>599</v>
      </c>
      <c r="P296" t="s">
        <v>600</v>
      </c>
      <c r="Q296" t="s">
        <v>601</v>
      </c>
    </row>
    <row r="297" spans="1:17" ht="14.25" customHeight="1" x14ac:dyDescent="0.35">
      <c r="A297" t="s">
        <v>435</v>
      </c>
      <c r="B297">
        <v>16</v>
      </c>
      <c r="C297" t="s">
        <v>722</v>
      </c>
      <c r="D297" t="s">
        <v>460</v>
      </c>
      <c r="E297" t="s">
        <v>40</v>
      </c>
      <c r="F297" t="s">
        <v>603</v>
      </c>
      <c r="G297">
        <v>0</v>
      </c>
      <c r="H297">
        <v>0</v>
      </c>
      <c r="I297">
        <v>0</v>
      </c>
      <c r="J297">
        <v>5.0000000000000001E-3</v>
      </c>
      <c r="K297">
        <v>5.0000000000000001E-3</v>
      </c>
      <c r="L297">
        <v>1.7006300000000001</v>
      </c>
      <c r="M297" t="s">
        <v>27</v>
      </c>
      <c r="N297" t="s">
        <v>604</v>
      </c>
      <c r="O297" t="s">
        <v>605</v>
      </c>
      <c r="P297" t="s">
        <v>606</v>
      </c>
      <c r="Q297" t="s">
        <v>607</v>
      </c>
    </row>
    <row r="298" spans="1:17" ht="14.25" customHeight="1" x14ac:dyDescent="0.35">
      <c r="A298" t="s">
        <v>435</v>
      </c>
      <c r="B298">
        <v>17</v>
      </c>
      <c r="C298" t="s">
        <v>723</v>
      </c>
      <c r="D298" t="s">
        <v>460</v>
      </c>
      <c r="E298" t="s">
        <v>40</v>
      </c>
      <c r="F298" t="s">
        <v>41</v>
      </c>
      <c r="G298">
        <v>246</v>
      </c>
      <c r="H298">
        <v>0</v>
      </c>
      <c r="I298">
        <v>7</v>
      </c>
      <c r="J298">
        <v>5.0000000000000001E-3</v>
      </c>
      <c r="K298">
        <v>5.2500000000000003E-3</v>
      </c>
      <c r="L298">
        <v>4.2728820000000001</v>
      </c>
      <c r="M298" t="s">
        <v>27</v>
      </c>
      <c r="N298" t="s">
        <v>42</v>
      </c>
      <c r="O298" t="s">
        <v>617</v>
      </c>
      <c r="P298" t="s">
        <v>618</v>
      </c>
      <c r="Q298" t="s">
        <v>619</v>
      </c>
    </row>
    <row r="299" spans="1:17" ht="14.25" customHeight="1" x14ac:dyDescent="0.35">
      <c r="A299" t="s">
        <v>435</v>
      </c>
      <c r="B299">
        <v>18</v>
      </c>
      <c r="C299" t="s">
        <v>724</v>
      </c>
      <c r="D299" t="s">
        <v>460</v>
      </c>
      <c r="E299" t="s">
        <v>40</v>
      </c>
      <c r="F299" t="s">
        <v>41</v>
      </c>
      <c r="G299">
        <v>216</v>
      </c>
      <c r="H299">
        <v>0</v>
      </c>
      <c r="I299">
        <v>7</v>
      </c>
      <c r="J299">
        <v>5.0000000000000001E-3</v>
      </c>
      <c r="K299">
        <v>5.2199999999999998E-3</v>
      </c>
      <c r="L299">
        <v>3.7421289999999998</v>
      </c>
      <c r="M299" t="s">
        <v>27</v>
      </c>
      <c r="N299" t="s">
        <v>42</v>
      </c>
      <c r="O299" t="s">
        <v>617</v>
      </c>
      <c r="P299" t="s">
        <v>618</v>
      </c>
      <c r="Q299" t="s">
        <v>619</v>
      </c>
    </row>
    <row r="300" spans="1:17" ht="14.25" customHeight="1" x14ac:dyDescent="0.35">
      <c r="A300" t="s">
        <v>435</v>
      </c>
      <c r="B300">
        <v>19</v>
      </c>
      <c r="C300" t="s">
        <v>725</v>
      </c>
      <c r="D300" t="s">
        <v>460</v>
      </c>
      <c r="E300" t="s">
        <v>40</v>
      </c>
      <c r="F300" t="s">
        <v>41</v>
      </c>
      <c r="G300">
        <v>207</v>
      </c>
      <c r="H300">
        <v>0</v>
      </c>
      <c r="I300">
        <v>7</v>
      </c>
      <c r="J300">
        <v>5.0000000000000001E-3</v>
      </c>
      <c r="K300">
        <v>5.2100000000000002E-3</v>
      </c>
      <c r="L300">
        <v>4.0690109999999997</v>
      </c>
      <c r="M300" t="s">
        <v>27</v>
      </c>
      <c r="N300" t="s">
        <v>42</v>
      </c>
      <c r="O300" t="s">
        <v>617</v>
      </c>
      <c r="P300" t="s">
        <v>618</v>
      </c>
      <c r="Q300" t="s">
        <v>619</v>
      </c>
    </row>
    <row r="301" spans="1:17" ht="14.25" customHeight="1" x14ac:dyDescent="0.35">
      <c r="A301" t="s">
        <v>435</v>
      </c>
      <c r="B301">
        <v>20</v>
      </c>
      <c r="C301" t="s">
        <v>726</v>
      </c>
      <c r="D301" t="s">
        <v>460</v>
      </c>
      <c r="E301" t="s">
        <v>40</v>
      </c>
      <c r="F301" t="s">
        <v>41</v>
      </c>
      <c r="G301">
        <v>220</v>
      </c>
      <c r="H301">
        <v>0</v>
      </c>
      <c r="I301">
        <v>7</v>
      </c>
      <c r="J301">
        <v>5.0000000000000001E-3</v>
      </c>
      <c r="K301">
        <v>5.2300000000000003E-3</v>
      </c>
      <c r="L301">
        <v>4.4688730000000003</v>
      </c>
      <c r="M301" t="s">
        <v>27</v>
      </c>
      <c r="N301" t="s">
        <v>42</v>
      </c>
      <c r="O301" t="s">
        <v>617</v>
      </c>
      <c r="P301" t="s">
        <v>618</v>
      </c>
      <c r="Q301" t="s">
        <v>619</v>
      </c>
    </row>
    <row r="302" spans="1:17" ht="14.25" customHeight="1" x14ac:dyDescent="0.35">
      <c r="A302" t="s">
        <v>435</v>
      </c>
      <c r="B302">
        <v>21</v>
      </c>
      <c r="C302" t="s">
        <v>727</v>
      </c>
      <c r="D302" t="s">
        <v>460</v>
      </c>
      <c r="E302" t="s">
        <v>25</v>
      </c>
      <c r="F302" t="s">
        <v>62</v>
      </c>
      <c r="G302">
        <v>2232</v>
      </c>
      <c r="H302">
        <v>0</v>
      </c>
      <c r="I302">
        <v>0</v>
      </c>
      <c r="J302">
        <v>0</v>
      </c>
      <c r="K302">
        <v>4.5000000000000003E-5</v>
      </c>
      <c r="L302">
        <v>0.83492299999999997</v>
      </c>
      <c r="M302" t="s">
        <v>27</v>
      </c>
      <c r="N302" t="s">
        <v>63</v>
      </c>
      <c r="O302" t="s">
        <v>625</v>
      </c>
      <c r="P302" t="s">
        <v>626</v>
      </c>
      <c r="Q302" t="s">
        <v>627</v>
      </c>
    </row>
    <row r="303" spans="1:17" ht="14.25" customHeight="1" x14ac:dyDescent="0.35">
      <c r="A303" t="s">
        <v>435</v>
      </c>
      <c r="B303">
        <v>22</v>
      </c>
      <c r="C303" t="s">
        <v>728</v>
      </c>
      <c r="D303" t="s">
        <v>460</v>
      </c>
      <c r="E303" t="s">
        <v>25</v>
      </c>
      <c r="F303" t="s">
        <v>62</v>
      </c>
      <c r="G303">
        <v>41</v>
      </c>
      <c r="H303">
        <v>0</v>
      </c>
      <c r="I303">
        <v>0</v>
      </c>
      <c r="J303">
        <v>0</v>
      </c>
      <c r="K303">
        <v>9.9999999999999995E-7</v>
      </c>
      <c r="L303">
        <v>0.29888900000000002</v>
      </c>
      <c r="M303" t="s">
        <v>27</v>
      </c>
      <c r="N303" t="s">
        <v>63</v>
      </c>
      <c r="O303" t="s">
        <v>625</v>
      </c>
      <c r="P303" t="s">
        <v>628</v>
      </c>
      <c r="Q303" t="s">
        <v>627</v>
      </c>
    </row>
    <row r="304" spans="1:17" ht="14.25" customHeight="1" x14ac:dyDescent="0.35">
      <c r="A304" t="s">
        <v>435</v>
      </c>
      <c r="B304">
        <v>23</v>
      </c>
      <c r="C304" t="s">
        <v>729</v>
      </c>
      <c r="D304" t="s">
        <v>460</v>
      </c>
      <c r="E304" t="s">
        <v>25</v>
      </c>
      <c r="F304" t="s">
        <v>34</v>
      </c>
      <c r="G304">
        <v>2258</v>
      </c>
      <c r="H304">
        <v>0</v>
      </c>
      <c r="I304">
        <v>3</v>
      </c>
      <c r="J304">
        <v>0</v>
      </c>
      <c r="K304">
        <v>3.4000000000000002E-4</v>
      </c>
      <c r="L304">
        <v>1.3061799999999999</v>
      </c>
      <c r="M304" t="s">
        <v>27</v>
      </c>
      <c r="N304" t="s">
        <v>28</v>
      </c>
      <c r="O304" t="s">
        <v>625</v>
      </c>
      <c r="P304" t="s">
        <v>628</v>
      </c>
      <c r="Q304" t="s">
        <v>627</v>
      </c>
    </row>
    <row r="305" spans="1:17" ht="14.25" customHeight="1" x14ac:dyDescent="0.35">
      <c r="A305" t="s">
        <v>435</v>
      </c>
      <c r="B305">
        <v>24</v>
      </c>
      <c r="C305" t="s">
        <v>730</v>
      </c>
      <c r="D305" t="s">
        <v>460</v>
      </c>
      <c r="E305" t="s">
        <v>25</v>
      </c>
      <c r="F305" t="s">
        <v>62</v>
      </c>
      <c r="G305">
        <v>36330</v>
      </c>
      <c r="H305">
        <v>0</v>
      </c>
      <c r="I305">
        <v>0</v>
      </c>
      <c r="J305">
        <v>0</v>
      </c>
      <c r="K305">
        <v>7.27E-4</v>
      </c>
      <c r="L305">
        <v>1.5159990000000001</v>
      </c>
      <c r="M305" t="s">
        <v>27</v>
      </c>
      <c r="N305" t="s">
        <v>63</v>
      </c>
      <c r="O305" t="s">
        <v>625</v>
      </c>
      <c r="P305" t="s">
        <v>626</v>
      </c>
      <c r="Q305" t="s">
        <v>627</v>
      </c>
    </row>
    <row r="306" spans="1:17" ht="14.25" customHeight="1" x14ac:dyDescent="0.35">
      <c r="A306" t="s">
        <v>435</v>
      </c>
      <c r="B306">
        <v>25</v>
      </c>
      <c r="C306" t="s">
        <v>731</v>
      </c>
      <c r="D306" t="s">
        <v>460</v>
      </c>
      <c r="E306" t="s">
        <v>25</v>
      </c>
      <c r="F306" t="s">
        <v>62</v>
      </c>
      <c r="G306">
        <v>41</v>
      </c>
      <c r="H306">
        <v>0</v>
      </c>
      <c r="I306">
        <v>0</v>
      </c>
      <c r="J306">
        <v>0</v>
      </c>
      <c r="K306">
        <v>9.9999999999999995E-7</v>
      </c>
      <c r="L306">
        <v>0.31580399999999997</v>
      </c>
      <c r="M306" t="s">
        <v>27</v>
      </c>
      <c r="N306" t="s">
        <v>63</v>
      </c>
      <c r="O306" t="s">
        <v>625</v>
      </c>
      <c r="P306" t="s">
        <v>628</v>
      </c>
      <c r="Q306" t="s">
        <v>627</v>
      </c>
    </row>
    <row r="307" spans="1:17" ht="14.25" customHeight="1" x14ac:dyDescent="0.35">
      <c r="A307" t="s">
        <v>435</v>
      </c>
      <c r="B307">
        <v>26</v>
      </c>
      <c r="C307" t="s">
        <v>732</v>
      </c>
      <c r="D307" t="s">
        <v>460</v>
      </c>
      <c r="E307" t="s">
        <v>25</v>
      </c>
      <c r="F307" t="s">
        <v>34</v>
      </c>
      <c r="G307">
        <v>3424</v>
      </c>
      <c r="H307">
        <v>0</v>
      </c>
      <c r="I307">
        <v>3</v>
      </c>
      <c r="J307">
        <v>0</v>
      </c>
      <c r="K307">
        <v>5.1500000000000005E-4</v>
      </c>
      <c r="L307">
        <v>1.3764799999999999</v>
      </c>
      <c r="M307" t="s">
        <v>27</v>
      </c>
      <c r="N307" t="s">
        <v>28</v>
      </c>
      <c r="O307" t="s">
        <v>625</v>
      </c>
      <c r="P307" t="s">
        <v>628</v>
      </c>
      <c r="Q307" t="s">
        <v>627</v>
      </c>
    </row>
    <row r="308" spans="1:17" ht="14.25" customHeight="1" x14ac:dyDescent="0.35">
      <c r="A308" t="s">
        <v>435</v>
      </c>
      <c r="B308">
        <v>27</v>
      </c>
      <c r="C308" t="s">
        <v>733</v>
      </c>
      <c r="D308" t="s">
        <v>460</v>
      </c>
      <c r="E308" t="s">
        <v>25</v>
      </c>
      <c r="F308" t="s">
        <v>62</v>
      </c>
      <c r="G308">
        <v>10021</v>
      </c>
      <c r="H308">
        <v>0</v>
      </c>
      <c r="I308">
        <v>0</v>
      </c>
      <c r="J308">
        <v>0</v>
      </c>
      <c r="K308">
        <v>2.0000000000000001E-4</v>
      </c>
      <c r="L308">
        <v>1.126781</v>
      </c>
      <c r="M308" t="s">
        <v>27</v>
      </c>
      <c r="N308" t="s">
        <v>63</v>
      </c>
      <c r="O308" t="s">
        <v>625</v>
      </c>
      <c r="P308" t="s">
        <v>626</v>
      </c>
      <c r="Q308" t="s">
        <v>627</v>
      </c>
    </row>
    <row r="309" spans="1:17" ht="14.25" customHeight="1" x14ac:dyDescent="0.35">
      <c r="A309" t="s">
        <v>435</v>
      </c>
      <c r="B309">
        <v>28</v>
      </c>
      <c r="C309" t="s">
        <v>733</v>
      </c>
      <c r="D309" t="s">
        <v>460</v>
      </c>
      <c r="E309" t="s">
        <v>25</v>
      </c>
      <c r="F309" t="s">
        <v>62</v>
      </c>
      <c r="G309">
        <v>41</v>
      </c>
      <c r="H309">
        <v>0</v>
      </c>
      <c r="I309">
        <v>0</v>
      </c>
      <c r="J309">
        <v>0</v>
      </c>
      <c r="K309">
        <v>9.9999999999999995E-7</v>
      </c>
      <c r="L309">
        <v>0.29409000000000002</v>
      </c>
      <c r="M309" t="s">
        <v>27</v>
      </c>
      <c r="N309" t="s">
        <v>63</v>
      </c>
      <c r="O309" t="s">
        <v>625</v>
      </c>
      <c r="P309" t="s">
        <v>628</v>
      </c>
      <c r="Q309" t="s">
        <v>627</v>
      </c>
    </row>
    <row r="310" spans="1:17" ht="14.25" customHeight="1" x14ac:dyDescent="0.35">
      <c r="A310" t="s">
        <v>435</v>
      </c>
      <c r="B310">
        <v>29</v>
      </c>
      <c r="C310" t="s">
        <v>734</v>
      </c>
      <c r="D310" t="s">
        <v>460</v>
      </c>
      <c r="E310" t="s">
        <v>25</v>
      </c>
      <c r="F310" t="s">
        <v>34</v>
      </c>
      <c r="G310">
        <v>3045</v>
      </c>
      <c r="H310">
        <v>0</v>
      </c>
      <c r="I310">
        <v>30</v>
      </c>
      <c r="J310">
        <v>0</v>
      </c>
      <c r="K310">
        <v>4.75E-4</v>
      </c>
      <c r="L310">
        <v>1.188024</v>
      </c>
      <c r="M310" t="s">
        <v>27</v>
      </c>
      <c r="N310" t="s">
        <v>28</v>
      </c>
      <c r="O310" t="s">
        <v>625</v>
      </c>
      <c r="P310" t="s">
        <v>628</v>
      </c>
      <c r="Q310" t="s">
        <v>627</v>
      </c>
    </row>
    <row r="311" spans="1:17" ht="14.25" customHeight="1" x14ac:dyDescent="0.35">
      <c r="A311" t="s">
        <v>435</v>
      </c>
      <c r="B311">
        <v>30</v>
      </c>
      <c r="C311" t="s">
        <v>735</v>
      </c>
      <c r="D311" t="s">
        <v>460</v>
      </c>
      <c r="E311" t="s">
        <v>25</v>
      </c>
      <c r="F311" t="s">
        <v>62</v>
      </c>
      <c r="G311">
        <v>10135</v>
      </c>
      <c r="H311">
        <v>0</v>
      </c>
      <c r="I311">
        <v>0</v>
      </c>
      <c r="J311">
        <v>0</v>
      </c>
      <c r="K311">
        <v>2.03E-4</v>
      </c>
      <c r="L311">
        <v>0.97696499999999997</v>
      </c>
      <c r="M311" t="s">
        <v>27</v>
      </c>
      <c r="N311" t="s">
        <v>63</v>
      </c>
      <c r="O311" t="s">
        <v>109</v>
      </c>
      <c r="P311" t="s">
        <v>110</v>
      </c>
      <c r="Q311" t="s">
        <v>736</v>
      </c>
    </row>
    <row r="312" spans="1:17" ht="14.25" customHeight="1" x14ac:dyDescent="0.35">
      <c r="A312" t="s">
        <v>435</v>
      </c>
      <c r="B312">
        <v>31</v>
      </c>
      <c r="C312" t="s">
        <v>737</v>
      </c>
      <c r="D312" t="s">
        <v>460</v>
      </c>
      <c r="E312" t="s">
        <v>25</v>
      </c>
      <c r="F312" t="s">
        <v>62</v>
      </c>
      <c r="G312">
        <v>99</v>
      </c>
      <c r="H312">
        <v>0</v>
      </c>
      <c r="I312">
        <v>0</v>
      </c>
      <c r="J312">
        <v>0</v>
      </c>
      <c r="K312">
        <v>1.9999999999999999E-6</v>
      </c>
      <c r="L312">
        <v>0.52220500000000003</v>
      </c>
      <c r="M312" t="s">
        <v>27</v>
      </c>
      <c r="N312" t="s">
        <v>63</v>
      </c>
      <c r="O312" t="s">
        <v>471</v>
      </c>
      <c r="P312" t="s">
        <v>472</v>
      </c>
      <c r="Q312" t="s">
        <v>738</v>
      </c>
    </row>
    <row r="313" spans="1:17" ht="14.25" customHeight="1" x14ac:dyDescent="0.35">
      <c r="A313" t="s">
        <v>435</v>
      </c>
      <c r="B313">
        <v>32</v>
      </c>
      <c r="C313" t="s">
        <v>739</v>
      </c>
      <c r="D313" t="s">
        <v>460</v>
      </c>
      <c r="E313" t="s">
        <v>25</v>
      </c>
      <c r="F313" t="s">
        <v>34</v>
      </c>
      <c r="G313">
        <v>2347</v>
      </c>
      <c r="H313">
        <v>0</v>
      </c>
      <c r="I313">
        <v>240</v>
      </c>
      <c r="J313">
        <v>0</v>
      </c>
      <c r="K313">
        <v>4.9600000000000002E-4</v>
      </c>
      <c r="L313">
        <v>2.4879989999999998</v>
      </c>
      <c r="M313" t="s">
        <v>27</v>
      </c>
      <c r="N313" t="s">
        <v>28</v>
      </c>
      <c r="O313" t="s">
        <v>471</v>
      </c>
      <c r="P313" t="s">
        <v>472</v>
      </c>
      <c r="Q313" t="s">
        <v>738</v>
      </c>
    </row>
    <row r="314" spans="1:17" ht="14.25" customHeight="1" x14ac:dyDescent="0.35">
      <c r="A314" t="s">
        <v>435</v>
      </c>
      <c r="B314">
        <v>33</v>
      </c>
      <c r="C314" t="s">
        <v>740</v>
      </c>
      <c r="D314" t="s">
        <v>460</v>
      </c>
      <c r="E314" t="s">
        <v>25</v>
      </c>
      <c r="F314" t="s">
        <v>62</v>
      </c>
      <c r="G314">
        <v>2026</v>
      </c>
      <c r="H314">
        <v>0</v>
      </c>
      <c r="I314">
        <v>0</v>
      </c>
      <c r="J314">
        <v>0</v>
      </c>
      <c r="K314">
        <v>4.1E-5</v>
      </c>
      <c r="L314">
        <v>0.30468200000000001</v>
      </c>
      <c r="M314" t="s">
        <v>27</v>
      </c>
      <c r="N314" t="s">
        <v>63</v>
      </c>
      <c r="O314" t="s">
        <v>471</v>
      </c>
      <c r="P314" t="s">
        <v>472</v>
      </c>
      <c r="Q314" t="s">
        <v>738</v>
      </c>
    </row>
    <row r="315" spans="1:17" ht="14.25" customHeight="1" x14ac:dyDescent="0.35">
      <c r="A315" t="s">
        <v>435</v>
      </c>
      <c r="B315">
        <v>34</v>
      </c>
      <c r="C315" t="s">
        <v>741</v>
      </c>
      <c r="D315" t="s">
        <v>460</v>
      </c>
      <c r="E315" t="s">
        <v>25</v>
      </c>
      <c r="F315" t="s">
        <v>34</v>
      </c>
      <c r="G315">
        <v>4390</v>
      </c>
      <c r="H315">
        <v>0</v>
      </c>
      <c r="I315">
        <v>341</v>
      </c>
      <c r="J315">
        <v>0</v>
      </c>
      <c r="K315">
        <v>8.6300000000000005E-4</v>
      </c>
      <c r="L315">
        <v>4.7466059999999999</v>
      </c>
      <c r="M315" t="s">
        <v>27</v>
      </c>
      <c r="N315" t="s">
        <v>28</v>
      </c>
      <c r="O315" t="s">
        <v>471</v>
      </c>
      <c r="P315" t="s">
        <v>472</v>
      </c>
      <c r="Q315" t="s">
        <v>738</v>
      </c>
    </row>
    <row r="316" spans="1:17" ht="14.25" customHeight="1" x14ac:dyDescent="0.35">
      <c r="A316" t="s">
        <v>435</v>
      </c>
      <c r="B316">
        <v>35</v>
      </c>
      <c r="C316" t="s">
        <v>742</v>
      </c>
      <c r="D316" t="s">
        <v>460</v>
      </c>
      <c r="E316" t="s">
        <v>25</v>
      </c>
      <c r="F316" t="s">
        <v>62</v>
      </c>
      <c r="G316">
        <v>74</v>
      </c>
      <c r="H316">
        <v>0</v>
      </c>
      <c r="I316">
        <v>0</v>
      </c>
      <c r="J316">
        <v>0</v>
      </c>
      <c r="K316">
        <v>9.9999999999999995E-7</v>
      </c>
      <c r="L316">
        <v>0.50458599999999998</v>
      </c>
      <c r="M316" t="s">
        <v>27</v>
      </c>
      <c r="N316" t="s">
        <v>63</v>
      </c>
      <c r="O316" t="s">
        <v>471</v>
      </c>
      <c r="P316" t="s">
        <v>472</v>
      </c>
      <c r="Q316" t="s">
        <v>738</v>
      </c>
    </row>
    <row r="317" spans="1:17" ht="14.25" customHeight="1" x14ac:dyDescent="0.35">
      <c r="A317" t="s">
        <v>435</v>
      </c>
      <c r="B317">
        <v>36</v>
      </c>
      <c r="C317" t="s">
        <v>743</v>
      </c>
      <c r="D317" t="s">
        <v>460</v>
      </c>
      <c r="E317" t="s">
        <v>25</v>
      </c>
      <c r="F317" t="s">
        <v>34</v>
      </c>
      <c r="G317">
        <v>2322</v>
      </c>
      <c r="H317">
        <v>1024</v>
      </c>
      <c r="I317">
        <v>282</v>
      </c>
      <c r="J317">
        <v>0</v>
      </c>
      <c r="K317">
        <v>4.4099999999999999E-4</v>
      </c>
      <c r="L317">
        <v>2.6835019999999998</v>
      </c>
      <c r="M317" t="s">
        <v>27</v>
      </c>
      <c r="N317" t="s">
        <v>28</v>
      </c>
      <c r="O317" t="s">
        <v>471</v>
      </c>
      <c r="P317" t="s">
        <v>472</v>
      </c>
      <c r="Q317" t="s">
        <v>738</v>
      </c>
    </row>
    <row r="318" spans="1:17" ht="14.25" customHeight="1" x14ac:dyDescent="0.35">
      <c r="A318" t="s">
        <v>435</v>
      </c>
      <c r="B318">
        <v>37</v>
      </c>
      <c r="C318" t="s">
        <v>743</v>
      </c>
      <c r="D318" t="s">
        <v>460</v>
      </c>
      <c r="E318" t="s">
        <v>25</v>
      </c>
      <c r="F318" t="s">
        <v>62</v>
      </c>
      <c r="G318">
        <v>83</v>
      </c>
      <c r="H318">
        <v>0</v>
      </c>
      <c r="I318">
        <v>0</v>
      </c>
      <c r="J318">
        <v>0</v>
      </c>
      <c r="K318">
        <v>1.9999999999999999E-6</v>
      </c>
      <c r="L318">
        <v>0.19914799999999999</v>
      </c>
      <c r="M318" t="s">
        <v>27</v>
      </c>
      <c r="N318" t="s">
        <v>63</v>
      </c>
      <c r="O318" t="s">
        <v>471</v>
      </c>
      <c r="P318" t="s">
        <v>472</v>
      </c>
      <c r="Q318" t="s">
        <v>738</v>
      </c>
    </row>
    <row r="319" spans="1:17" ht="14.25" customHeight="1" x14ac:dyDescent="0.35">
      <c r="A319" t="s">
        <v>435</v>
      </c>
      <c r="B319">
        <v>38</v>
      </c>
      <c r="C319" t="s">
        <v>744</v>
      </c>
      <c r="D319" t="s">
        <v>460</v>
      </c>
      <c r="E319" t="s">
        <v>25</v>
      </c>
      <c r="F319" t="s">
        <v>34</v>
      </c>
      <c r="G319">
        <v>2332</v>
      </c>
      <c r="H319">
        <v>2176</v>
      </c>
      <c r="I319">
        <v>314</v>
      </c>
      <c r="J319">
        <v>0</v>
      </c>
      <c r="K319">
        <v>3.7500000000000001E-4</v>
      </c>
      <c r="L319">
        <v>3.1228570000000002</v>
      </c>
      <c r="M319" t="s">
        <v>27</v>
      </c>
      <c r="N319" t="s">
        <v>28</v>
      </c>
      <c r="O319" t="s">
        <v>471</v>
      </c>
      <c r="P319" t="s">
        <v>472</v>
      </c>
      <c r="Q319" t="s">
        <v>738</v>
      </c>
    </row>
    <row r="320" spans="1:17" ht="14.25" customHeight="1" x14ac:dyDescent="0.35">
      <c r="A320" t="s">
        <v>435</v>
      </c>
      <c r="B320">
        <v>39</v>
      </c>
      <c r="C320" t="s">
        <v>744</v>
      </c>
      <c r="D320" t="s">
        <v>460</v>
      </c>
      <c r="E320" t="s">
        <v>25</v>
      </c>
      <c r="F320" t="s">
        <v>62</v>
      </c>
      <c r="G320">
        <v>74</v>
      </c>
      <c r="H320">
        <v>0</v>
      </c>
      <c r="I320">
        <v>0</v>
      </c>
      <c r="J320">
        <v>0</v>
      </c>
      <c r="K320">
        <v>9.9999999999999995E-7</v>
      </c>
      <c r="L320">
        <v>0.28633999999999998</v>
      </c>
      <c r="M320" t="s">
        <v>27</v>
      </c>
      <c r="N320" t="s">
        <v>63</v>
      </c>
      <c r="O320" t="s">
        <v>471</v>
      </c>
      <c r="P320" t="s">
        <v>472</v>
      </c>
      <c r="Q320" t="s">
        <v>738</v>
      </c>
    </row>
    <row r="321" spans="1:17" ht="14.25" customHeight="1" x14ac:dyDescent="0.35">
      <c r="A321" t="s">
        <v>435</v>
      </c>
      <c r="B321">
        <v>40</v>
      </c>
      <c r="C321" t="s">
        <v>745</v>
      </c>
      <c r="D321" t="s">
        <v>460</v>
      </c>
      <c r="E321" t="s">
        <v>25</v>
      </c>
      <c r="F321" t="s">
        <v>34</v>
      </c>
      <c r="G321">
        <v>2322</v>
      </c>
      <c r="H321">
        <v>0</v>
      </c>
      <c r="I321">
        <v>256</v>
      </c>
      <c r="J321">
        <v>0</v>
      </c>
      <c r="K321">
        <v>5.0199999999999995E-4</v>
      </c>
      <c r="L321">
        <v>3.212164</v>
      </c>
      <c r="M321" t="s">
        <v>27</v>
      </c>
      <c r="N321" t="s">
        <v>28</v>
      </c>
      <c r="O321" t="s">
        <v>471</v>
      </c>
      <c r="P321" t="s">
        <v>472</v>
      </c>
      <c r="Q321" t="s">
        <v>738</v>
      </c>
    </row>
    <row r="322" spans="1:17" ht="14.25" customHeight="1" x14ac:dyDescent="0.35">
      <c r="A322" t="s">
        <v>435</v>
      </c>
      <c r="B322">
        <v>41</v>
      </c>
      <c r="C322" t="s">
        <v>746</v>
      </c>
      <c r="D322" t="s">
        <v>460</v>
      </c>
      <c r="E322" t="s">
        <v>25</v>
      </c>
      <c r="F322" t="s">
        <v>62</v>
      </c>
      <c r="G322">
        <v>99</v>
      </c>
      <c r="H322">
        <v>0</v>
      </c>
      <c r="I322">
        <v>0</v>
      </c>
      <c r="J322">
        <v>0</v>
      </c>
      <c r="K322">
        <v>1.9999999999999999E-6</v>
      </c>
      <c r="L322">
        <v>0.497367</v>
      </c>
      <c r="M322" t="s">
        <v>27</v>
      </c>
      <c r="N322" t="s">
        <v>63</v>
      </c>
      <c r="O322" t="s">
        <v>471</v>
      </c>
      <c r="P322" t="s">
        <v>472</v>
      </c>
      <c r="Q322" t="s">
        <v>738</v>
      </c>
    </row>
    <row r="323" spans="1:17" ht="14.25" customHeight="1" x14ac:dyDescent="0.35">
      <c r="A323" t="s">
        <v>435</v>
      </c>
      <c r="B323">
        <v>42</v>
      </c>
      <c r="C323" t="s">
        <v>747</v>
      </c>
      <c r="D323" t="s">
        <v>460</v>
      </c>
      <c r="E323" t="s">
        <v>25</v>
      </c>
      <c r="F323" t="s">
        <v>34</v>
      </c>
      <c r="G323">
        <v>2374</v>
      </c>
      <c r="H323">
        <v>0</v>
      </c>
      <c r="I323">
        <v>201</v>
      </c>
      <c r="J323">
        <v>0</v>
      </c>
      <c r="K323">
        <v>4.7699999999999999E-4</v>
      </c>
      <c r="L323">
        <v>2.1839810000000002</v>
      </c>
      <c r="M323" t="s">
        <v>27</v>
      </c>
      <c r="N323" t="s">
        <v>28</v>
      </c>
      <c r="O323" t="s">
        <v>471</v>
      </c>
      <c r="P323" t="s">
        <v>472</v>
      </c>
      <c r="Q323" t="s">
        <v>738</v>
      </c>
    </row>
    <row r="324" spans="1:17" ht="14.25" customHeight="1" x14ac:dyDescent="0.35">
      <c r="A324" t="s">
        <v>435</v>
      </c>
      <c r="B324">
        <v>43</v>
      </c>
      <c r="C324" t="s">
        <v>747</v>
      </c>
      <c r="D324" t="s">
        <v>460</v>
      </c>
      <c r="E324" t="s">
        <v>25</v>
      </c>
      <c r="F324" t="s">
        <v>62</v>
      </c>
      <c r="G324">
        <v>2026</v>
      </c>
      <c r="H324">
        <v>0</v>
      </c>
      <c r="I324">
        <v>0</v>
      </c>
      <c r="J324">
        <v>0</v>
      </c>
      <c r="K324">
        <v>4.1E-5</v>
      </c>
      <c r="L324">
        <v>0.30013000000000001</v>
      </c>
      <c r="M324" t="s">
        <v>27</v>
      </c>
      <c r="N324" t="s">
        <v>63</v>
      </c>
      <c r="O324" t="s">
        <v>471</v>
      </c>
      <c r="P324" t="s">
        <v>472</v>
      </c>
      <c r="Q324" t="s">
        <v>738</v>
      </c>
    </row>
    <row r="325" spans="1:17" ht="14.25" customHeight="1" x14ac:dyDescent="0.35">
      <c r="A325" t="s">
        <v>435</v>
      </c>
      <c r="B325">
        <v>44</v>
      </c>
      <c r="C325" t="s">
        <v>748</v>
      </c>
      <c r="D325" t="s">
        <v>460</v>
      </c>
      <c r="E325" t="s">
        <v>25</v>
      </c>
      <c r="F325" t="s">
        <v>34</v>
      </c>
      <c r="G325">
        <v>5636</v>
      </c>
      <c r="H325">
        <v>0</v>
      </c>
      <c r="I325">
        <v>94</v>
      </c>
      <c r="J325">
        <v>0</v>
      </c>
      <c r="K325">
        <v>9.0200000000000002E-4</v>
      </c>
      <c r="L325">
        <v>1.8416680000000001</v>
      </c>
      <c r="M325" t="s">
        <v>27</v>
      </c>
      <c r="N325" t="s">
        <v>28</v>
      </c>
      <c r="O325" t="s">
        <v>471</v>
      </c>
      <c r="P325" t="s">
        <v>472</v>
      </c>
      <c r="Q325" t="s">
        <v>738</v>
      </c>
    </row>
    <row r="326" spans="1:17" ht="14.25" customHeight="1" x14ac:dyDescent="0.35">
      <c r="A326" t="s">
        <v>435</v>
      </c>
      <c r="B326">
        <v>45</v>
      </c>
      <c r="C326" t="s">
        <v>748</v>
      </c>
      <c r="D326" t="s">
        <v>460</v>
      </c>
      <c r="E326" t="s">
        <v>25</v>
      </c>
      <c r="F326" t="s">
        <v>62</v>
      </c>
      <c r="G326">
        <v>74</v>
      </c>
      <c r="H326">
        <v>0</v>
      </c>
      <c r="I326">
        <v>0</v>
      </c>
      <c r="J326">
        <v>0</v>
      </c>
      <c r="K326">
        <v>9.9999999999999995E-7</v>
      </c>
      <c r="L326">
        <v>0.30964399999999997</v>
      </c>
      <c r="M326" t="s">
        <v>27</v>
      </c>
      <c r="N326" t="s">
        <v>63</v>
      </c>
      <c r="O326" t="s">
        <v>471</v>
      </c>
      <c r="P326" t="s">
        <v>472</v>
      </c>
      <c r="Q326" t="s">
        <v>738</v>
      </c>
    </row>
    <row r="327" spans="1:17" ht="14.25" customHeight="1" x14ac:dyDescent="0.35">
      <c r="A327" t="s">
        <v>435</v>
      </c>
      <c r="B327">
        <v>46</v>
      </c>
      <c r="C327" t="s">
        <v>749</v>
      </c>
      <c r="D327" t="s">
        <v>460</v>
      </c>
      <c r="E327" t="s">
        <v>25</v>
      </c>
      <c r="F327" t="s">
        <v>34</v>
      </c>
      <c r="G327">
        <v>3439</v>
      </c>
      <c r="H327">
        <v>0</v>
      </c>
      <c r="I327">
        <v>266</v>
      </c>
      <c r="J327">
        <v>0</v>
      </c>
      <c r="K327">
        <v>6.7500000000000004E-4</v>
      </c>
      <c r="L327">
        <v>3.0848040000000001</v>
      </c>
      <c r="M327" t="s">
        <v>27</v>
      </c>
      <c r="N327" t="s">
        <v>28</v>
      </c>
      <c r="O327" t="s">
        <v>471</v>
      </c>
      <c r="P327" t="s">
        <v>472</v>
      </c>
      <c r="Q327" t="s">
        <v>738</v>
      </c>
    </row>
    <row r="328" spans="1:17" ht="14.25" customHeight="1" x14ac:dyDescent="0.35">
      <c r="A328" t="s">
        <v>435</v>
      </c>
      <c r="B328">
        <v>47</v>
      </c>
      <c r="C328" t="s">
        <v>749</v>
      </c>
      <c r="D328" t="s">
        <v>460</v>
      </c>
      <c r="E328" t="s">
        <v>25</v>
      </c>
      <c r="F328" t="s">
        <v>62</v>
      </c>
      <c r="G328">
        <v>83</v>
      </c>
      <c r="H328">
        <v>0</v>
      </c>
      <c r="I328">
        <v>0</v>
      </c>
      <c r="J328">
        <v>0</v>
      </c>
      <c r="K328">
        <v>1.9999999999999999E-6</v>
      </c>
      <c r="L328">
        <v>0.20462</v>
      </c>
      <c r="M328" t="s">
        <v>27</v>
      </c>
      <c r="N328" t="s">
        <v>63</v>
      </c>
      <c r="O328" t="s">
        <v>471</v>
      </c>
      <c r="P328" t="s">
        <v>472</v>
      </c>
      <c r="Q328" t="s">
        <v>738</v>
      </c>
    </row>
    <row r="329" spans="1:17" ht="14.25" customHeight="1" x14ac:dyDescent="0.35">
      <c r="A329" t="s">
        <v>435</v>
      </c>
      <c r="B329">
        <v>48</v>
      </c>
      <c r="C329" t="s">
        <v>750</v>
      </c>
      <c r="D329" t="s">
        <v>460</v>
      </c>
      <c r="E329" t="s">
        <v>25</v>
      </c>
      <c r="F329" t="s">
        <v>34</v>
      </c>
      <c r="G329">
        <v>3290</v>
      </c>
      <c r="H329">
        <v>0</v>
      </c>
      <c r="I329">
        <v>292</v>
      </c>
      <c r="J329">
        <v>0</v>
      </c>
      <c r="K329">
        <v>6.69E-4</v>
      </c>
      <c r="L329">
        <v>2.7977159999999999</v>
      </c>
      <c r="M329" t="s">
        <v>27</v>
      </c>
      <c r="N329" t="s">
        <v>28</v>
      </c>
      <c r="O329" t="s">
        <v>471</v>
      </c>
      <c r="P329" t="s">
        <v>472</v>
      </c>
      <c r="Q329" t="s">
        <v>738</v>
      </c>
    </row>
    <row r="330" spans="1:17" ht="14.25" customHeight="1" x14ac:dyDescent="0.35">
      <c r="A330" t="s">
        <v>435</v>
      </c>
      <c r="B330">
        <v>49</v>
      </c>
      <c r="C330" t="s">
        <v>751</v>
      </c>
      <c r="D330" t="s">
        <v>460</v>
      </c>
      <c r="E330" t="s">
        <v>25</v>
      </c>
      <c r="F330" t="s">
        <v>62</v>
      </c>
      <c r="G330">
        <v>74</v>
      </c>
      <c r="H330">
        <v>0</v>
      </c>
      <c r="I330">
        <v>0</v>
      </c>
      <c r="J330">
        <v>0</v>
      </c>
      <c r="K330">
        <v>9.9999999999999995E-7</v>
      </c>
      <c r="L330">
        <v>0.299566</v>
      </c>
      <c r="M330" t="s">
        <v>27</v>
      </c>
      <c r="N330" t="s">
        <v>63</v>
      </c>
      <c r="O330" t="s">
        <v>471</v>
      </c>
      <c r="P330" t="s">
        <v>472</v>
      </c>
      <c r="Q330" t="s">
        <v>738</v>
      </c>
    </row>
    <row r="331" spans="1:17" ht="14.25" customHeight="1" x14ac:dyDescent="0.35">
      <c r="A331" t="s">
        <v>435</v>
      </c>
      <c r="B331">
        <v>50</v>
      </c>
      <c r="C331" t="s">
        <v>752</v>
      </c>
      <c r="D331" t="s">
        <v>460</v>
      </c>
      <c r="E331" t="s">
        <v>25</v>
      </c>
      <c r="F331" t="s">
        <v>34</v>
      </c>
      <c r="G331">
        <v>3249</v>
      </c>
      <c r="H331">
        <v>1920</v>
      </c>
      <c r="I331">
        <v>290</v>
      </c>
      <c r="J331">
        <v>0</v>
      </c>
      <c r="K331">
        <v>5.1699999999999999E-4</v>
      </c>
      <c r="L331">
        <v>3.1920519999999999</v>
      </c>
      <c r="M331" t="s">
        <v>27</v>
      </c>
      <c r="N331" t="s">
        <v>28</v>
      </c>
      <c r="O331" t="s">
        <v>471</v>
      </c>
      <c r="P331" t="s">
        <v>472</v>
      </c>
      <c r="Q331" t="s">
        <v>738</v>
      </c>
    </row>
    <row r="332" spans="1:17" ht="14.25" customHeight="1" x14ac:dyDescent="0.35">
      <c r="A332" t="s">
        <v>438</v>
      </c>
      <c r="B332">
        <v>1</v>
      </c>
      <c r="C332" t="s">
        <v>753</v>
      </c>
      <c r="D332" t="s">
        <v>24</v>
      </c>
      <c r="E332" t="s">
        <v>25</v>
      </c>
      <c r="F332" t="s">
        <v>26</v>
      </c>
      <c r="G332">
        <v>1174</v>
      </c>
      <c r="H332">
        <v>1024</v>
      </c>
      <c r="I332">
        <v>56</v>
      </c>
      <c r="J332">
        <v>0</v>
      </c>
      <c r="K332">
        <v>2.215E-3</v>
      </c>
      <c r="L332">
        <v>2.6391230000000001</v>
      </c>
      <c r="M332" t="s">
        <v>27</v>
      </c>
      <c r="N332" t="s">
        <v>28</v>
      </c>
      <c r="O332" t="s">
        <v>29</v>
      </c>
      <c r="P332" t="s">
        <v>30</v>
      </c>
      <c r="Q332" t="s">
        <v>31</v>
      </c>
    </row>
    <row r="333" spans="1:17" ht="14.25" customHeight="1" x14ac:dyDescent="0.35">
      <c r="A333" t="s">
        <v>438</v>
      </c>
      <c r="B333">
        <v>2</v>
      </c>
      <c r="C333" t="s">
        <v>754</v>
      </c>
      <c r="D333" t="s">
        <v>421</v>
      </c>
      <c r="E333" t="s">
        <v>25</v>
      </c>
      <c r="F333" t="s">
        <v>34</v>
      </c>
      <c r="G333">
        <v>1580</v>
      </c>
      <c r="H333">
        <v>1024</v>
      </c>
      <c r="I333">
        <v>44</v>
      </c>
      <c r="J333">
        <v>0</v>
      </c>
      <c r="K333">
        <v>1.8699999999999999E-4</v>
      </c>
      <c r="L333">
        <v>1.557604</v>
      </c>
      <c r="M333" t="s">
        <v>27</v>
      </c>
      <c r="N333" t="s">
        <v>28</v>
      </c>
      <c r="O333" t="s">
        <v>463</v>
      </c>
      <c r="P333" t="s">
        <v>464</v>
      </c>
      <c r="Q333" t="s">
        <v>465</v>
      </c>
    </row>
    <row r="334" spans="1:17" ht="14.25" customHeight="1" x14ac:dyDescent="0.35">
      <c r="A334" t="s">
        <v>438</v>
      </c>
      <c r="B334">
        <v>3</v>
      </c>
      <c r="C334" t="s">
        <v>755</v>
      </c>
      <c r="D334" t="s">
        <v>421</v>
      </c>
      <c r="E334" t="s">
        <v>25</v>
      </c>
      <c r="F334" t="s">
        <v>26</v>
      </c>
      <c r="G334">
        <v>515</v>
      </c>
      <c r="H334">
        <v>0</v>
      </c>
      <c r="I334">
        <v>31</v>
      </c>
      <c r="J334">
        <v>0</v>
      </c>
      <c r="K334">
        <v>1.5969999999999999E-3</v>
      </c>
      <c r="L334">
        <v>1.373399</v>
      </c>
      <c r="M334" t="s">
        <v>27</v>
      </c>
      <c r="N334" t="s">
        <v>28</v>
      </c>
      <c r="O334" t="s">
        <v>467</v>
      </c>
      <c r="P334" t="s">
        <v>468</v>
      </c>
      <c r="Q334" t="s">
        <v>469</v>
      </c>
    </row>
    <row r="335" spans="1:17" ht="14.25" customHeight="1" x14ac:dyDescent="0.35">
      <c r="A335" t="s">
        <v>438</v>
      </c>
      <c r="B335">
        <v>4</v>
      </c>
      <c r="C335" t="s">
        <v>756</v>
      </c>
      <c r="D335" t="s">
        <v>421</v>
      </c>
      <c r="E335" t="s">
        <v>25</v>
      </c>
      <c r="F335" t="s">
        <v>62</v>
      </c>
      <c r="G335">
        <v>80802</v>
      </c>
      <c r="H335">
        <v>0</v>
      </c>
      <c r="I335">
        <v>0</v>
      </c>
      <c r="J335">
        <v>0</v>
      </c>
      <c r="K335">
        <v>1.616E-3</v>
      </c>
      <c r="L335">
        <v>1.889281</v>
      </c>
      <c r="M335" t="s">
        <v>27</v>
      </c>
      <c r="N335" t="s">
        <v>63</v>
      </c>
      <c r="O335" t="s">
        <v>109</v>
      </c>
      <c r="P335" t="s">
        <v>110</v>
      </c>
      <c r="Q335" t="s">
        <v>757</v>
      </c>
    </row>
    <row r="336" spans="1:17" ht="14.25" customHeight="1" x14ac:dyDescent="0.35">
      <c r="A336" t="s">
        <v>438</v>
      </c>
      <c r="B336">
        <v>5</v>
      </c>
      <c r="C336" t="s">
        <v>758</v>
      </c>
      <c r="D336" t="s">
        <v>421</v>
      </c>
      <c r="E336" t="s">
        <v>25</v>
      </c>
      <c r="F336" t="s">
        <v>62</v>
      </c>
      <c r="G336">
        <v>5188</v>
      </c>
      <c r="H336">
        <v>0</v>
      </c>
      <c r="I336">
        <v>0</v>
      </c>
      <c r="J336">
        <v>0</v>
      </c>
      <c r="K336">
        <v>1.0399999999999999E-4</v>
      </c>
      <c r="L336">
        <v>0.45865499999999998</v>
      </c>
      <c r="M336" t="s">
        <v>27</v>
      </c>
      <c r="N336" t="s">
        <v>63</v>
      </c>
      <c r="O336" t="s">
        <v>109</v>
      </c>
      <c r="P336" t="s">
        <v>110</v>
      </c>
      <c r="Q336" t="s">
        <v>757</v>
      </c>
    </row>
    <row r="337" spans="1:17" ht="14.25" customHeight="1" x14ac:dyDescent="0.35">
      <c r="A337" t="s">
        <v>438</v>
      </c>
      <c r="B337">
        <v>6</v>
      </c>
      <c r="C337" t="s">
        <v>759</v>
      </c>
      <c r="D337" t="s">
        <v>421</v>
      </c>
      <c r="E337" t="s">
        <v>25</v>
      </c>
      <c r="F337" t="s">
        <v>62</v>
      </c>
      <c r="G337">
        <v>15951</v>
      </c>
      <c r="H337">
        <v>0</v>
      </c>
      <c r="I337">
        <v>0</v>
      </c>
      <c r="J337">
        <v>0</v>
      </c>
      <c r="K337">
        <v>3.19E-4</v>
      </c>
      <c r="L337">
        <v>1.233509</v>
      </c>
      <c r="M337" t="s">
        <v>27</v>
      </c>
      <c r="N337" t="s">
        <v>63</v>
      </c>
      <c r="O337" t="s">
        <v>109</v>
      </c>
      <c r="P337" t="s">
        <v>110</v>
      </c>
      <c r="Q337" t="s">
        <v>757</v>
      </c>
    </row>
    <row r="338" spans="1:17" ht="14.25" customHeight="1" x14ac:dyDescent="0.35">
      <c r="A338" t="s">
        <v>438</v>
      </c>
      <c r="B338">
        <v>7</v>
      </c>
      <c r="C338" t="s">
        <v>760</v>
      </c>
      <c r="D338" t="s">
        <v>421</v>
      </c>
      <c r="E338" t="s">
        <v>25</v>
      </c>
      <c r="F338" t="s">
        <v>62</v>
      </c>
      <c r="G338">
        <v>36</v>
      </c>
      <c r="H338">
        <v>0</v>
      </c>
      <c r="I338">
        <v>0</v>
      </c>
      <c r="J338">
        <v>0</v>
      </c>
      <c r="K338">
        <v>9.9999999999999995E-7</v>
      </c>
      <c r="L338">
        <v>0.54446799999999995</v>
      </c>
      <c r="M338" t="s">
        <v>27</v>
      </c>
      <c r="N338" t="s">
        <v>63</v>
      </c>
      <c r="O338" t="s">
        <v>471</v>
      </c>
      <c r="P338" t="s">
        <v>472</v>
      </c>
      <c r="Q338" t="s">
        <v>473</v>
      </c>
    </row>
    <row r="339" spans="1:17" ht="14.25" customHeight="1" x14ac:dyDescent="0.35">
      <c r="A339" t="s">
        <v>438</v>
      </c>
      <c r="B339">
        <v>8</v>
      </c>
      <c r="C339" t="s">
        <v>761</v>
      </c>
      <c r="D339" t="s">
        <v>421</v>
      </c>
      <c r="E339" t="s">
        <v>25</v>
      </c>
      <c r="F339" t="s">
        <v>34</v>
      </c>
      <c r="G339">
        <v>4952</v>
      </c>
      <c r="H339">
        <v>0</v>
      </c>
      <c r="I339">
        <v>15</v>
      </c>
      <c r="J339">
        <v>0</v>
      </c>
      <c r="K339">
        <v>7.5199999999999996E-4</v>
      </c>
      <c r="L339">
        <v>1.5033559999999999</v>
      </c>
      <c r="M339" t="s">
        <v>27</v>
      </c>
      <c r="N339" t="s">
        <v>28</v>
      </c>
      <c r="O339" t="s">
        <v>471</v>
      </c>
      <c r="P339" t="s">
        <v>472</v>
      </c>
      <c r="Q339" t="s">
        <v>473</v>
      </c>
    </row>
    <row r="340" spans="1:17" ht="14.25" customHeight="1" x14ac:dyDescent="0.35">
      <c r="A340" t="s">
        <v>438</v>
      </c>
      <c r="B340">
        <v>9</v>
      </c>
      <c r="C340" t="s">
        <v>761</v>
      </c>
      <c r="D340" t="s">
        <v>421</v>
      </c>
      <c r="E340" t="s">
        <v>25</v>
      </c>
      <c r="F340" t="s">
        <v>62</v>
      </c>
      <c r="G340">
        <v>99</v>
      </c>
      <c r="H340">
        <v>0</v>
      </c>
      <c r="I340">
        <v>0</v>
      </c>
      <c r="J340">
        <v>0</v>
      </c>
      <c r="K340">
        <v>1.9999999999999999E-6</v>
      </c>
      <c r="L340">
        <v>0.29324800000000001</v>
      </c>
      <c r="M340" t="s">
        <v>27</v>
      </c>
      <c r="N340" t="s">
        <v>63</v>
      </c>
      <c r="O340" t="s">
        <v>471</v>
      </c>
      <c r="P340" t="s">
        <v>472</v>
      </c>
      <c r="Q340" t="s">
        <v>473</v>
      </c>
    </row>
    <row r="341" spans="1:17" ht="14.25" customHeight="1" x14ac:dyDescent="0.35">
      <c r="A341" t="s">
        <v>438</v>
      </c>
      <c r="B341">
        <v>10</v>
      </c>
      <c r="C341" t="s">
        <v>762</v>
      </c>
      <c r="D341" t="s">
        <v>421</v>
      </c>
      <c r="E341" t="s">
        <v>25</v>
      </c>
      <c r="F341" t="s">
        <v>34</v>
      </c>
      <c r="G341">
        <v>5102</v>
      </c>
      <c r="H341">
        <v>0</v>
      </c>
      <c r="I341">
        <v>158</v>
      </c>
      <c r="J341">
        <v>0</v>
      </c>
      <c r="K341">
        <v>8.5999999999999998E-4</v>
      </c>
      <c r="L341">
        <v>2.3548779999999998</v>
      </c>
      <c r="M341" t="s">
        <v>27</v>
      </c>
      <c r="N341" t="s">
        <v>28</v>
      </c>
      <c r="O341" t="s">
        <v>471</v>
      </c>
      <c r="P341" t="s">
        <v>472</v>
      </c>
      <c r="Q341" t="s">
        <v>473</v>
      </c>
    </row>
    <row r="342" spans="1:17" ht="14.25" customHeight="1" x14ac:dyDescent="0.35">
      <c r="A342" t="s">
        <v>438</v>
      </c>
      <c r="B342">
        <v>11</v>
      </c>
      <c r="C342" t="s">
        <v>763</v>
      </c>
      <c r="D342" t="s">
        <v>421</v>
      </c>
      <c r="E342" t="s">
        <v>25</v>
      </c>
      <c r="F342" t="s">
        <v>62</v>
      </c>
      <c r="G342">
        <v>442</v>
      </c>
      <c r="H342">
        <v>0</v>
      </c>
      <c r="I342">
        <v>0</v>
      </c>
      <c r="J342">
        <v>0</v>
      </c>
      <c r="K342">
        <v>9.0000000000000002E-6</v>
      </c>
      <c r="L342">
        <v>0.29795199999999999</v>
      </c>
      <c r="M342" t="s">
        <v>27</v>
      </c>
      <c r="N342" t="s">
        <v>63</v>
      </c>
      <c r="O342" t="s">
        <v>471</v>
      </c>
      <c r="P342" t="s">
        <v>472</v>
      </c>
      <c r="Q342" t="s">
        <v>473</v>
      </c>
    </row>
    <row r="343" spans="1:17" ht="14.25" customHeight="1" x14ac:dyDescent="0.35">
      <c r="A343" t="s">
        <v>438</v>
      </c>
      <c r="B343">
        <v>12</v>
      </c>
      <c r="C343" t="s">
        <v>764</v>
      </c>
      <c r="D343" t="s">
        <v>421</v>
      </c>
      <c r="E343" t="s">
        <v>25</v>
      </c>
      <c r="F343" t="s">
        <v>34</v>
      </c>
      <c r="G343">
        <v>5440</v>
      </c>
      <c r="H343">
        <v>0</v>
      </c>
      <c r="I343">
        <v>368</v>
      </c>
      <c r="J343">
        <v>0</v>
      </c>
      <c r="K343">
        <v>1.0369999999999999E-3</v>
      </c>
      <c r="L343">
        <v>3.9828670000000002</v>
      </c>
      <c r="M343" t="s">
        <v>27</v>
      </c>
      <c r="N343" t="s">
        <v>28</v>
      </c>
      <c r="O343" t="s">
        <v>471</v>
      </c>
      <c r="P343" t="s">
        <v>472</v>
      </c>
      <c r="Q343" t="s">
        <v>473</v>
      </c>
    </row>
    <row r="344" spans="1:17" ht="14.25" customHeight="1" x14ac:dyDescent="0.35">
      <c r="A344" t="s">
        <v>438</v>
      </c>
      <c r="B344">
        <v>13</v>
      </c>
      <c r="C344" t="s">
        <v>765</v>
      </c>
      <c r="D344" t="s">
        <v>421</v>
      </c>
      <c r="E344" t="s">
        <v>25</v>
      </c>
      <c r="F344" t="s">
        <v>62</v>
      </c>
      <c r="G344">
        <v>74</v>
      </c>
      <c r="H344">
        <v>0</v>
      </c>
      <c r="I344">
        <v>0</v>
      </c>
      <c r="J344">
        <v>0</v>
      </c>
      <c r="K344">
        <v>9.9999999999999995E-7</v>
      </c>
      <c r="L344">
        <v>0.29771900000000001</v>
      </c>
      <c r="M344" t="s">
        <v>27</v>
      </c>
      <c r="N344" t="s">
        <v>63</v>
      </c>
      <c r="O344" t="s">
        <v>471</v>
      </c>
      <c r="P344" t="s">
        <v>472</v>
      </c>
      <c r="Q344" t="s">
        <v>473</v>
      </c>
    </row>
    <row r="345" spans="1:17" ht="14.25" customHeight="1" x14ac:dyDescent="0.35">
      <c r="A345" t="s">
        <v>438</v>
      </c>
      <c r="B345">
        <v>14</v>
      </c>
      <c r="C345" t="s">
        <v>766</v>
      </c>
      <c r="D345" t="s">
        <v>421</v>
      </c>
      <c r="E345" t="s">
        <v>25</v>
      </c>
      <c r="F345" t="s">
        <v>34</v>
      </c>
      <c r="G345">
        <v>5065</v>
      </c>
      <c r="H345">
        <v>0</v>
      </c>
      <c r="I345">
        <v>300</v>
      </c>
      <c r="J345">
        <v>0</v>
      </c>
      <c r="K345">
        <v>9.3999999999999997E-4</v>
      </c>
      <c r="L345">
        <v>2.9522300000000001</v>
      </c>
      <c r="M345" t="s">
        <v>27</v>
      </c>
      <c r="N345" t="s">
        <v>28</v>
      </c>
      <c r="O345" t="s">
        <v>471</v>
      </c>
      <c r="P345" t="s">
        <v>472</v>
      </c>
      <c r="Q345" t="s">
        <v>473</v>
      </c>
    </row>
    <row r="346" spans="1:17" ht="14.25" customHeight="1" x14ac:dyDescent="0.35">
      <c r="A346" t="s">
        <v>438</v>
      </c>
      <c r="B346">
        <v>15</v>
      </c>
      <c r="C346" t="s">
        <v>767</v>
      </c>
      <c r="D346" t="s">
        <v>421</v>
      </c>
      <c r="E346" t="s">
        <v>25</v>
      </c>
      <c r="F346" t="s">
        <v>62</v>
      </c>
      <c r="G346">
        <v>83</v>
      </c>
      <c r="H346">
        <v>0</v>
      </c>
      <c r="I346">
        <v>0</v>
      </c>
      <c r="J346">
        <v>0</v>
      </c>
      <c r="K346">
        <v>1.9999999999999999E-6</v>
      </c>
      <c r="L346">
        <v>0.29872100000000001</v>
      </c>
      <c r="M346" t="s">
        <v>27</v>
      </c>
      <c r="N346" t="s">
        <v>63</v>
      </c>
      <c r="O346" t="s">
        <v>471</v>
      </c>
      <c r="P346" t="s">
        <v>472</v>
      </c>
      <c r="Q346" t="s">
        <v>473</v>
      </c>
    </row>
    <row r="347" spans="1:17" ht="14.25" customHeight="1" x14ac:dyDescent="0.35">
      <c r="A347" t="s">
        <v>438</v>
      </c>
      <c r="B347">
        <v>16</v>
      </c>
      <c r="C347" t="s">
        <v>768</v>
      </c>
      <c r="D347" t="s">
        <v>421</v>
      </c>
      <c r="E347" t="s">
        <v>25</v>
      </c>
      <c r="F347" t="s">
        <v>34</v>
      </c>
      <c r="G347">
        <v>5027</v>
      </c>
      <c r="H347">
        <v>0</v>
      </c>
      <c r="I347">
        <v>270</v>
      </c>
      <c r="J347">
        <v>0</v>
      </c>
      <c r="K347">
        <v>9.1600000000000004E-4</v>
      </c>
      <c r="L347">
        <v>6.8538889999999997</v>
      </c>
      <c r="M347" t="s">
        <v>27</v>
      </c>
      <c r="N347" t="s">
        <v>28</v>
      </c>
      <c r="O347" t="s">
        <v>471</v>
      </c>
      <c r="P347" t="s">
        <v>472</v>
      </c>
      <c r="Q347" t="s">
        <v>473</v>
      </c>
    </row>
    <row r="348" spans="1:17" ht="14.25" customHeight="1" x14ac:dyDescent="0.35">
      <c r="A348" t="s">
        <v>438</v>
      </c>
      <c r="B348">
        <v>17</v>
      </c>
      <c r="C348" t="s">
        <v>769</v>
      </c>
      <c r="D348" t="s">
        <v>421</v>
      </c>
      <c r="E348" t="s">
        <v>25</v>
      </c>
      <c r="F348" t="s">
        <v>62</v>
      </c>
      <c r="G348">
        <v>74</v>
      </c>
      <c r="H348">
        <v>0</v>
      </c>
      <c r="I348">
        <v>0</v>
      </c>
      <c r="J348">
        <v>0</v>
      </c>
      <c r="K348">
        <v>9.9999999999999995E-7</v>
      </c>
      <c r="L348">
        <v>0.51153199999999999</v>
      </c>
      <c r="M348" t="s">
        <v>27</v>
      </c>
      <c r="N348" t="s">
        <v>63</v>
      </c>
      <c r="O348" t="s">
        <v>471</v>
      </c>
      <c r="P348" t="s">
        <v>472</v>
      </c>
      <c r="Q348" t="s">
        <v>473</v>
      </c>
    </row>
    <row r="349" spans="1:17" ht="14.25" customHeight="1" x14ac:dyDescent="0.35">
      <c r="A349" t="s">
        <v>438</v>
      </c>
      <c r="B349">
        <v>18</v>
      </c>
      <c r="C349" t="s">
        <v>770</v>
      </c>
      <c r="D349" t="s">
        <v>421</v>
      </c>
      <c r="E349" t="s">
        <v>25</v>
      </c>
      <c r="F349" t="s">
        <v>34</v>
      </c>
      <c r="G349">
        <v>5020</v>
      </c>
      <c r="H349">
        <v>0</v>
      </c>
      <c r="I349">
        <v>299</v>
      </c>
      <c r="J349">
        <v>0</v>
      </c>
      <c r="K349">
        <v>9.3199999999999999E-4</v>
      </c>
      <c r="L349">
        <v>3.2391070000000002</v>
      </c>
      <c r="M349" t="s">
        <v>27</v>
      </c>
      <c r="N349" t="s">
        <v>28</v>
      </c>
      <c r="O349" t="s">
        <v>471</v>
      </c>
      <c r="P349" t="s">
        <v>472</v>
      </c>
      <c r="Q349" t="s">
        <v>473</v>
      </c>
    </row>
    <row r="350" spans="1:17" ht="14.25" customHeight="1" x14ac:dyDescent="0.35">
      <c r="A350" t="s">
        <v>438</v>
      </c>
      <c r="B350">
        <v>19</v>
      </c>
      <c r="C350" t="s">
        <v>771</v>
      </c>
      <c r="D350" t="s">
        <v>421</v>
      </c>
      <c r="E350" t="s">
        <v>25</v>
      </c>
      <c r="F350" t="s">
        <v>62</v>
      </c>
      <c r="G350">
        <v>36</v>
      </c>
      <c r="H350">
        <v>0</v>
      </c>
      <c r="I350">
        <v>0</v>
      </c>
      <c r="J350">
        <v>0</v>
      </c>
      <c r="K350">
        <v>9.9999999999999995E-7</v>
      </c>
      <c r="L350">
        <v>0.58033900000000005</v>
      </c>
      <c r="M350" t="s">
        <v>27</v>
      </c>
      <c r="N350" t="s">
        <v>63</v>
      </c>
      <c r="O350" t="s">
        <v>471</v>
      </c>
      <c r="P350" t="s">
        <v>472</v>
      </c>
      <c r="Q350" t="s">
        <v>473</v>
      </c>
    </row>
    <row r="351" spans="1:17" ht="14.25" customHeight="1" x14ac:dyDescent="0.35">
      <c r="A351" t="s">
        <v>438</v>
      </c>
      <c r="B351">
        <v>20</v>
      </c>
      <c r="C351" t="s">
        <v>772</v>
      </c>
      <c r="D351" t="s">
        <v>421</v>
      </c>
      <c r="E351" t="s">
        <v>25</v>
      </c>
      <c r="F351" t="s">
        <v>34</v>
      </c>
      <c r="G351">
        <v>4983</v>
      </c>
      <c r="H351">
        <v>0</v>
      </c>
      <c r="I351">
        <v>14</v>
      </c>
      <c r="J351">
        <v>0</v>
      </c>
      <c r="K351">
        <v>7.5600000000000005E-4</v>
      </c>
      <c r="L351">
        <v>1.2353449999999999</v>
      </c>
      <c r="M351" t="s">
        <v>27</v>
      </c>
      <c r="N351" t="s">
        <v>28</v>
      </c>
      <c r="O351" t="s">
        <v>471</v>
      </c>
      <c r="P351" t="s">
        <v>472</v>
      </c>
      <c r="Q351" t="s">
        <v>473</v>
      </c>
    </row>
    <row r="352" spans="1:17" ht="14.25" customHeight="1" x14ac:dyDescent="0.35">
      <c r="A352" t="s">
        <v>438</v>
      </c>
      <c r="B352">
        <v>21</v>
      </c>
      <c r="C352" t="s">
        <v>772</v>
      </c>
      <c r="D352" t="s">
        <v>421</v>
      </c>
      <c r="E352" t="s">
        <v>25</v>
      </c>
      <c r="F352" t="s">
        <v>62</v>
      </c>
      <c r="G352">
        <v>99</v>
      </c>
      <c r="H352">
        <v>0</v>
      </c>
      <c r="I352">
        <v>0</v>
      </c>
      <c r="J352">
        <v>0</v>
      </c>
      <c r="K352">
        <v>1.9999999999999999E-6</v>
      </c>
      <c r="L352">
        <v>0.29980099999999998</v>
      </c>
      <c r="M352" t="s">
        <v>27</v>
      </c>
      <c r="N352" t="s">
        <v>63</v>
      </c>
      <c r="O352" t="s">
        <v>471</v>
      </c>
      <c r="P352" t="s">
        <v>472</v>
      </c>
      <c r="Q352" t="s">
        <v>473</v>
      </c>
    </row>
    <row r="353" spans="1:17" ht="14.25" customHeight="1" x14ac:dyDescent="0.35">
      <c r="A353" t="s">
        <v>438</v>
      </c>
      <c r="B353">
        <v>22</v>
      </c>
      <c r="C353" t="s">
        <v>773</v>
      </c>
      <c r="D353" t="s">
        <v>421</v>
      </c>
      <c r="E353" t="s">
        <v>25</v>
      </c>
      <c r="F353" t="s">
        <v>34</v>
      </c>
      <c r="G353">
        <v>4746</v>
      </c>
      <c r="H353">
        <v>1920</v>
      </c>
      <c r="I353">
        <v>172</v>
      </c>
      <c r="J353">
        <v>0</v>
      </c>
      <c r="K353">
        <v>6.7100000000000005E-4</v>
      </c>
      <c r="L353">
        <v>2.3789769999999999</v>
      </c>
      <c r="M353" t="s">
        <v>27</v>
      </c>
      <c r="N353" t="s">
        <v>28</v>
      </c>
      <c r="O353" t="s">
        <v>471</v>
      </c>
      <c r="P353" t="s">
        <v>472</v>
      </c>
      <c r="Q353" t="s">
        <v>473</v>
      </c>
    </row>
    <row r="354" spans="1:17" ht="14.25" customHeight="1" x14ac:dyDescent="0.35">
      <c r="A354" t="s">
        <v>438</v>
      </c>
      <c r="B354">
        <v>23</v>
      </c>
      <c r="C354" t="s">
        <v>774</v>
      </c>
      <c r="D354" t="s">
        <v>421</v>
      </c>
      <c r="E354" t="s">
        <v>25</v>
      </c>
      <c r="F354" t="s">
        <v>62</v>
      </c>
      <c r="G354">
        <v>442</v>
      </c>
      <c r="H354">
        <v>0</v>
      </c>
      <c r="I354">
        <v>0</v>
      </c>
      <c r="J354">
        <v>0</v>
      </c>
      <c r="K354">
        <v>9.0000000000000002E-6</v>
      </c>
      <c r="L354">
        <v>0.298481</v>
      </c>
      <c r="M354" t="s">
        <v>27</v>
      </c>
      <c r="N354" t="s">
        <v>63</v>
      </c>
      <c r="O354" t="s">
        <v>471</v>
      </c>
      <c r="P354" t="s">
        <v>472</v>
      </c>
      <c r="Q354" t="s">
        <v>473</v>
      </c>
    </row>
    <row r="355" spans="1:17" ht="14.25" customHeight="1" x14ac:dyDescent="0.35">
      <c r="A355" t="s">
        <v>438</v>
      </c>
      <c r="B355">
        <v>24</v>
      </c>
      <c r="C355" t="s">
        <v>775</v>
      </c>
      <c r="D355" t="s">
        <v>421</v>
      </c>
      <c r="E355" t="s">
        <v>25</v>
      </c>
      <c r="F355" t="s">
        <v>34</v>
      </c>
      <c r="G355">
        <v>5326</v>
      </c>
      <c r="H355">
        <v>1920</v>
      </c>
      <c r="I355">
        <v>356</v>
      </c>
      <c r="J355">
        <v>0</v>
      </c>
      <c r="K355">
        <v>8.6899999999999998E-4</v>
      </c>
      <c r="L355">
        <v>3.6985860000000002</v>
      </c>
      <c r="M355" t="s">
        <v>27</v>
      </c>
      <c r="N355" t="s">
        <v>28</v>
      </c>
      <c r="O355" t="s">
        <v>471</v>
      </c>
      <c r="P355" t="s">
        <v>472</v>
      </c>
      <c r="Q355" t="s">
        <v>473</v>
      </c>
    </row>
    <row r="356" spans="1:17" ht="14.25" customHeight="1" x14ac:dyDescent="0.35">
      <c r="A356" t="s">
        <v>438</v>
      </c>
      <c r="B356">
        <v>25</v>
      </c>
      <c r="C356" t="s">
        <v>775</v>
      </c>
      <c r="D356" t="s">
        <v>421</v>
      </c>
      <c r="E356" t="s">
        <v>25</v>
      </c>
      <c r="F356" t="s">
        <v>62</v>
      </c>
      <c r="G356">
        <v>74</v>
      </c>
      <c r="H356">
        <v>0</v>
      </c>
      <c r="I356">
        <v>0</v>
      </c>
      <c r="J356">
        <v>0</v>
      </c>
      <c r="K356">
        <v>9.9999999999999995E-7</v>
      </c>
      <c r="L356">
        <v>0.29469800000000002</v>
      </c>
      <c r="M356" t="s">
        <v>27</v>
      </c>
      <c r="N356" t="s">
        <v>63</v>
      </c>
      <c r="O356" t="s">
        <v>471</v>
      </c>
      <c r="P356" t="s">
        <v>472</v>
      </c>
      <c r="Q356" t="s">
        <v>473</v>
      </c>
    </row>
    <row r="357" spans="1:17" ht="14.25" customHeight="1" x14ac:dyDescent="0.35">
      <c r="A357" t="s">
        <v>438</v>
      </c>
      <c r="B357">
        <v>26</v>
      </c>
      <c r="C357" t="s">
        <v>776</v>
      </c>
      <c r="D357" t="s">
        <v>421</v>
      </c>
      <c r="E357" t="s">
        <v>25</v>
      </c>
      <c r="F357" t="s">
        <v>34</v>
      </c>
      <c r="G357">
        <v>5006</v>
      </c>
      <c r="H357">
        <v>0</v>
      </c>
      <c r="I357">
        <v>265</v>
      </c>
      <c r="J357">
        <v>0</v>
      </c>
      <c r="K357">
        <v>9.1E-4</v>
      </c>
      <c r="L357">
        <v>3.0939160000000001</v>
      </c>
      <c r="M357" t="s">
        <v>27</v>
      </c>
      <c r="N357" t="s">
        <v>28</v>
      </c>
      <c r="O357" t="s">
        <v>471</v>
      </c>
      <c r="P357" t="s">
        <v>472</v>
      </c>
      <c r="Q357" t="s">
        <v>473</v>
      </c>
    </row>
    <row r="358" spans="1:17" ht="14.25" customHeight="1" x14ac:dyDescent="0.35">
      <c r="A358" t="s">
        <v>438</v>
      </c>
      <c r="B358">
        <v>27</v>
      </c>
      <c r="C358" t="s">
        <v>776</v>
      </c>
      <c r="D358" t="s">
        <v>421</v>
      </c>
      <c r="E358" t="s">
        <v>25</v>
      </c>
      <c r="F358" t="s">
        <v>62</v>
      </c>
      <c r="G358">
        <v>83</v>
      </c>
      <c r="H358">
        <v>0</v>
      </c>
      <c r="I358">
        <v>0</v>
      </c>
      <c r="J358">
        <v>0</v>
      </c>
      <c r="K358">
        <v>1.9999999999999999E-6</v>
      </c>
      <c r="L358">
        <v>0.20075799999999999</v>
      </c>
      <c r="M358" t="s">
        <v>27</v>
      </c>
      <c r="N358" t="s">
        <v>63</v>
      </c>
      <c r="O358" t="s">
        <v>471</v>
      </c>
      <c r="P358" t="s">
        <v>472</v>
      </c>
      <c r="Q358" t="s">
        <v>473</v>
      </c>
    </row>
    <row r="359" spans="1:17" ht="14.25" customHeight="1" x14ac:dyDescent="0.35">
      <c r="A359" t="s">
        <v>438</v>
      </c>
      <c r="B359">
        <v>28</v>
      </c>
      <c r="C359" t="s">
        <v>777</v>
      </c>
      <c r="D359" t="s">
        <v>421</v>
      </c>
      <c r="E359" t="s">
        <v>25</v>
      </c>
      <c r="F359" t="s">
        <v>34</v>
      </c>
      <c r="G359">
        <v>5016</v>
      </c>
      <c r="H359">
        <v>0</v>
      </c>
      <c r="I359">
        <v>249</v>
      </c>
      <c r="J359">
        <v>0</v>
      </c>
      <c r="K359">
        <v>9.0200000000000002E-4</v>
      </c>
      <c r="L359">
        <v>3.1913360000000002</v>
      </c>
      <c r="M359" t="s">
        <v>27</v>
      </c>
      <c r="N359" t="s">
        <v>28</v>
      </c>
      <c r="O359" t="s">
        <v>471</v>
      </c>
      <c r="P359" t="s">
        <v>472</v>
      </c>
      <c r="Q359" t="s">
        <v>473</v>
      </c>
    </row>
    <row r="360" spans="1:17" ht="14.25" customHeight="1" x14ac:dyDescent="0.35">
      <c r="A360" t="s">
        <v>438</v>
      </c>
      <c r="B360">
        <v>29</v>
      </c>
      <c r="C360" t="s">
        <v>778</v>
      </c>
      <c r="D360" t="s">
        <v>421</v>
      </c>
      <c r="E360" t="s">
        <v>25</v>
      </c>
      <c r="F360" t="s">
        <v>62</v>
      </c>
      <c r="G360">
        <v>74</v>
      </c>
      <c r="H360">
        <v>0</v>
      </c>
      <c r="I360">
        <v>0</v>
      </c>
      <c r="J360">
        <v>0</v>
      </c>
      <c r="K360">
        <v>9.9999999999999995E-7</v>
      </c>
      <c r="L360">
        <v>0.30277500000000002</v>
      </c>
      <c r="M360" t="s">
        <v>27</v>
      </c>
      <c r="N360" t="s">
        <v>63</v>
      </c>
      <c r="O360" t="s">
        <v>471</v>
      </c>
      <c r="P360" t="s">
        <v>472</v>
      </c>
      <c r="Q360" t="s">
        <v>473</v>
      </c>
    </row>
    <row r="361" spans="1:17" ht="14.25" customHeight="1" x14ac:dyDescent="0.35">
      <c r="A361" t="s">
        <v>438</v>
      </c>
      <c r="B361">
        <v>30</v>
      </c>
      <c r="C361" t="s">
        <v>779</v>
      </c>
      <c r="D361" t="s">
        <v>421</v>
      </c>
      <c r="E361" t="s">
        <v>25</v>
      </c>
      <c r="F361" t="s">
        <v>34</v>
      </c>
      <c r="G361">
        <v>5049</v>
      </c>
      <c r="H361">
        <v>0</v>
      </c>
      <c r="I361">
        <v>271</v>
      </c>
      <c r="J361">
        <v>0</v>
      </c>
      <c r="K361">
        <v>9.2000000000000003E-4</v>
      </c>
      <c r="L361">
        <v>3.0853389999999998</v>
      </c>
      <c r="M361" t="s">
        <v>27</v>
      </c>
      <c r="N361" t="s">
        <v>28</v>
      </c>
      <c r="O361" t="s">
        <v>471</v>
      </c>
      <c r="P361" t="s">
        <v>472</v>
      </c>
      <c r="Q361" t="s">
        <v>473</v>
      </c>
    </row>
    <row r="362" spans="1:17" ht="14.25" customHeight="1" x14ac:dyDescent="0.35">
      <c r="A362" t="s">
        <v>438</v>
      </c>
      <c r="B362">
        <v>31</v>
      </c>
      <c r="C362" t="s">
        <v>780</v>
      </c>
      <c r="D362" t="s">
        <v>421</v>
      </c>
      <c r="E362" t="s">
        <v>25</v>
      </c>
      <c r="F362" t="s">
        <v>62</v>
      </c>
      <c r="G362">
        <v>36</v>
      </c>
      <c r="H362">
        <v>0</v>
      </c>
      <c r="I362">
        <v>0</v>
      </c>
      <c r="J362">
        <v>0</v>
      </c>
      <c r="K362">
        <v>9.9999999999999995E-7</v>
      </c>
      <c r="L362">
        <v>0.57122799999999996</v>
      </c>
      <c r="M362" t="s">
        <v>27</v>
      </c>
      <c r="N362" t="s">
        <v>63</v>
      </c>
      <c r="O362" t="s">
        <v>471</v>
      </c>
      <c r="P362" t="s">
        <v>472</v>
      </c>
      <c r="Q362" t="s">
        <v>473</v>
      </c>
    </row>
    <row r="363" spans="1:17" ht="14.25" customHeight="1" x14ac:dyDescent="0.35">
      <c r="A363" t="s">
        <v>438</v>
      </c>
      <c r="B363">
        <v>32</v>
      </c>
      <c r="C363" t="s">
        <v>781</v>
      </c>
      <c r="D363" t="s">
        <v>421</v>
      </c>
      <c r="E363" t="s">
        <v>25</v>
      </c>
      <c r="F363" t="s">
        <v>34</v>
      </c>
      <c r="G363">
        <v>220</v>
      </c>
      <c r="H363">
        <v>0</v>
      </c>
      <c r="I363">
        <v>13</v>
      </c>
      <c r="J363">
        <v>0</v>
      </c>
      <c r="K363">
        <v>4.1E-5</v>
      </c>
      <c r="L363">
        <v>0.96195299999999995</v>
      </c>
      <c r="M363" t="s">
        <v>27</v>
      </c>
      <c r="N363" t="s">
        <v>28</v>
      </c>
      <c r="O363" t="s">
        <v>471</v>
      </c>
      <c r="P363" t="s">
        <v>472</v>
      </c>
      <c r="Q363" t="s">
        <v>473</v>
      </c>
    </row>
    <row r="364" spans="1:17" ht="14.25" customHeight="1" x14ac:dyDescent="0.35">
      <c r="A364" t="s">
        <v>438</v>
      </c>
      <c r="B364">
        <v>33</v>
      </c>
      <c r="C364" t="s">
        <v>782</v>
      </c>
      <c r="D364" t="s">
        <v>421</v>
      </c>
      <c r="E364" t="s">
        <v>25</v>
      </c>
      <c r="F364" t="s">
        <v>62</v>
      </c>
      <c r="G364">
        <v>99</v>
      </c>
      <c r="H364">
        <v>0</v>
      </c>
      <c r="I364">
        <v>0</v>
      </c>
      <c r="J364">
        <v>0</v>
      </c>
      <c r="K364">
        <v>1.9999999999999999E-6</v>
      </c>
      <c r="L364">
        <v>0.296705</v>
      </c>
      <c r="M364" t="s">
        <v>27</v>
      </c>
      <c r="N364" t="s">
        <v>63</v>
      </c>
      <c r="O364" t="s">
        <v>471</v>
      </c>
      <c r="P364" t="s">
        <v>472</v>
      </c>
      <c r="Q364" t="s">
        <v>473</v>
      </c>
    </row>
    <row r="365" spans="1:17" ht="14.25" customHeight="1" x14ac:dyDescent="0.35">
      <c r="A365" t="s">
        <v>438</v>
      </c>
      <c r="B365">
        <v>34</v>
      </c>
      <c r="C365" t="s">
        <v>783</v>
      </c>
      <c r="D365" t="s">
        <v>421</v>
      </c>
      <c r="E365" t="s">
        <v>25</v>
      </c>
      <c r="F365" t="s">
        <v>34</v>
      </c>
      <c r="G365">
        <v>283</v>
      </c>
      <c r="H365">
        <v>0</v>
      </c>
      <c r="I365">
        <v>143</v>
      </c>
      <c r="J365">
        <v>0</v>
      </c>
      <c r="K365">
        <v>1.2799999999999999E-4</v>
      </c>
      <c r="L365">
        <v>1.893554</v>
      </c>
      <c r="M365" t="s">
        <v>27</v>
      </c>
      <c r="N365" t="s">
        <v>28</v>
      </c>
      <c r="O365" t="s">
        <v>471</v>
      </c>
      <c r="P365" t="s">
        <v>472</v>
      </c>
      <c r="Q365" t="s">
        <v>473</v>
      </c>
    </row>
    <row r="366" spans="1:17" ht="14.25" customHeight="1" x14ac:dyDescent="0.35">
      <c r="A366" t="s">
        <v>438</v>
      </c>
      <c r="B366">
        <v>35</v>
      </c>
      <c r="C366" t="s">
        <v>783</v>
      </c>
      <c r="D366" t="s">
        <v>421</v>
      </c>
      <c r="E366" t="s">
        <v>25</v>
      </c>
      <c r="F366" t="s">
        <v>62</v>
      </c>
      <c r="G366">
        <v>442</v>
      </c>
      <c r="H366">
        <v>0</v>
      </c>
      <c r="I366">
        <v>0</v>
      </c>
      <c r="J366">
        <v>0</v>
      </c>
      <c r="K366">
        <v>9.0000000000000002E-6</v>
      </c>
      <c r="L366">
        <v>0.22853599999999999</v>
      </c>
      <c r="M366" t="s">
        <v>27</v>
      </c>
      <c r="N366" t="s">
        <v>63</v>
      </c>
      <c r="O366" t="s">
        <v>471</v>
      </c>
      <c r="P366" t="s">
        <v>472</v>
      </c>
      <c r="Q366" t="s">
        <v>473</v>
      </c>
    </row>
    <row r="367" spans="1:17" ht="14.25" customHeight="1" x14ac:dyDescent="0.35">
      <c r="A367" t="s">
        <v>438</v>
      </c>
      <c r="B367">
        <v>36</v>
      </c>
      <c r="C367" t="s">
        <v>784</v>
      </c>
      <c r="D367" t="s">
        <v>421</v>
      </c>
      <c r="E367" t="s">
        <v>25</v>
      </c>
      <c r="F367" t="s">
        <v>34</v>
      </c>
      <c r="G367">
        <v>663</v>
      </c>
      <c r="H367">
        <v>0</v>
      </c>
      <c r="I367">
        <v>327</v>
      </c>
      <c r="J367">
        <v>0</v>
      </c>
      <c r="K367">
        <v>2.9599999999999998E-4</v>
      </c>
      <c r="L367">
        <v>7.2963639999999996</v>
      </c>
      <c r="M367" t="s">
        <v>27</v>
      </c>
      <c r="N367" t="s">
        <v>28</v>
      </c>
      <c r="O367" t="s">
        <v>471</v>
      </c>
      <c r="P367" t="s">
        <v>472</v>
      </c>
      <c r="Q367" t="s">
        <v>473</v>
      </c>
    </row>
    <row r="368" spans="1:17" ht="14.25" customHeight="1" x14ac:dyDescent="0.35">
      <c r="A368" t="s">
        <v>438</v>
      </c>
      <c r="B368">
        <v>37</v>
      </c>
      <c r="C368" t="s">
        <v>785</v>
      </c>
      <c r="D368" t="s">
        <v>421</v>
      </c>
      <c r="E368" t="s">
        <v>25</v>
      </c>
      <c r="F368" t="s">
        <v>62</v>
      </c>
      <c r="G368">
        <v>74</v>
      </c>
      <c r="H368">
        <v>0</v>
      </c>
      <c r="I368">
        <v>0</v>
      </c>
      <c r="J368">
        <v>0</v>
      </c>
      <c r="K368">
        <v>9.9999999999999995E-7</v>
      </c>
      <c r="L368">
        <v>0.50767499999999999</v>
      </c>
      <c r="M368" t="s">
        <v>27</v>
      </c>
      <c r="N368" t="s">
        <v>63</v>
      </c>
      <c r="O368" t="s">
        <v>471</v>
      </c>
      <c r="P368" t="s">
        <v>472</v>
      </c>
      <c r="Q368" t="s">
        <v>473</v>
      </c>
    </row>
    <row r="369" spans="1:17" ht="14.25" customHeight="1" x14ac:dyDescent="0.35">
      <c r="A369" t="s">
        <v>438</v>
      </c>
      <c r="B369">
        <v>38</v>
      </c>
      <c r="C369" t="s">
        <v>786</v>
      </c>
      <c r="D369" t="s">
        <v>421</v>
      </c>
      <c r="E369" t="s">
        <v>25</v>
      </c>
      <c r="F369" t="s">
        <v>34</v>
      </c>
      <c r="G369">
        <v>258</v>
      </c>
      <c r="H369">
        <v>0</v>
      </c>
      <c r="I369">
        <v>211</v>
      </c>
      <c r="J369">
        <v>0</v>
      </c>
      <c r="K369">
        <v>1.65E-4</v>
      </c>
      <c r="L369">
        <v>2.4846710000000001</v>
      </c>
      <c r="M369" t="s">
        <v>27</v>
      </c>
      <c r="N369" t="s">
        <v>28</v>
      </c>
      <c r="O369" t="s">
        <v>471</v>
      </c>
      <c r="P369" t="s">
        <v>472</v>
      </c>
      <c r="Q369" t="s">
        <v>473</v>
      </c>
    </row>
    <row r="370" spans="1:17" ht="14.25" customHeight="1" x14ac:dyDescent="0.35">
      <c r="A370" t="s">
        <v>438</v>
      </c>
      <c r="B370">
        <v>39</v>
      </c>
      <c r="C370" t="s">
        <v>786</v>
      </c>
      <c r="D370" t="s">
        <v>421</v>
      </c>
      <c r="E370" t="s">
        <v>25</v>
      </c>
      <c r="F370" t="s">
        <v>62</v>
      </c>
      <c r="G370">
        <v>83</v>
      </c>
      <c r="H370">
        <v>0</v>
      </c>
      <c r="I370">
        <v>0</v>
      </c>
      <c r="J370">
        <v>0</v>
      </c>
      <c r="K370">
        <v>1.9999999999999999E-6</v>
      </c>
      <c r="L370">
        <v>0.301734</v>
      </c>
      <c r="M370" t="s">
        <v>27</v>
      </c>
      <c r="N370" t="s">
        <v>63</v>
      </c>
      <c r="O370" t="s">
        <v>471</v>
      </c>
      <c r="P370" t="s">
        <v>472</v>
      </c>
      <c r="Q370" t="s">
        <v>473</v>
      </c>
    </row>
    <row r="371" spans="1:17" ht="14.25" customHeight="1" x14ac:dyDescent="0.35">
      <c r="A371" t="s">
        <v>438</v>
      </c>
      <c r="B371">
        <v>40</v>
      </c>
      <c r="C371" t="s">
        <v>787</v>
      </c>
      <c r="D371" t="s">
        <v>421</v>
      </c>
      <c r="E371" t="s">
        <v>25</v>
      </c>
      <c r="F371" t="s">
        <v>34</v>
      </c>
      <c r="G371">
        <v>268</v>
      </c>
      <c r="H371">
        <v>0</v>
      </c>
      <c r="I371">
        <v>230</v>
      </c>
      <c r="J371">
        <v>0</v>
      </c>
      <c r="K371">
        <v>1.7799999999999999E-4</v>
      </c>
      <c r="L371">
        <v>2.4613139999999998</v>
      </c>
      <c r="M371" t="s">
        <v>27</v>
      </c>
      <c r="N371" t="s">
        <v>28</v>
      </c>
      <c r="O371" t="s">
        <v>471</v>
      </c>
      <c r="P371" t="s">
        <v>472</v>
      </c>
      <c r="Q371" t="s">
        <v>473</v>
      </c>
    </row>
    <row r="372" spans="1:17" ht="14.25" customHeight="1" x14ac:dyDescent="0.35">
      <c r="A372" t="s">
        <v>438</v>
      </c>
      <c r="B372">
        <v>41</v>
      </c>
      <c r="C372" t="s">
        <v>788</v>
      </c>
      <c r="D372" t="s">
        <v>421</v>
      </c>
      <c r="E372" t="s">
        <v>25</v>
      </c>
      <c r="F372" t="s">
        <v>62</v>
      </c>
      <c r="G372">
        <v>74</v>
      </c>
      <c r="H372">
        <v>0</v>
      </c>
      <c r="I372">
        <v>0</v>
      </c>
      <c r="J372">
        <v>0</v>
      </c>
      <c r="K372">
        <v>9.9999999999999995E-7</v>
      </c>
      <c r="L372">
        <v>0.303846</v>
      </c>
      <c r="M372" t="s">
        <v>27</v>
      </c>
      <c r="N372" t="s">
        <v>63</v>
      </c>
      <c r="O372" t="s">
        <v>471</v>
      </c>
      <c r="P372" t="s">
        <v>472</v>
      </c>
      <c r="Q372" t="s">
        <v>473</v>
      </c>
    </row>
    <row r="373" spans="1:17" ht="14.25" customHeight="1" x14ac:dyDescent="0.35">
      <c r="A373" t="s">
        <v>438</v>
      </c>
      <c r="B373">
        <v>42</v>
      </c>
      <c r="C373" t="s">
        <v>789</v>
      </c>
      <c r="D373" t="s">
        <v>421</v>
      </c>
      <c r="E373" t="s">
        <v>25</v>
      </c>
      <c r="F373" t="s">
        <v>34</v>
      </c>
      <c r="G373">
        <v>258</v>
      </c>
      <c r="H373">
        <v>0</v>
      </c>
      <c r="I373">
        <v>138</v>
      </c>
      <c r="J373">
        <v>0</v>
      </c>
      <c r="K373">
        <v>1.21E-4</v>
      </c>
      <c r="L373">
        <v>1.7687109999999999</v>
      </c>
      <c r="M373" t="s">
        <v>27</v>
      </c>
      <c r="N373" t="s">
        <v>28</v>
      </c>
      <c r="O373" t="s">
        <v>471</v>
      </c>
      <c r="P373" t="s">
        <v>472</v>
      </c>
      <c r="Q373" t="s">
        <v>473</v>
      </c>
    </row>
    <row r="374" spans="1:17" ht="14.25" customHeight="1" x14ac:dyDescent="0.35">
      <c r="A374" t="s">
        <v>438</v>
      </c>
      <c r="B374">
        <v>43</v>
      </c>
      <c r="C374" t="s">
        <v>790</v>
      </c>
      <c r="D374" t="s">
        <v>421</v>
      </c>
      <c r="E374" t="s">
        <v>25</v>
      </c>
      <c r="F374" t="s">
        <v>62</v>
      </c>
      <c r="G374">
        <v>36</v>
      </c>
      <c r="H374">
        <v>0</v>
      </c>
      <c r="I374">
        <v>0</v>
      </c>
      <c r="J374">
        <v>0</v>
      </c>
      <c r="K374">
        <v>9.9999999999999995E-7</v>
      </c>
      <c r="L374">
        <v>0.42364000000000002</v>
      </c>
      <c r="M374" t="s">
        <v>27</v>
      </c>
      <c r="N374" t="s">
        <v>63</v>
      </c>
      <c r="O374" t="s">
        <v>471</v>
      </c>
      <c r="P374" t="s">
        <v>472</v>
      </c>
      <c r="Q374" t="s">
        <v>473</v>
      </c>
    </row>
    <row r="375" spans="1:17" ht="14.25" customHeight="1" x14ac:dyDescent="0.35">
      <c r="A375" t="s">
        <v>438</v>
      </c>
      <c r="B375">
        <v>44</v>
      </c>
      <c r="C375" t="s">
        <v>791</v>
      </c>
      <c r="D375" t="s">
        <v>421</v>
      </c>
      <c r="E375" t="s">
        <v>25</v>
      </c>
      <c r="F375" t="s">
        <v>34</v>
      </c>
      <c r="G375">
        <v>4201</v>
      </c>
      <c r="H375">
        <v>0</v>
      </c>
      <c r="I375">
        <v>12</v>
      </c>
      <c r="J375">
        <v>0</v>
      </c>
      <c r="K375">
        <v>6.3699999999999998E-4</v>
      </c>
      <c r="L375">
        <v>1.3597429999999999</v>
      </c>
      <c r="M375" t="s">
        <v>27</v>
      </c>
      <c r="N375" t="s">
        <v>28</v>
      </c>
      <c r="O375" t="s">
        <v>471</v>
      </c>
      <c r="P375" t="s">
        <v>472</v>
      </c>
      <c r="Q375" t="s">
        <v>473</v>
      </c>
    </row>
    <row r="376" spans="1:17" ht="14.25" customHeight="1" x14ac:dyDescent="0.35">
      <c r="A376" t="s">
        <v>438</v>
      </c>
      <c r="B376">
        <v>45</v>
      </c>
      <c r="C376" t="s">
        <v>791</v>
      </c>
      <c r="D376" t="s">
        <v>421</v>
      </c>
      <c r="E376" t="s">
        <v>25</v>
      </c>
      <c r="F376" t="s">
        <v>62</v>
      </c>
      <c r="G376">
        <v>99</v>
      </c>
      <c r="H376">
        <v>0</v>
      </c>
      <c r="I376">
        <v>0</v>
      </c>
      <c r="J376">
        <v>0</v>
      </c>
      <c r="K376">
        <v>1.9999999999999999E-6</v>
      </c>
      <c r="L376">
        <v>0.30693300000000001</v>
      </c>
      <c r="M376" t="s">
        <v>27</v>
      </c>
      <c r="N376" t="s">
        <v>63</v>
      </c>
      <c r="O376" t="s">
        <v>471</v>
      </c>
      <c r="P376" t="s">
        <v>472</v>
      </c>
      <c r="Q376" t="s">
        <v>473</v>
      </c>
    </row>
    <row r="377" spans="1:17" ht="14.25" customHeight="1" x14ac:dyDescent="0.35">
      <c r="A377" t="s">
        <v>438</v>
      </c>
      <c r="B377">
        <v>46</v>
      </c>
      <c r="C377" t="s">
        <v>792</v>
      </c>
      <c r="D377" t="s">
        <v>421</v>
      </c>
      <c r="E377" t="s">
        <v>25</v>
      </c>
      <c r="F377" t="s">
        <v>34</v>
      </c>
      <c r="G377">
        <v>3442</v>
      </c>
      <c r="H377">
        <v>0</v>
      </c>
      <c r="I377">
        <v>180</v>
      </c>
      <c r="J377">
        <v>0</v>
      </c>
      <c r="K377">
        <v>6.2399999999999999E-4</v>
      </c>
      <c r="L377">
        <v>2.4462600000000001</v>
      </c>
      <c r="M377" t="s">
        <v>27</v>
      </c>
      <c r="N377" t="s">
        <v>28</v>
      </c>
      <c r="O377" t="s">
        <v>471</v>
      </c>
      <c r="P377" t="s">
        <v>472</v>
      </c>
      <c r="Q377" t="s">
        <v>473</v>
      </c>
    </row>
    <row r="378" spans="1:17" ht="14.25" customHeight="1" x14ac:dyDescent="0.35">
      <c r="A378" t="s">
        <v>438</v>
      </c>
      <c r="B378">
        <v>47</v>
      </c>
      <c r="C378" t="s">
        <v>793</v>
      </c>
      <c r="D378" t="s">
        <v>421</v>
      </c>
      <c r="E378" t="s">
        <v>25</v>
      </c>
      <c r="F378" t="s">
        <v>62</v>
      </c>
      <c r="G378">
        <v>442</v>
      </c>
      <c r="H378">
        <v>0</v>
      </c>
      <c r="I378">
        <v>0</v>
      </c>
      <c r="J378">
        <v>0</v>
      </c>
      <c r="K378">
        <v>9.0000000000000002E-6</v>
      </c>
      <c r="L378">
        <v>0.30204700000000001</v>
      </c>
      <c r="M378" t="s">
        <v>27</v>
      </c>
      <c r="N378" t="s">
        <v>63</v>
      </c>
      <c r="O378" t="s">
        <v>471</v>
      </c>
      <c r="P378" t="s">
        <v>472</v>
      </c>
      <c r="Q378" t="s">
        <v>473</v>
      </c>
    </row>
    <row r="379" spans="1:17" ht="14.25" customHeight="1" x14ac:dyDescent="0.35">
      <c r="A379" t="s">
        <v>438</v>
      </c>
      <c r="B379">
        <v>48</v>
      </c>
      <c r="C379" t="s">
        <v>794</v>
      </c>
      <c r="D379" t="s">
        <v>421</v>
      </c>
      <c r="E379" t="s">
        <v>25</v>
      </c>
      <c r="F379" t="s">
        <v>34</v>
      </c>
      <c r="G379">
        <v>4069</v>
      </c>
      <c r="H379">
        <v>1024</v>
      </c>
      <c r="I379">
        <v>336</v>
      </c>
      <c r="J379">
        <v>0</v>
      </c>
      <c r="K379">
        <v>7.3499999999999998E-4</v>
      </c>
      <c r="L379">
        <v>3.1855319999999998</v>
      </c>
      <c r="M379" t="s">
        <v>27</v>
      </c>
      <c r="N379" t="s">
        <v>28</v>
      </c>
      <c r="O379" t="s">
        <v>471</v>
      </c>
      <c r="P379" t="s">
        <v>472</v>
      </c>
      <c r="Q379" t="s">
        <v>473</v>
      </c>
    </row>
    <row r="380" spans="1:17" ht="14.25" customHeight="1" x14ac:dyDescent="0.35">
      <c r="A380" t="s">
        <v>438</v>
      </c>
      <c r="B380">
        <v>49</v>
      </c>
      <c r="C380" t="s">
        <v>794</v>
      </c>
      <c r="D380" t="s">
        <v>421</v>
      </c>
      <c r="E380" t="s">
        <v>25</v>
      </c>
      <c r="F380" t="s">
        <v>62</v>
      </c>
      <c r="G380">
        <v>74</v>
      </c>
      <c r="H380">
        <v>0</v>
      </c>
      <c r="I380">
        <v>0</v>
      </c>
      <c r="J380">
        <v>0</v>
      </c>
      <c r="K380">
        <v>9.9999999999999995E-7</v>
      </c>
      <c r="L380">
        <v>0.28914200000000001</v>
      </c>
      <c r="M380" t="s">
        <v>27</v>
      </c>
      <c r="N380" t="s">
        <v>63</v>
      </c>
      <c r="O380" t="s">
        <v>471</v>
      </c>
      <c r="P380" t="s">
        <v>472</v>
      </c>
      <c r="Q380" t="s">
        <v>473</v>
      </c>
    </row>
    <row r="381" spans="1:17" ht="14.25" customHeight="1" x14ac:dyDescent="0.35">
      <c r="A381" t="s">
        <v>438</v>
      </c>
      <c r="B381">
        <v>50</v>
      </c>
      <c r="C381" t="s">
        <v>795</v>
      </c>
      <c r="D381" t="s">
        <v>421</v>
      </c>
      <c r="E381" t="s">
        <v>25</v>
      </c>
      <c r="F381" t="s">
        <v>34</v>
      </c>
      <c r="G381">
        <v>4640</v>
      </c>
      <c r="H381">
        <v>0</v>
      </c>
      <c r="I381">
        <v>280</v>
      </c>
      <c r="J381">
        <v>0</v>
      </c>
      <c r="K381">
        <v>8.6399999999999997E-4</v>
      </c>
      <c r="L381">
        <v>6.6147</v>
      </c>
      <c r="M381" t="s">
        <v>27</v>
      </c>
      <c r="N381" t="s">
        <v>28</v>
      </c>
      <c r="O381" t="s">
        <v>471</v>
      </c>
      <c r="P381" t="s">
        <v>472</v>
      </c>
      <c r="Q381" t="s">
        <v>473</v>
      </c>
    </row>
    <row r="382" spans="1:17" ht="14.25" customHeight="1" x14ac:dyDescent="0.35">
      <c r="A382" t="s">
        <v>438</v>
      </c>
      <c r="B382">
        <v>51</v>
      </c>
      <c r="C382" t="s">
        <v>796</v>
      </c>
      <c r="D382" t="s">
        <v>421</v>
      </c>
      <c r="E382" t="s">
        <v>25</v>
      </c>
      <c r="F382" t="s">
        <v>62</v>
      </c>
      <c r="G382">
        <v>83</v>
      </c>
      <c r="H382">
        <v>0</v>
      </c>
      <c r="I382">
        <v>0</v>
      </c>
      <c r="J382">
        <v>0</v>
      </c>
      <c r="K382">
        <v>1.9999999999999999E-6</v>
      </c>
      <c r="L382">
        <v>0.61298900000000001</v>
      </c>
      <c r="M382" t="s">
        <v>27</v>
      </c>
      <c r="N382" t="s">
        <v>63</v>
      </c>
      <c r="O382" t="s">
        <v>471</v>
      </c>
      <c r="P382" t="s">
        <v>472</v>
      </c>
      <c r="Q382" t="s">
        <v>473</v>
      </c>
    </row>
    <row r="383" spans="1:17" ht="14.25" customHeight="1" x14ac:dyDescent="0.35">
      <c r="A383" t="s">
        <v>438</v>
      </c>
      <c r="B383">
        <v>52</v>
      </c>
      <c r="C383" t="s">
        <v>797</v>
      </c>
      <c r="D383" t="s">
        <v>421</v>
      </c>
      <c r="E383" t="s">
        <v>25</v>
      </c>
      <c r="F383" t="s">
        <v>34</v>
      </c>
      <c r="G383">
        <v>4261</v>
      </c>
      <c r="H383">
        <v>1024</v>
      </c>
      <c r="I383">
        <v>270</v>
      </c>
      <c r="J383">
        <v>0</v>
      </c>
      <c r="K383">
        <v>7.2400000000000003E-4</v>
      </c>
      <c r="L383">
        <v>3.2626849999999998</v>
      </c>
      <c r="M383" t="s">
        <v>27</v>
      </c>
      <c r="N383" t="s">
        <v>28</v>
      </c>
      <c r="O383" t="s">
        <v>471</v>
      </c>
      <c r="P383" t="s">
        <v>472</v>
      </c>
      <c r="Q383" t="s">
        <v>473</v>
      </c>
    </row>
    <row r="384" spans="1:17" ht="14.25" customHeight="1" x14ac:dyDescent="0.35">
      <c r="A384" t="s">
        <v>438</v>
      </c>
      <c r="B384">
        <v>53</v>
      </c>
      <c r="C384" t="s">
        <v>797</v>
      </c>
      <c r="D384" t="s">
        <v>421</v>
      </c>
      <c r="E384" t="s">
        <v>25</v>
      </c>
      <c r="F384" t="s">
        <v>62</v>
      </c>
      <c r="G384">
        <v>74</v>
      </c>
      <c r="H384">
        <v>0</v>
      </c>
      <c r="I384">
        <v>0</v>
      </c>
      <c r="J384">
        <v>0</v>
      </c>
      <c r="K384">
        <v>9.9999999999999995E-7</v>
      </c>
      <c r="L384">
        <v>0.30241000000000001</v>
      </c>
      <c r="M384" t="s">
        <v>27</v>
      </c>
      <c r="N384" t="s">
        <v>63</v>
      </c>
      <c r="O384" t="s">
        <v>471</v>
      </c>
      <c r="P384" t="s">
        <v>472</v>
      </c>
      <c r="Q384" t="s">
        <v>473</v>
      </c>
    </row>
    <row r="385" spans="1:17" ht="14.25" customHeight="1" x14ac:dyDescent="0.35">
      <c r="A385" t="s">
        <v>438</v>
      </c>
      <c r="B385">
        <v>54</v>
      </c>
      <c r="C385" t="s">
        <v>798</v>
      </c>
      <c r="D385" t="s">
        <v>421</v>
      </c>
      <c r="E385" t="s">
        <v>25</v>
      </c>
      <c r="F385" t="s">
        <v>34</v>
      </c>
      <c r="G385">
        <v>3409</v>
      </c>
      <c r="H385">
        <v>0</v>
      </c>
      <c r="I385">
        <v>258</v>
      </c>
      <c r="J385">
        <v>0</v>
      </c>
      <c r="K385">
        <v>6.6600000000000003E-4</v>
      </c>
      <c r="L385">
        <v>2.795452</v>
      </c>
      <c r="M385" t="s">
        <v>27</v>
      </c>
      <c r="N385" t="s">
        <v>28</v>
      </c>
      <c r="O385" t="s">
        <v>471</v>
      </c>
      <c r="P385" t="s">
        <v>472</v>
      </c>
      <c r="Q385" t="s">
        <v>473</v>
      </c>
    </row>
    <row r="386" spans="1:17" ht="14.25" customHeight="1" x14ac:dyDescent="0.35">
      <c r="A386" t="s">
        <v>438</v>
      </c>
      <c r="B386">
        <v>55</v>
      </c>
      <c r="C386" t="s">
        <v>799</v>
      </c>
      <c r="D386" t="s">
        <v>421</v>
      </c>
      <c r="E386" t="s">
        <v>25</v>
      </c>
      <c r="F386" t="s">
        <v>62</v>
      </c>
      <c r="G386">
        <v>36</v>
      </c>
      <c r="H386">
        <v>0</v>
      </c>
      <c r="I386">
        <v>0</v>
      </c>
      <c r="J386">
        <v>0</v>
      </c>
      <c r="K386">
        <v>9.9999999999999995E-7</v>
      </c>
      <c r="L386">
        <v>0.50748499999999996</v>
      </c>
      <c r="M386" t="s">
        <v>27</v>
      </c>
      <c r="N386" t="s">
        <v>63</v>
      </c>
      <c r="O386" t="s">
        <v>471</v>
      </c>
      <c r="P386" t="s">
        <v>472</v>
      </c>
      <c r="Q386" t="s">
        <v>473</v>
      </c>
    </row>
    <row r="387" spans="1:17" ht="14.25" customHeight="1" x14ac:dyDescent="0.35">
      <c r="A387" t="s">
        <v>438</v>
      </c>
      <c r="B387">
        <v>56</v>
      </c>
      <c r="C387" t="s">
        <v>800</v>
      </c>
      <c r="D387" t="s">
        <v>421</v>
      </c>
      <c r="E387" t="s">
        <v>25</v>
      </c>
      <c r="F387" t="s">
        <v>34</v>
      </c>
      <c r="G387">
        <v>3377</v>
      </c>
      <c r="H387">
        <v>0</v>
      </c>
      <c r="I387">
        <v>15</v>
      </c>
      <c r="J387">
        <v>0</v>
      </c>
      <c r="K387">
        <v>5.1599999999999997E-4</v>
      </c>
      <c r="L387">
        <v>1.0119180000000001</v>
      </c>
      <c r="M387" t="s">
        <v>27</v>
      </c>
      <c r="N387" t="s">
        <v>28</v>
      </c>
      <c r="O387" t="s">
        <v>471</v>
      </c>
      <c r="P387" t="s">
        <v>472</v>
      </c>
      <c r="Q387" t="s">
        <v>473</v>
      </c>
    </row>
    <row r="388" spans="1:17" ht="14.25" customHeight="1" x14ac:dyDescent="0.35">
      <c r="A388" t="s">
        <v>438</v>
      </c>
      <c r="B388">
        <v>57</v>
      </c>
      <c r="C388" t="s">
        <v>800</v>
      </c>
      <c r="D388" t="s">
        <v>421</v>
      </c>
      <c r="E388" t="s">
        <v>25</v>
      </c>
      <c r="F388" t="s">
        <v>62</v>
      </c>
      <c r="G388">
        <v>99</v>
      </c>
      <c r="H388">
        <v>0</v>
      </c>
      <c r="I388">
        <v>0</v>
      </c>
      <c r="J388">
        <v>0</v>
      </c>
      <c r="K388">
        <v>1.9999999999999999E-6</v>
      </c>
      <c r="L388">
        <v>0.19738900000000001</v>
      </c>
      <c r="M388" t="s">
        <v>27</v>
      </c>
      <c r="N388" t="s">
        <v>63</v>
      </c>
      <c r="O388" t="s">
        <v>471</v>
      </c>
      <c r="P388" t="s">
        <v>472</v>
      </c>
      <c r="Q388" t="s">
        <v>473</v>
      </c>
    </row>
    <row r="389" spans="1:17" ht="14.25" customHeight="1" x14ac:dyDescent="0.35">
      <c r="A389" t="s">
        <v>438</v>
      </c>
      <c r="B389">
        <v>58</v>
      </c>
      <c r="C389" t="s">
        <v>801</v>
      </c>
      <c r="D389" t="s">
        <v>421</v>
      </c>
      <c r="E389" t="s">
        <v>25</v>
      </c>
      <c r="F389" t="s">
        <v>34</v>
      </c>
      <c r="G389">
        <v>3513</v>
      </c>
      <c r="H389">
        <v>0</v>
      </c>
      <c r="I389">
        <v>228</v>
      </c>
      <c r="J389">
        <v>0</v>
      </c>
      <c r="K389">
        <v>6.6399999999999999E-4</v>
      </c>
      <c r="L389">
        <v>3.2216339999999999</v>
      </c>
      <c r="M389" t="s">
        <v>27</v>
      </c>
      <c r="N389" t="s">
        <v>28</v>
      </c>
      <c r="O389" t="s">
        <v>471</v>
      </c>
      <c r="P389" t="s">
        <v>472</v>
      </c>
      <c r="Q389" t="s">
        <v>473</v>
      </c>
    </row>
    <row r="390" spans="1:17" ht="14.25" customHeight="1" x14ac:dyDescent="0.35">
      <c r="A390" t="s">
        <v>438</v>
      </c>
      <c r="B390">
        <v>59</v>
      </c>
      <c r="C390" t="s">
        <v>801</v>
      </c>
      <c r="D390" t="s">
        <v>421</v>
      </c>
      <c r="E390" t="s">
        <v>25</v>
      </c>
      <c r="F390" t="s">
        <v>62</v>
      </c>
      <c r="G390">
        <v>442</v>
      </c>
      <c r="H390">
        <v>0</v>
      </c>
      <c r="I390">
        <v>0</v>
      </c>
      <c r="J390">
        <v>0</v>
      </c>
      <c r="K390">
        <v>9.0000000000000002E-6</v>
      </c>
      <c r="L390">
        <v>0.29922300000000002</v>
      </c>
      <c r="M390" t="s">
        <v>27</v>
      </c>
      <c r="N390" t="s">
        <v>63</v>
      </c>
      <c r="O390" t="s">
        <v>471</v>
      </c>
      <c r="P390" t="s">
        <v>472</v>
      </c>
      <c r="Q390" t="s">
        <v>473</v>
      </c>
    </row>
    <row r="391" spans="1:17" ht="14.25" customHeight="1" x14ac:dyDescent="0.35">
      <c r="A391" t="s">
        <v>438</v>
      </c>
      <c r="B391">
        <v>60</v>
      </c>
      <c r="C391" t="s">
        <v>802</v>
      </c>
      <c r="D391" t="s">
        <v>421</v>
      </c>
      <c r="E391" t="s">
        <v>25</v>
      </c>
      <c r="F391" t="s">
        <v>34</v>
      </c>
      <c r="G391">
        <v>3636</v>
      </c>
      <c r="H391">
        <v>0</v>
      </c>
      <c r="I391">
        <v>308</v>
      </c>
      <c r="J391">
        <v>0</v>
      </c>
      <c r="K391">
        <v>7.2999999999999996E-4</v>
      </c>
      <c r="L391">
        <v>3.747277</v>
      </c>
      <c r="M391" t="s">
        <v>27</v>
      </c>
      <c r="N391" t="s">
        <v>28</v>
      </c>
      <c r="O391" t="s">
        <v>471</v>
      </c>
      <c r="P391" t="s">
        <v>472</v>
      </c>
      <c r="Q391" t="s">
        <v>473</v>
      </c>
    </row>
    <row r="392" spans="1:17" ht="14.25" customHeight="1" x14ac:dyDescent="0.35">
      <c r="A392" t="s">
        <v>438</v>
      </c>
      <c r="B392">
        <v>61</v>
      </c>
      <c r="C392" t="s">
        <v>802</v>
      </c>
      <c r="D392" t="s">
        <v>421</v>
      </c>
      <c r="E392" t="s">
        <v>25</v>
      </c>
      <c r="F392" t="s">
        <v>62</v>
      </c>
      <c r="G392">
        <v>74</v>
      </c>
      <c r="H392">
        <v>0</v>
      </c>
      <c r="I392">
        <v>0</v>
      </c>
      <c r="J392">
        <v>0</v>
      </c>
      <c r="K392">
        <v>9.9999999999999995E-7</v>
      </c>
      <c r="L392">
        <v>0.31255500000000003</v>
      </c>
      <c r="M392" t="s">
        <v>27</v>
      </c>
      <c r="N392" t="s">
        <v>63</v>
      </c>
      <c r="O392" t="s">
        <v>471</v>
      </c>
      <c r="P392" t="s">
        <v>472</v>
      </c>
      <c r="Q392" t="s">
        <v>473</v>
      </c>
    </row>
    <row r="393" spans="1:17" ht="14.25" customHeight="1" x14ac:dyDescent="0.35">
      <c r="A393" t="s">
        <v>438</v>
      </c>
      <c r="B393">
        <v>62</v>
      </c>
      <c r="C393" t="s">
        <v>803</v>
      </c>
      <c r="D393" t="s">
        <v>421</v>
      </c>
      <c r="E393" t="s">
        <v>25</v>
      </c>
      <c r="F393" t="s">
        <v>34</v>
      </c>
      <c r="G393">
        <v>3583</v>
      </c>
      <c r="H393">
        <v>0</v>
      </c>
      <c r="I393">
        <v>253</v>
      </c>
      <c r="J393">
        <v>0</v>
      </c>
      <c r="K393">
        <v>6.8900000000000005E-4</v>
      </c>
      <c r="L393">
        <v>4.1087040000000004</v>
      </c>
      <c r="M393" t="s">
        <v>27</v>
      </c>
      <c r="N393" t="s">
        <v>28</v>
      </c>
      <c r="O393" t="s">
        <v>471</v>
      </c>
      <c r="P393" t="s">
        <v>472</v>
      </c>
      <c r="Q393" t="s">
        <v>473</v>
      </c>
    </row>
    <row r="394" spans="1:17" ht="14.25" customHeight="1" x14ac:dyDescent="0.35">
      <c r="A394" t="s">
        <v>438</v>
      </c>
      <c r="B394">
        <v>63</v>
      </c>
      <c r="C394" t="s">
        <v>803</v>
      </c>
      <c r="D394" t="s">
        <v>421</v>
      </c>
      <c r="E394" t="s">
        <v>25</v>
      </c>
      <c r="F394" t="s">
        <v>62</v>
      </c>
      <c r="G394">
        <v>83</v>
      </c>
      <c r="H394">
        <v>0</v>
      </c>
      <c r="I394">
        <v>0</v>
      </c>
      <c r="J394">
        <v>0</v>
      </c>
      <c r="K394">
        <v>1.9999999999999999E-6</v>
      </c>
      <c r="L394">
        <v>0.25021700000000002</v>
      </c>
      <c r="M394" t="s">
        <v>27</v>
      </c>
      <c r="N394" t="s">
        <v>63</v>
      </c>
      <c r="O394" t="s">
        <v>471</v>
      </c>
      <c r="P394" t="s">
        <v>472</v>
      </c>
      <c r="Q394" t="s">
        <v>473</v>
      </c>
    </row>
    <row r="395" spans="1:17" ht="14.25" customHeight="1" x14ac:dyDescent="0.35">
      <c r="A395" t="s">
        <v>438</v>
      </c>
      <c r="B395">
        <v>64</v>
      </c>
      <c r="C395" t="s">
        <v>804</v>
      </c>
      <c r="D395" t="s">
        <v>421</v>
      </c>
      <c r="E395" t="s">
        <v>25</v>
      </c>
      <c r="F395" t="s">
        <v>34</v>
      </c>
      <c r="G395">
        <v>3920</v>
      </c>
      <c r="H395">
        <v>0</v>
      </c>
      <c r="I395">
        <v>283</v>
      </c>
      <c r="J395">
        <v>0</v>
      </c>
      <c r="K395">
        <v>7.5799999999999999E-4</v>
      </c>
      <c r="L395">
        <v>3.3545340000000001</v>
      </c>
      <c r="M395" t="s">
        <v>27</v>
      </c>
      <c r="N395" t="s">
        <v>28</v>
      </c>
      <c r="O395" t="s">
        <v>471</v>
      </c>
      <c r="P395" t="s">
        <v>472</v>
      </c>
      <c r="Q395" t="s">
        <v>473</v>
      </c>
    </row>
    <row r="396" spans="1:17" ht="14.25" customHeight="1" x14ac:dyDescent="0.35">
      <c r="A396" t="s">
        <v>438</v>
      </c>
      <c r="B396">
        <v>65</v>
      </c>
      <c r="C396" t="s">
        <v>805</v>
      </c>
      <c r="D396" t="s">
        <v>421</v>
      </c>
      <c r="E396" t="s">
        <v>25</v>
      </c>
      <c r="F396" t="s">
        <v>62</v>
      </c>
      <c r="G396">
        <v>74</v>
      </c>
      <c r="H396">
        <v>0</v>
      </c>
      <c r="I396">
        <v>0</v>
      </c>
      <c r="J396">
        <v>0</v>
      </c>
      <c r="K396">
        <v>9.9999999999999995E-7</v>
      </c>
      <c r="L396">
        <v>0.29531600000000002</v>
      </c>
      <c r="M396" t="s">
        <v>27</v>
      </c>
      <c r="N396" t="s">
        <v>63</v>
      </c>
      <c r="O396" t="s">
        <v>471</v>
      </c>
      <c r="P396" t="s">
        <v>472</v>
      </c>
      <c r="Q396" t="s">
        <v>473</v>
      </c>
    </row>
    <row r="397" spans="1:17" ht="14.25" customHeight="1" x14ac:dyDescent="0.35">
      <c r="A397" t="s">
        <v>438</v>
      </c>
      <c r="B397">
        <v>66</v>
      </c>
      <c r="C397" t="s">
        <v>806</v>
      </c>
      <c r="D397" t="s">
        <v>421</v>
      </c>
      <c r="E397" t="s">
        <v>25</v>
      </c>
      <c r="F397" t="s">
        <v>34</v>
      </c>
      <c r="G397">
        <v>3348</v>
      </c>
      <c r="H397">
        <v>0</v>
      </c>
      <c r="I397">
        <v>286</v>
      </c>
      <c r="J397">
        <v>0</v>
      </c>
      <c r="K397">
        <v>6.7400000000000001E-4</v>
      </c>
      <c r="L397">
        <v>3.0145179999999998</v>
      </c>
      <c r="M397" t="s">
        <v>27</v>
      </c>
      <c r="N397" t="s">
        <v>28</v>
      </c>
      <c r="O397" t="s">
        <v>471</v>
      </c>
      <c r="P397" t="s">
        <v>472</v>
      </c>
      <c r="Q397" t="s">
        <v>473</v>
      </c>
    </row>
    <row r="398" spans="1:17" ht="14.25" customHeight="1" x14ac:dyDescent="0.35">
      <c r="A398" t="s">
        <v>22</v>
      </c>
      <c r="B398">
        <v>1</v>
      </c>
      <c r="C398" t="s">
        <v>23</v>
      </c>
      <c r="D398" t="s">
        <v>24</v>
      </c>
      <c r="E398" t="s">
        <v>25</v>
      </c>
      <c r="F398" t="s">
        <v>26</v>
      </c>
      <c r="G398">
        <v>1176</v>
      </c>
      <c r="H398">
        <v>1024</v>
      </c>
      <c r="I398">
        <v>48</v>
      </c>
      <c r="J398">
        <v>0</v>
      </c>
      <c r="K398">
        <v>2.14E-3</v>
      </c>
      <c r="L398">
        <v>2.550754</v>
      </c>
      <c r="M398" t="s">
        <v>27</v>
      </c>
      <c r="N398" t="s">
        <v>28</v>
      </c>
      <c r="O398" t="s">
        <v>29</v>
      </c>
      <c r="P398" t="s">
        <v>30</v>
      </c>
      <c r="Q398" t="s">
        <v>31</v>
      </c>
    </row>
    <row r="399" spans="1:17" ht="14.25" customHeight="1" x14ac:dyDescent="0.35">
      <c r="A399" t="s">
        <v>22</v>
      </c>
      <c r="B399">
        <v>2</v>
      </c>
      <c r="C399" t="s">
        <v>32</v>
      </c>
      <c r="D399" t="s">
        <v>33</v>
      </c>
      <c r="E399" t="s">
        <v>25</v>
      </c>
      <c r="F399" t="s">
        <v>34</v>
      </c>
      <c r="G399">
        <v>427</v>
      </c>
      <c r="H399">
        <v>0</v>
      </c>
      <c r="I399">
        <v>97</v>
      </c>
      <c r="J399">
        <v>0</v>
      </c>
      <c r="K399">
        <v>1.22E-4</v>
      </c>
      <c r="L399">
        <v>1.996683</v>
      </c>
      <c r="M399" t="s">
        <v>27</v>
      </c>
      <c r="N399" t="s">
        <v>28</v>
      </c>
      <c r="O399" t="s">
        <v>35</v>
      </c>
      <c r="P399" t="s">
        <v>36</v>
      </c>
      <c r="Q399" t="s">
        <v>37</v>
      </c>
    </row>
    <row r="400" spans="1:17" ht="14.25" customHeight="1" x14ac:dyDescent="0.35">
      <c r="A400" t="s">
        <v>22</v>
      </c>
      <c r="B400">
        <v>3</v>
      </c>
      <c r="C400" t="s">
        <v>38</v>
      </c>
      <c r="D400" t="s">
        <v>39</v>
      </c>
      <c r="E400" t="s">
        <v>40</v>
      </c>
      <c r="F400" t="s">
        <v>41</v>
      </c>
      <c r="G400">
        <v>661</v>
      </c>
      <c r="H400">
        <v>0</v>
      </c>
      <c r="I400">
        <v>2314</v>
      </c>
      <c r="J400">
        <v>5.0000000000000001E-3</v>
      </c>
      <c r="K400">
        <v>7.9799999999999992E-3</v>
      </c>
      <c r="L400">
        <v>32.168193000000002</v>
      </c>
      <c r="M400" t="s">
        <v>27</v>
      </c>
      <c r="N400" t="s">
        <v>42</v>
      </c>
      <c r="O400" t="s">
        <v>43</v>
      </c>
      <c r="P400" t="s">
        <v>44</v>
      </c>
      <c r="Q400" t="s">
        <v>45</v>
      </c>
    </row>
    <row r="401" spans="1:17" ht="14.25" customHeight="1" x14ac:dyDescent="0.35">
      <c r="A401" t="s">
        <v>22</v>
      </c>
      <c r="B401">
        <v>4</v>
      </c>
      <c r="C401" t="s">
        <v>46</v>
      </c>
      <c r="D401" t="s">
        <v>39</v>
      </c>
      <c r="E401" t="s">
        <v>47</v>
      </c>
      <c r="F401" t="s">
        <v>47</v>
      </c>
      <c r="G401">
        <v>0</v>
      </c>
      <c r="H401">
        <v>0</v>
      </c>
      <c r="I401">
        <v>0</v>
      </c>
      <c r="J401">
        <v>1E-3</v>
      </c>
      <c r="K401">
        <v>1E-3</v>
      </c>
      <c r="L401">
        <v>2.1617060000000001</v>
      </c>
      <c r="M401" t="s">
        <v>27</v>
      </c>
      <c r="N401" t="s">
        <v>48</v>
      </c>
      <c r="O401" t="s">
        <v>49</v>
      </c>
      <c r="P401" t="s">
        <v>50</v>
      </c>
      <c r="Q401" t="s">
        <v>51</v>
      </c>
    </row>
    <row r="402" spans="1:17" ht="14.25" customHeight="1" x14ac:dyDescent="0.35">
      <c r="A402" t="s">
        <v>22</v>
      </c>
      <c r="B402">
        <v>5</v>
      </c>
      <c r="C402" t="s">
        <v>52</v>
      </c>
      <c r="D402" t="s">
        <v>39</v>
      </c>
      <c r="E402" t="s">
        <v>47</v>
      </c>
      <c r="F402" t="s">
        <v>47</v>
      </c>
      <c r="G402">
        <v>0</v>
      </c>
      <c r="H402">
        <v>0</v>
      </c>
      <c r="I402">
        <v>0</v>
      </c>
      <c r="J402">
        <v>1E-3</v>
      </c>
      <c r="K402">
        <v>1E-3</v>
      </c>
      <c r="L402">
        <v>0.99217999999999995</v>
      </c>
      <c r="M402" t="s">
        <v>27</v>
      </c>
      <c r="N402" t="s">
        <v>48</v>
      </c>
      <c r="O402" t="s">
        <v>49</v>
      </c>
      <c r="P402" t="s">
        <v>50</v>
      </c>
      <c r="Q402" t="s">
        <v>51</v>
      </c>
    </row>
    <row r="403" spans="1:17" ht="14.25" customHeight="1" x14ac:dyDescent="0.35">
      <c r="A403" t="s">
        <v>22</v>
      </c>
      <c r="B403">
        <v>6</v>
      </c>
      <c r="C403" t="s">
        <v>53</v>
      </c>
      <c r="D403" t="s">
        <v>39</v>
      </c>
      <c r="E403" t="s">
        <v>47</v>
      </c>
      <c r="F403" t="s">
        <v>47</v>
      </c>
      <c r="G403">
        <v>0</v>
      </c>
      <c r="H403">
        <v>0</v>
      </c>
      <c r="I403">
        <v>0</v>
      </c>
      <c r="J403">
        <v>1E-3</v>
      </c>
      <c r="K403">
        <v>1E-3</v>
      </c>
      <c r="L403">
        <v>1.1279330000000001</v>
      </c>
      <c r="M403" t="s">
        <v>27</v>
      </c>
      <c r="N403" t="s">
        <v>48</v>
      </c>
      <c r="O403" t="s">
        <v>49</v>
      </c>
      <c r="P403" t="s">
        <v>50</v>
      </c>
      <c r="Q403" t="s">
        <v>51</v>
      </c>
    </row>
    <row r="404" spans="1:17" ht="14.25" customHeight="1" x14ac:dyDescent="0.35">
      <c r="A404" t="s">
        <v>22</v>
      </c>
      <c r="B404">
        <v>7</v>
      </c>
      <c r="C404" t="s">
        <v>54</v>
      </c>
      <c r="D404" t="s">
        <v>55</v>
      </c>
      <c r="E404" t="s">
        <v>25</v>
      </c>
      <c r="F404" t="s">
        <v>26</v>
      </c>
      <c r="G404">
        <v>11018</v>
      </c>
      <c r="H404">
        <v>0</v>
      </c>
      <c r="I404">
        <v>1478</v>
      </c>
      <c r="J404">
        <v>0</v>
      </c>
      <c r="K404">
        <v>4.2325000000000002E-2</v>
      </c>
      <c r="L404">
        <v>17.887916000000001</v>
      </c>
      <c r="M404" t="s">
        <v>27</v>
      </c>
      <c r="N404" t="s">
        <v>28</v>
      </c>
      <c r="O404" t="s">
        <v>56</v>
      </c>
      <c r="P404" t="s">
        <v>57</v>
      </c>
      <c r="Q404" t="s">
        <v>58</v>
      </c>
    </row>
    <row r="405" spans="1:17" ht="14.25" customHeight="1" x14ac:dyDescent="0.35">
      <c r="A405" t="s">
        <v>22</v>
      </c>
      <c r="B405">
        <v>8</v>
      </c>
      <c r="C405" t="s">
        <v>59</v>
      </c>
      <c r="D405" t="s">
        <v>55</v>
      </c>
      <c r="E405" t="s">
        <v>25</v>
      </c>
      <c r="F405" t="s">
        <v>26</v>
      </c>
      <c r="G405">
        <v>12597</v>
      </c>
      <c r="H405">
        <v>12288</v>
      </c>
      <c r="I405">
        <v>1895</v>
      </c>
      <c r="J405">
        <v>0</v>
      </c>
      <c r="K405">
        <v>3.5083000000000003E-2</v>
      </c>
      <c r="L405">
        <v>16.876331</v>
      </c>
      <c r="M405" t="s">
        <v>27</v>
      </c>
      <c r="N405" t="s">
        <v>28</v>
      </c>
      <c r="O405" t="s">
        <v>56</v>
      </c>
      <c r="P405" t="s">
        <v>57</v>
      </c>
      <c r="Q405" t="s">
        <v>58</v>
      </c>
    </row>
    <row r="406" spans="1:17" ht="14.25" customHeight="1" x14ac:dyDescent="0.35">
      <c r="A406" t="s">
        <v>22</v>
      </c>
      <c r="B406">
        <v>9</v>
      </c>
      <c r="C406" t="s">
        <v>60</v>
      </c>
      <c r="D406" t="s">
        <v>61</v>
      </c>
      <c r="E406" t="s">
        <v>25</v>
      </c>
      <c r="F406" t="s">
        <v>62</v>
      </c>
      <c r="G406">
        <v>6</v>
      </c>
      <c r="H406">
        <v>0</v>
      </c>
      <c r="I406">
        <v>0</v>
      </c>
      <c r="J406">
        <v>0</v>
      </c>
      <c r="K406">
        <v>0</v>
      </c>
      <c r="L406">
        <v>1.243034</v>
      </c>
      <c r="M406" t="s">
        <v>27</v>
      </c>
      <c r="N406" t="s">
        <v>63</v>
      </c>
      <c r="O406" t="s">
        <v>64</v>
      </c>
      <c r="P406" t="s">
        <v>65</v>
      </c>
      <c r="Q406" t="s">
        <v>66</v>
      </c>
    </row>
    <row r="407" spans="1:17" ht="14.25" customHeight="1" x14ac:dyDescent="0.35">
      <c r="A407" t="s">
        <v>22</v>
      </c>
      <c r="B407">
        <v>10</v>
      </c>
      <c r="C407" t="s">
        <v>67</v>
      </c>
      <c r="D407" t="s">
        <v>61</v>
      </c>
      <c r="E407" t="s">
        <v>25</v>
      </c>
      <c r="F407" t="s">
        <v>62</v>
      </c>
      <c r="G407">
        <v>4</v>
      </c>
      <c r="H407">
        <v>0</v>
      </c>
      <c r="I407">
        <v>0</v>
      </c>
      <c r="J407">
        <v>0</v>
      </c>
      <c r="K407">
        <v>0</v>
      </c>
      <c r="L407">
        <v>0.21359300000000001</v>
      </c>
      <c r="M407" t="s">
        <v>27</v>
      </c>
      <c r="N407" t="s">
        <v>63</v>
      </c>
      <c r="O407" t="s">
        <v>64</v>
      </c>
      <c r="P407" t="s">
        <v>65</v>
      </c>
      <c r="Q407" t="s">
        <v>66</v>
      </c>
    </row>
    <row r="408" spans="1:17" ht="14.25" customHeight="1" x14ac:dyDescent="0.35">
      <c r="A408" t="s">
        <v>22</v>
      </c>
      <c r="B408">
        <v>11</v>
      </c>
      <c r="C408" t="s">
        <v>68</v>
      </c>
      <c r="D408" t="s">
        <v>61</v>
      </c>
      <c r="E408" t="s">
        <v>25</v>
      </c>
      <c r="F408" t="s">
        <v>62</v>
      </c>
      <c r="G408">
        <v>4</v>
      </c>
      <c r="H408">
        <v>0</v>
      </c>
      <c r="I408">
        <v>0</v>
      </c>
      <c r="J408">
        <v>0</v>
      </c>
      <c r="K408">
        <v>0</v>
      </c>
      <c r="L408">
        <v>0.20965200000000001</v>
      </c>
      <c r="M408" t="s">
        <v>27</v>
      </c>
      <c r="N408" t="s">
        <v>63</v>
      </c>
      <c r="O408" t="s">
        <v>64</v>
      </c>
      <c r="P408" t="s">
        <v>65</v>
      </c>
      <c r="Q408" t="s">
        <v>66</v>
      </c>
    </row>
    <row r="409" spans="1:17" ht="14.25" customHeight="1" x14ac:dyDescent="0.35">
      <c r="A409" t="s">
        <v>22</v>
      </c>
      <c r="B409">
        <v>12</v>
      </c>
      <c r="C409" t="s">
        <v>68</v>
      </c>
      <c r="D409" t="s">
        <v>61</v>
      </c>
      <c r="E409" t="s">
        <v>25</v>
      </c>
      <c r="F409" t="s">
        <v>62</v>
      </c>
      <c r="G409">
        <v>5</v>
      </c>
      <c r="H409">
        <v>0</v>
      </c>
      <c r="I409">
        <v>0</v>
      </c>
      <c r="J409">
        <v>0</v>
      </c>
      <c r="K409">
        <v>0</v>
      </c>
      <c r="L409">
        <v>0.36295699999999997</v>
      </c>
      <c r="M409" t="s">
        <v>27</v>
      </c>
      <c r="N409" t="s">
        <v>63</v>
      </c>
      <c r="O409" t="s">
        <v>64</v>
      </c>
      <c r="P409" t="s">
        <v>65</v>
      </c>
      <c r="Q409" t="s">
        <v>66</v>
      </c>
    </row>
    <row r="410" spans="1:17" ht="14.25" customHeight="1" x14ac:dyDescent="0.35">
      <c r="A410" t="s">
        <v>22</v>
      </c>
      <c r="B410">
        <v>13</v>
      </c>
      <c r="C410" t="s">
        <v>69</v>
      </c>
      <c r="D410" t="s">
        <v>61</v>
      </c>
      <c r="E410" t="s">
        <v>25</v>
      </c>
      <c r="F410" t="s">
        <v>62</v>
      </c>
      <c r="G410">
        <v>4</v>
      </c>
      <c r="H410">
        <v>0</v>
      </c>
      <c r="I410">
        <v>0</v>
      </c>
      <c r="J410">
        <v>0</v>
      </c>
      <c r="K410">
        <v>0</v>
      </c>
      <c r="L410">
        <v>0.203985</v>
      </c>
      <c r="M410" t="s">
        <v>27</v>
      </c>
      <c r="N410" t="s">
        <v>63</v>
      </c>
      <c r="O410" t="s">
        <v>64</v>
      </c>
      <c r="P410" t="s">
        <v>65</v>
      </c>
      <c r="Q410" t="s">
        <v>66</v>
      </c>
    </row>
    <row r="411" spans="1:17" ht="14.25" customHeight="1" x14ac:dyDescent="0.35">
      <c r="A411" t="s">
        <v>22</v>
      </c>
      <c r="B411">
        <v>14</v>
      </c>
      <c r="C411" t="s">
        <v>70</v>
      </c>
      <c r="D411" t="s">
        <v>61</v>
      </c>
      <c r="E411" t="s">
        <v>25</v>
      </c>
      <c r="F411" t="s">
        <v>62</v>
      </c>
      <c r="G411">
        <v>3</v>
      </c>
      <c r="H411">
        <v>0</v>
      </c>
      <c r="I411">
        <v>0</v>
      </c>
      <c r="J411">
        <v>0</v>
      </c>
      <c r="K411">
        <v>0</v>
      </c>
      <c r="L411">
        <v>0.194024</v>
      </c>
      <c r="M411" t="s">
        <v>27</v>
      </c>
      <c r="N411" t="s">
        <v>63</v>
      </c>
      <c r="O411" t="s">
        <v>64</v>
      </c>
      <c r="P411" t="s">
        <v>65</v>
      </c>
      <c r="Q411" t="s">
        <v>66</v>
      </c>
    </row>
    <row r="412" spans="1:17" ht="14.25" customHeight="1" x14ac:dyDescent="0.35">
      <c r="A412" t="s">
        <v>22</v>
      </c>
      <c r="B412">
        <v>15</v>
      </c>
      <c r="C412" t="s">
        <v>70</v>
      </c>
      <c r="D412" t="s">
        <v>61</v>
      </c>
      <c r="E412" t="s">
        <v>25</v>
      </c>
      <c r="F412" t="s">
        <v>62</v>
      </c>
      <c r="G412">
        <v>4</v>
      </c>
      <c r="H412">
        <v>0</v>
      </c>
      <c r="I412">
        <v>0</v>
      </c>
      <c r="J412">
        <v>0</v>
      </c>
      <c r="K412">
        <v>0</v>
      </c>
      <c r="L412">
        <v>0.19162000000000001</v>
      </c>
      <c r="M412" t="s">
        <v>27</v>
      </c>
      <c r="N412" t="s">
        <v>63</v>
      </c>
      <c r="O412" t="s">
        <v>64</v>
      </c>
      <c r="P412" t="s">
        <v>65</v>
      </c>
      <c r="Q412" t="s">
        <v>66</v>
      </c>
    </row>
    <row r="413" spans="1:17" ht="14.25" customHeight="1" x14ac:dyDescent="0.35">
      <c r="A413" t="s">
        <v>22</v>
      </c>
      <c r="B413">
        <v>16</v>
      </c>
      <c r="C413" t="s">
        <v>71</v>
      </c>
      <c r="D413" t="s">
        <v>61</v>
      </c>
      <c r="E413" t="s">
        <v>25</v>
      </c>
      <c r="F413" t="s">
        <v>62</v>
      </c>
      <c r="G413">
        <v>4</v>
      </c>
      <c r="H413">
        <v>0</v>
      </c>
      <c r="I413">
        <v>0</v>
      </c>
      <c r="J413">
        <v>0</v>
      </c>
      <c r="K413">
        <v>0</v>
      </c>
      <c r="L413">
        <v>0.19821</v>
      </c>
      <c r="M413" t="s">
        <v>27</v>
      </c>
      <c r="N413" t="s">
        <v>63</v>
      </c>
      <c r="O413" t="s">
        <v>64</v>
      </c>
      <c r="P413" t="s">
        <v>65</v>
      </c>
      <c r="Q413" t="s">
        <v>66</v>
      </c>
    </row>
    <row r="414" spans="1:17" ht="14.25" customHeight="1" x14ac:dyDescent="0.35">
      <c r="A414" t="s">
        <v>22</v>
      </c>
      <c r="B414">
        <v>17</v>
      </c>
      <c r="C414" t="s">
        <v>71</v>
      </c>
      <c r="D414" t="s">
        <v>61</v>
      </c>
      <c r="E414" t="s">
        <v>25</v>
      </c>
      <c r="F414" t="s">
        <v>62</v>
      </c>
      <c r="G414">
        <v>4</v>
      </c>
      <c r="H414">
        <v>0</v>
      </c>
      <c r="I414">
        <v>0</v>
      </c>
      <c r="J414">
        <v>0</v>
      </c>
      <c r="K414">
        <v>0</v>
      </c>
      <c r="L414">
        <v>0.308116</v>
      </c>
      <c r="M414" t="s">
        <v>27</v>
      </c>
      <c r="N414" t="s">
        <v>63</v>
      </c>
      <c r="O414" t="s">
        <v>64</v>
      </c>
      <c r="P414" t="s">
        <v>65</v>
      </c>
      <c r="Q414" t="s">
        <v>66</v>
      </c>
    </row>
    <row r="415" spans="1:17" ht="14.25" customHeight="1" x14ac:dyDescent="0.35">
      <c r="A415" t="s">
        <v>22</v>
      </c>
      <c r="B415">
        <v>18</v>
      </c>
      <c r="C415" t="s">
        <v>72</v>
      </c>
      <c r="D415" t="s">
        <v>61</v>
      </c>
      <c r="E415" t="s">
        <v>25</v>
      </c>
      <c r="F415" t="s">
        <v>62</v>
      </c>
      <c r="G415">
        <v>6</v>
      </c>
      <c r="H415">
        <v>0</v>
      </c>
      <c r="I415">
        <v>0</v>
      </c>
      <c r="J415">
        <v>0</v>
      </c>
      <c r="K415">
        <v>0</v>
      </c>
      <c r="L415">
        <v>0.25148100000000001</v>
      </c>
      <c r="M415" t="s">
        <v>27</v>
      </c>
      <c r="N415" t="s">
        <v>63</v>
      </c>
      <c r="O415" t="s">
        <v>64</v>
      </c>
      <c r="P415" t="s">
        <v>65</v>
      </c>
      <c r="Q415" t="s">
        <v>66</v>
      </c>
    </row>
    <row r="416" spans="1:17" ht="14.25" customHeight="1" x14ac:dyDescent="0.35">
      <c r="A416" t="s">
        <v>22</v>
      </c>
      <c r="B416">
        <v>19</v>
      </c>
      <c r="C416" t="s">
        <v>73</v>
      </c>
      <c r="D416" t="s">
        <v>61</v>
      </c>
      <c r="E416" t="s">
        <v>25</v>
      </c>
      <c r="F416" t="s">
        <v>62</v>
      </c>
      <c r="G416">
        <v>2</v>
      </c>
      <c r="H416">
        <v>0</v>
      </c>
      <c r="I416">
        <v>0</v>
      </c>
      <c r="J416">
        <v>0</v>
      </c>
      <c r="K416">
        <v>0</v>
      </c>
      <c r="L416">
        <v>0.200543</v>
      </c>
      <c r="M416" t="s">
        <v>27</v>
      </c>
      <c r="N416" t="s">
        <v>63</v>
      </c>
      <c r="O416" t="s">
        <v>64</v>
      </c>
      <c r="P416" t="s">
        <v>65</v>
      </c>
      <c r="Q416" t="s">
        <v>66</v>
      </c>
    </row>
    <row r="417" spans="1:17" ht="14.25" customHeight="1" x14ac:dyDescent="0.35">
      <c r="A417" t="s">
        <v>22</v>
      </c>
      <c r="B417">
        <v>20</v>
      </c>
      <c r="C417" t="s">
        <v>73</v>
      </c>
      <c r="D417" t="s">
        <v>61</v>
      </c>
      <c r="E417" t="s">
        <v>25</v>
      </c>
      <c r="F417" t="s">
        <v>62</v>
      </c>
      <c r="G417">
        <v>3</v>
      </c>
      <c r="H417">
        <v>0</v>
      </c>
      <c r="I417">
        <v>0</v>
      </c>
      <c r="J417">
        <v>0</v>
      </c>
      <c r="K417">
        <v>0</v>
      </c>
      <c r="L417">
        <v>0.276447</v>
      </c>
      <c r="M417" t="s">
        <v>27</v>
      </c>
      <c r="N417" t="s">
        <v>63</v>
      </c>
      <c r="O417" t="s">
        <v>64</v>
      </c>
      <c r="P417" t="s">
        <v>65</v>
      </c>
      <c r="Q417" t="s">
        <v>66</v>
      </c>
    </row>
    <row r="418" spans="1:17" ht="14.25" customHeight="1" x14ac:dyDescent="0.35">
      <c r="A418" t="s">
        <v>22</v>
      </c>
      <c r="B418">
        <v>21</v>
      </c>
      <c r="C418" t="s">
        <v>74</v>
      </c>
      <c r="D418" t="s">
        <v>61</v>
      </c>
      <c r="E418" t="s">
        <v>25</v>
      </c>
      <c r="F418" t="s">
        <v>62</v>
      </c>
      <c r="G418">
        <v>5</v>
      </c>
      <c r="H418">
        <v>0</v>
      </c>
      <c r="I418">
        <v>0</v>
      </c>
      <c r="J418">
        <v>0</v>
      </c>
      <c r="K418">
        <v>0</v>
      </c>
      <c r="L418">
        <v>0.23230899999999999</v>
      </c>
      <c r="M418" t="s">
        <v>27</v>
      </c>
      <c r="N418" t="s">
        <v>63</v>
      </c>
      <c r="O418" t="s">
        <v>64</v>
      </c>
      <c r="P418" t="s">
        <v>65</v>
      </c>
      <c r="Q418" t="s">
        <v>66</v>
      </c>
    </row>
    <row r="419" spans="1:17" ht="14.25" customHeight="1" x14ac:dyDescent="0.35">
      <c r="A419" t="s">
        <v>22</v>
      </c>
      <c r="B419">
        <v>22</v>
      </c>
      <c r="C419" t="s">
        <v>75</v>
      </c>
      <c r="D419" t="s">
        <v>61</v>
      </c>
      <c r="E419" t="s">
        <v>25</v>
      </c>
      <c r="F419" t="s">
        <v>62</v>
      </c>
      <c r="G419">
        <v>4</v>
      </c>
      <c r="H419">
        <v>0</v>
      </c>
      <c r="I419">
        <v>0</v>
      </c>
      <c r="J419">
        <v>0</v>
      </c>
      <c r="K419">
        <v>0</v>
      </c>
      <c r="L419">
        <v>0.239203</v>
      </c>
      <c r="M419" t="s">
        <v>27</v>
      </c>
      <c r="N419" t="s">
        <v>63</v>
      </c>
      <c r="O419" t="s">
        <v>64</v>
      </c>
      <c r="P419" t="s">
        <v>65</v>
      </c>
      <c r="Q419" t="s">
        <v>66</v>
      </c>
    </row>
    <row r="420" spans="1:17" ht="14.25" customHeight="1" x14ac:dyDescent="0.35">
      <c r="A420" t="s">
        <v>22</v>
      </c>
      <c r="B420">
        <v>23</v>
      </c>
      <c r="C420" t="s">
        <v>76</v>
      </c>
      <c r="D420" t="s">
        <v>61</v>
      </c>
      <c r="E420" t="s">
        <v>25</v>
      </c>
      <c r="F420" t="s">
        <v>62</v>
      </c>
      <c r="G420">
        <v>5</v>
      </c>
      <c r="H420">
        <v>0</v>
      </c>
      <c r="I420">
        <v>0</v>
      </c>
      <c r="J420">
        <v>0</v>
      </c>
      <c r="K420">
        <v>0</v>
      </c>
      <c r="L420">
        <v>0.21579400000000001</v>
      </c>
      <c r="M420" t="s">
        <v>27</v>
      </c>
      <c r="N420" t="s">
        <v>63</v>
      </c>
      <c r="O420" t="s">
        <v>64</v>
      </c>
      <c r="P420" t="s">
        <v>65</v>
      </c>
      <c r="Q420" t="s">
        <v>66</v>
      </c>
    </row>
    <row r="421" spans="1:17" ht="14.25" customHeight="1" x14ac:dyDescent="0.35">
      <c r="A421" t="s">
        <v>22</v>
      </c>
      <c r="B421">
        <v>24</v>
      </c>
      <c r="C421" t="s">
        <v>76</v>
      </c>
      <c r="D421" t="s">
        <v>61</v>
      </c>
      <c r="E421" t="s">
        <v>25</v>
      </c>
      <c r="F421" t="s">
        <v>62</v>
      </c>
      <c r="G421">
        <v>2</v>
      </c>
      <c r="H421">
        <v>0</v>
      </c>
      <c r="I421">
        <v>0</v>
      </c>
      <c r="J421">
        <v>0</v>
      </c>
      <c r="K421">
        <v>0</v>
      </c>
      <c r="L421">
        <v>0.20251</v>
      </c>
      <c r="M421" t="s">
        <v>27</v>
      </c>
      <c r="N421" t="s">
        <v>63</v>
      </c>
      <c r="O421" t="s">
        <v>64</v>
      </c>
      <c r="P421" t="s">
        <v>65</v>
      </c>
      <c r="Q421" t="s">
        <v>66</v>
      </c>
    </row>
    <row r="422" spans="1:17" ht="14.25" customHeight="1" x14ac:dyDescent="0.35">
      <c r="A422" t="s">
        <v>22</v>
      </c>
      <c r="B422">
        <v>25</v>
      </c>
      <c r="C422" t="s">
        <v>77</v>
      </c>
      <c r="D422" t="s">
        <v>61</v>
      </c>
      <c r="E422" t="s">
        <v>25</v>
      </c>
      <c r="F422" t="s">
        <v>62</v>
      </c>
      <c r="G422">
        <v>6</v>
      </c>
      <c r="H422">
        <v>0</v>
      </c>
      <c r="I422">
        <v>0</v>
      </c>
      <c r="J422">
        <v>0</v>
      </c>
      <c r="K422">
        <v>0</v>
      </c>
      <c r="L422">
        <v>0.19880700000000001</v>
      </c>
      <c r="M422" t="s">
        <v>27</v>
      </c>
      <c r="N422" t="s">
        <v>63</v>
      </c>
      <c r="O422" t="s">
        <v>64</v>
      </c>
      <c r="P422" t="s">
        <v>65</v>
      </c>
      <c r="Q422" t="s">
        <v>66</v>
      </c>
    </row>
    <row r="423" spans="1:17" ht="14.25" customHeight="1" x14ac:dyDescent="0.35">
      <c r="A423" t="s">
        <v>22</v>
      </c>
      <c r="B423">
        <v>26</v>
      </c>
      <c r="C423" t="s">
        <v>78</v>
      </c>
      <c r="D423" t="s">
        <v>61</v>
      </c>
      <c r="E423" t="s">
        <v>25</v>
      </c>
      <c r="F423" t="s">
        <v>62</v>
      </c>
      <c r="G423">
        <v>6</v>
      </c>
      <c r="H423">
        <v>0</v>
      </c>
      <c r="I423">
        <v>0</v>
      </c>
      <c r="J423">
        <v>0</v>
      </c>
      <c r="K423">
        <v>0</v>
      </c>
      <c r="L423">
        <v>0.24449299999999999</v>
      </c>
      <c r="M423" t="s">
        <v>27</v>
      </c>
      <c r="N423" t="s">
        <v>63</v>
      </c>
      <c r="O423" t="s">
        <v>64</v>
      </c>
      <c r="P423" t="s">
        <v>65</v>
      </c>
      <c r="Q423" t="s">
        <v>66</v>
      </c>
    </row>
    <row r="424" spans="1:17" ht="14.25" customHeight="1" x14ac:dyDescent="0.35">
      <c r="A424" t="s">
        <v>22</v>
      </c>
      <c r="B424">
        <v>27</v>
      </c>
      <c r="C424" t="s">
        <v>79</v>
      </c>
      <c r="D424" t="s">
        <v>61</v>
      </c>
      <c r="E424" t="s">
        <v>25</v>
      </c>
      <c r="F424" t="s">
        <v>62</v>
      </c>
      <c r="G424">
        <v>5</v>
      </c>
      <c r="H424">
        <v>0</v>
      </c>
      <c r="I424">
        <v>0</v>
      </c>
      <c r="J424">
        <v>0</v>
      </c>
      <c r="K424">
        <v>0</v>
      </c>
      <c r="L424">
        <v>0.21032799999999999</v>
      </c>
      <c r="M424" t="s">
        <v>27</v>
      </c>
      <c r="N424" t="s">
        <v>63</v>
      </c>
      <c r="O424" t="s">
        <v>64</v>
      </c>
      <c r="P424" t="s">
        <v>65</v>
      </c>
      <c r="Q424" t="s">
        <v>66</v>
      </c>
    </row>
    <row r="425" spans="1:17" ht="14.25" customHeight="1" x14ac:dyDescent="0.35">
      <c r="A425" t="s">
        <v>22</v>
      </c>
      <c r="B425">
        <v>28</v>
      </c>
      <c r="C425" t="s">
        <v>79</v>
      </c>
      <c r="D425" t="s">
        <v>61</v>
      </c>
      <c r="E425" t="s">
        <v>25</v>
      </c>
      <c r="F425" t="s">
        <v>62</v>
      </c>
      <c r="G425">
        <v>5</v>
      </c>
      <c r="H425">
        <v>0</v>
      </c>
      <c r="I425">
        <v>0</v>
      </c>
      <c r="J425">
        <v>0</v>
      </c>
      <c r="K425">
        <v>0</v>
      </c>
      <c r="L425">
        <v>0.17809</v>
      </c>
      <c r="M425" t="s">
        <v>27</v>
      </c>
      <c r="N425" t="s">
        <v>63</v>
      </c>
      <c r="O425" t="s">
        <v>64</v>
      </c>
      <c r="P425" t="s">
        <v>65</v>
      </c>
      <c r="Q425" t="s">
        <v>66</v>
      </c>
    </row>
    <row r="426" spans="1:17" ht="14.25" customHeight="1" x14ac:dyDescent="0.35">
      <c r="A426" t="s">
        <v>22</v>
      </c>
      <c r="B426">
        <v>29</v>
      </c>
      <c r="C426" t="s">
        <v>80</v>
      </c>
      <c r="D426" t="s">
        <v>61</v>
      </c>
      <c r="E426" t="s">
        <v>25</v>
      </c>
      <c r="F426" t="s">
        <v>62</v>
      </c>
      <c r="G426">
        <v>19</v>
      </c>
      <c r="H426">
        <v>0</v>
      </c>
      <c r="I426">
        <v>0</v>
      </c>
      <c r="J426">
        <v>0</v>
      </c>
      <c r="K426">
        <v>0</v>
      </c>
      <c r="L426">
        <v>0.30699599999999999</v>
      </c>
      <c r="M426" t="s">
        <v>27</v>
      </c>
      <c r="N426" t="s">
        <v>63</v>
      </c>
      <c r="O426" t="s">
        <v>64</v>
      </c>
      <c r="P426" t="s">
        <v>65</v>
      </c>
      <c r="Q426" t="s">
        <v>66</v>
      </c>
    </row>
    <row r="427" spans="1:17" ht="14.25" customHeight="1" x14ac:dyDescent="0.35">
      <c r="A427" t="s">
        <v>22</v>
      </c>
      <c r="B427">
        <v>30</v>
      </c>
      <c r="C427" t="s">
        <v>81</v>
      </c>
      <c r="D427" t="s">
        <v>82</v>
      </c>
      <c r="E427" t="s">
        <v>25</v>
      </c>
      <c r="F427" t="s">
        <v>62</v>
      </c>
      <c r="G427">
        <v>139</v>
      </c>
      <c r="H427">
        <v>0</v>
      </c>
      <c r="I427">
        <v>0</v>
      </c>
      <c r="J427">
        <v>0</v>
      </c>
      <c r="K427">
        <v>3.0000000000000001E-6</v>
      </c>
      <c r="L427">
        <v>0.89382399999999995</v>
      </c>
      <c r="M427" t="s">
        <v>27</v>
      </c>
      <c r="N427" t="s">
        <v>63</v>
      </c>
      <c r="O427" t="s">
        <v>83</v>
      </c>
      <c r="P427" t="s">
        <v>84</v>
      </c>
      <c r="Q427" t="s">
        <v>85</v>
      </c>
    </row>
    <row r="428" spans="1:17" ht="14.25" customHeight="1" x14ac:dyDescent="0.35">
      <c r="A428" t="s">
        <v>22</v>
      </c>
      <c r="B428">
        <v>31</v>
      </c>
      <c r="C428" t="s">
        <v>86</v>
      </c>
      <c r="D428" t="s">
        <v>82</v>
      </c>
      <c r="E428" t="s">
        <v>25</v>
      </c>
      <c r="F428" t="s">
        <v>26</v>
      </c>
      <c r="G428">
        <v>3321</v>
      </c>
      <c r="H428">
        <v>0</v>
      </c>
      <c r="I428">
        <v>501</v>
      </c>
      <c r="J428">
        <v>0</v>
      </c>
      <c r="K428">
        <v>1.3311999999999999E-2</v>
      </c>
      <c r="L428">
        <v>7.1496890000000004</v>
      </c>
      <c r="M428" t="s">
        <v>27</v>
      </c>
      <c r="N428" t="s">
        <v>28</v>
      </c>
      <c r="O428" t="s">
        <v>83</v>
      </c>
      <c r="P428" t="s">
        <v>84</v>
      </c>
      <c r="Q428" t="s">
        <v>85</v>
      </c>
    </row>
    <row r="429" spans="1:17" ht="14.25" customHeight="1" x14ac:dyDescent="0.35">
      <c r="A429" t="s">
        <v>22</v>
      </c>
      <c r="B429">
        <v>32</v>
      </c>
      <c r="C429" t="s">
        <v>86</v>
      </c>
      <c r="D429" t="s">
        <v>61</v>
      </c>
      <c r="E429" t="s">
        <v>25</v>
      </c>
      <c r="F429" t="s">
        <v>62</v>
      </c>
      <c r="G429">
        <v>5</v>
      </c>
      <c r="H429">
        <v>0</v>
      </c>
      <c r="I429">
        <v>0</v>
      </c>
      <c r="J429">
        <v>0</v>
      </c>
      <c r="K429">
        <v>0</v>
      </c>
      <c r="L429">
        <v>0.49986599999999998</v>
      </c>
      <c r="M429" t="s">
        <v>27</v>
      </c>
      <c r="N429" t="s">
        <v>63</v>
      </c>
      <c r="O429" t="s">
        <v>64</v>
      </c>
      <c r="P429" t="s">
        <v>65</v>
      </c>
      <c r="Q429" t="s">
        <v>66</v>
      </c>
    </row>
    <row r="430" spans="1:17" ht="14.25" customHeight="1" x14ac:dyDescent="0.35">
      <c r="A430" t="s">
        <v>22</v>
      </c>
      <c r="B430">
        <v>33</v>
      </c>
      <c r="C430" t="s">
        <v>87</v>
      </c>
      <c r="D430" t="s">
        <v>61</v>
      </c>
      <c r="E430" t="s">
        <v>25</v>
      </c>
      <c r="F430" t="s">
        <v>62</v>
      </c>
      <c r="G430">
        <v>2</v>
      </c>
      <c r="H430">
        <v>0</v>
      </c>
      <c r="I430">
        <v>0</v>
      </c>
      <c r="J430">
        <v>0</v>
      </c>
      <c r="K430">
        <v>0</v>
      </c>
      <c r="L430">
        <v>0.32279999999999998</v>
      </c>
      <c r="M430" t="s">
        <v>27</v>
      </c>
      <c r="N430" t="s">
        <v>63</v>
      </c>
      <c r="O430" t="s">
        <v>64</v>
      </c>
      <c r="P430" t="s">
        <v>65</v>
      </c>
      <c r="Q430" t="s">
        <v>66</v>
      </c>
    </row>
    <row r="431" spans="1:17" ht="14.25" customHeight="1" x14ac:dyDescent="0.35">
      <c r="A431" t="s">
        <v>22</v>
      </c>
      <c r="B431">
        <v>34</v>
      </c>
      <c r="C431" t="s">
        <v>88</v>
      </c>
      <c r="D431" t="s">
        <v>61</v>
      </c>
      <c r="E431" t="s">
        <v>25</v>
      </c>
      <c r="F431" t="s">
        <v>62</v>
      </c>
      <c r="G431">
        <v>4</v>
      </c>
      <c r="H431">
        <v>0</v>
      </c>
      <c r="I431">
        <v>0</v>
      </c>
      <c r="J431">
        <v>0</v>
      </c>
      <c r="K431">
        <v>0</v>
      </c>
      <c r="L431">
        <v>0.2409</v>
      </c>
      <c r="M431" t="s">
        <v>27</v>
      </c>
      <c r="N431" t="s">
        <v>63</v>
      </c>
      <c r="O431" t="s">
        <v>64</v>
      </c>
      <c r="P431" t="s">
        <v>65</v>
      </c>
      <c r="Q431" t="s">
        <v>66</v>
      </c>
    </row>
    <row r="432" spans="1:17" ht="14.25" customHeight="1" x14ac:dyDescent="0.35">
      <c r="A432" t="s">
        <v>22</v>
      </c>
      <c r="B432">
        <v>35</v>
      </c>
      <c r="C432" t="s">
        <v>89</v>
      </c>
      <c r="D432" t="s">
        <v>61</v>
      </c>
      <c r="E432" t="s">
        <v>25</v>
      </c>
      <c r="F432" t="s">
        <v>62</v>
      </c>
      <c r="G432">
        <v>4</v>
      </c>
      <c r="H432">
        <v>0</v>
      </c>
      <c r="I432">
        <v>0</v>
      </c>
      <c r="J432">
        <v>0</v>
      </c>
      <c r="K432">
        <v>0</v>
      </c>
      <c r="L432">
        <v>0.21187300000000001</v>
      </c>
      <c r="M432" t="s">
        <v>27</v>
      </c>
      <c r="N432" t="s">
        <v>63</v>
      </c>
      <c r="O432" t="s">
        <v>64</v>
      </c>
      <c r="P432" t="s">
        <v>65</v>
      </c>
      <c r="Q432" t="s">
        <v>66</v>
      </c>
    </row>
    <row r="433" spans="1:17" ht="14.25" customHeight="1" x14ac:dyDescent="0.35">
      <c r="A433" t="s">
        <v>22</v>
      </c>
      <c r="B433">
        <v>36</v>
      </c>
      <c r="C433" t="s">
        <v>89</v>
      </c>
      <c r="D433" t="s">
        <v>61</v>
      </c>
      <c r="E433" t="s">
        <v>25</v>
      </c>
      <c r="F433" t="s">
        <v>62</v>
      </c>
      <c r="G433">
        <v>4</v>
      </c>
      <c r="H433">
        <v>0</v>
      </c>
      <c r="I433">
        <v>0</v>
      </c>
      <c r="J433">
        <v>0</v>
      </c>
      <c r="K433">
        <v>0</v>
      </c>
      <c r="L433">
        <v>0.192937</v>
      </c>
      <c r="M433" t="s">
        <v>27</v>
      </c>
      <c r="N433" t="s">
        <v>63</v>
      </c>
      <c r="O433" t="s">
        <v>64</v>
      </c>
      <c r="P433" t="s">
        <v>65</v>
      </c>
      <c r="Q433" t="s">
        <v>66</v>
      </c>
    </row>
    <row r="434" spans="1:17" ht="14.25" customHeight="1" x14ac:dyDescent="0.35">
      <c r="A434" t="s">
        <v>22</v>
      </c>
      <c r="B434">
        <v>37</v>
      </c>
      <c r="C434" t="s">
        <v>90</v>
      </c>
      <c r="D434" t="s">
        <v>61</v>
      </c>
      <c r="E434" t="s">
        <v>25</v>
      </c>
      <c r="F434" t="s">
        <v>62</v>
      </c>
      <c r="G434">
        <v>17</v>
      </c>
      <c r="H434">
        <v>0</v>
      </c>
      <c r="I434">
        <v>0</v>
      </c>
      <c r="J434">
        <v>0</v>
      </c>
      <c r="K434">
        <v>0</v>
      </c>
      <c r="L434">
        <v>0.19303300000000001</v>
      </c>
      <c r="M434" t="s">
        <v>27</v>
      </c>
      <c r="N434" t="s">
        <v>63</v>
      </c>
      <c r="O434" t="s">
        <v>64</v>
      </c>
      <c r="P434" t="s">
        <v>65</v>
      </c>
      <c r="Q434" t="s">
        <v>66</v>
      </c>
    </row>
    <row r="435" spans="1:17" ht="14.25" customHeight="1" x14ac:dyDescent="0.35">
      <c r="A435" t="s">
        <v>22</v>
      </c>
      <c r="B435">
        <v>38</v>
      </c>
      <c r="C435" t="s">
        <v>91</v>
      </c>
      <c r="D435" t="s">
        <v>61</v>
      </c>
      <c r="E435" t="s">
        <v>25</v>
      </c>
      <c r="F435" t="s">
        <v>62</v>
      </c>
      <c r="G435">
        <v>2</v>
      </c>
      <c r="H435">
        <v>0</v>
      </c>
      <c r="I435">
        <v>0</v>
      </c>
      <c r="J435">
        <v>0</v>
      </c>
      <c r="K435">
        <v>0</v>
      </c>
      <c r="L435">
        <v>0.20407400000000001</v>
      </c>
      <c r="M435" t="s">
        <v>27</v>
      </c>
      <c r="N435" t="s">
        <v>63</v>
      </c>
      <c r="O435" t="s">
        <v>64</v>
      </c>
      <c r="P435" t="s">
        <v>65</v>
      </c>
      <c r="Q435" t="s">
        <v>66</v>
      </c>
    </row>
    <row r="436" spans="1:17" ht="14.25" customHeight="1" x14ac:dyDescent="0.35">
      <c r="A436" t="s">
        <v>22</v>
      </c>
      <c r="B436">
        <v>39</v>
      </c>
      <c r="C436" t="s">
        <v>92</v>
      </c>
      <c r="D436" t="s">
        <v>61</v>
      </c>
      <c r="E436" t="s">
        <v>25</v>
      </c>
      <c r="F436" t="s">
        <v>62</v>
      </c>
      <c r="G436">
        <v>4</v>
      </c>
      <c r="H436">
        <v>0</v>
      </c>
      <c r="I436">
        <v>0</v>
      </c>
      <c r="J436">
        <v>0</v>
      </c>
      <c r="K436">
        <v>0</v>
      </c>
      <c r="L436">
        <v>0.196211</v>
      </c>
      <c r="M436" t="s">
        <v>27</v>
      </c>
      <c r="N436" t="s">
        <v>63</v>
      </c>
      <c r="O436" t="s">
        <v>64</v>
      </c>
      <c r="P436" t="s">
        <v>65</v>
      </c>
      <c r="Q436" t="s">
        <v>66</v>
      </c>
    </row>
    <row r="437" spans="1:17" ht="14.25" customHeight="1" x14ac:dyDescent="0.35">
      <c r="A437" t="s">
        <v>22</v>
      </c>
      <c r="B437">
        <v>40</v>
      </c>
      <c r="C437" t="s">
        <v>92</v>
      </c>
      <c r="D437" t="s">
        <v>61</v>
      </c>
      <c r="E437" t="s">
        <v>25</v>
      </c>
      <c r="F437" t="s">
        <v>62</v>
      </c>
      <c r="G437">
        <v>4</v>
      </c>
      <c r="H437">
        <v>0</v>
      </c>
      <c r="I437">
        <v>0</v>
      </c>
      <c r="J437">
        <v>0</v>
      </c>
      <c r="K437">
        <v>0</v>
      </c>
      <c r="L437">
        <v>0.21038100000000001</v>
      </c>
      <c r="M437" t="s">
        <v>27</v>
      </c>
      <c r="N437" t="s">
        <v>63</v>
      </c>
      <c r="O437" t="s">
        <v>64</v>
      </c>
      <c r="P437" t="s">
        <v>65</v>
      </c>
      <c r="Q437" t="s">
        <v>66</v>
      </c>
    </row>
    <row r="438" spans="1:17" ht="14.25" customHeight="1" x14ac:dyDescent="0.35">
      <c r="A438" t="s">
        <v>22</v>
      </c>
      <c r="B438">
        <v>41</v>
      </c>
      <c r="C438" t="s">
        <v>93</v>
      </c>
      <c r="D438" t="s">
        <v>61</v>
      </c>
      <c r="E438" t="s">
        <v>25</v>
      </c>
      <c r="F438" t="s">
        <v>62</v>
      </c>
      <c r="G438">
        <v>6</v>
      </c>
      <c r="H438">
        <v>0</v>
      </c>
      <c r="I438">
        <v>0</v>
      </c>
      <c r="J438">
        <v>0</v>
      </c>
      <c r="K438">
        <v>0</v>
      </c>
      <c r="L438">
        <v>0.24277399999999999</v>
      </c>
      <c r="M438" t="s">
        <v>27</v>
      </c>
      <c r="N438" t="s">
        <v>63</v>
      </c>
      <c r="O438" t="s">
        <v>64</v>
      </c>
      <c r="P438" t="s">
        <v>65</v>
      </c>
      <c r="Q438" t="s">
        <v>66</v>
      </c>
    </row>
    <row r="439" spans="1:17" ht="14.25" customHeight="1" x14ac:dyDescent="0.35">
      <c r="A439" t="s">
        <v>22</v>
      </c>
      <c r="B439">
        <v>42</v>
      </c>
      <c r="C439" t="s">
        <v>93</v>
      </c>
      <c r="D439" t="s">
        <v>61</v>
      </c>
      <c r="E439" t="s">
        <v>25</v>
      </c>
      <c r="F439" t="s">
        <v>62</v>
      </c>
      <c r="G439">
        <v>4</v>
      </c>
      <c r="H439">
        <v>0</v>
      </c>
      <c r="I439">
        <v>0</v>
      </c>
      <c r="J439">
        <v>0</v>
      </c>
      <c r="K439">
        <v>0</v>
      </c>
      <c r="L439">
        <v>0.19970499999999999</v>
      </c>
      <c r="M439" t="s">
        <v>27</v>
      </c>
      <c r="N439" t="s">
        <v>63</v>
      </c>
      <c r="O439" t="s">
        <v>64</v>
      </c>
      <c r="P439" t="s">
        <v>65</v>
      </c>
      <c r="Q439" t="s">
        <v>66</v>
      </c>
    </row>
    <row r="440" spans="1:17" ht="14.25" customHeight="1" x14ac:dyDescent="0.35">
      <c r="A440" t="s">
        <v>22</v>
      </c>
      <c r="B440">
        <v>43</v>
      </c>
      <c r="C440" t="s">
        <v>94</v>
      </c>
      <c r="D440" t="s">
        <v>61</v>
      </c>
      <c r="E440" t="s">
        <v>25</v>
      </c>
      <c r="F440" t="s">
        <v>62</v>
      </c>
      <c r="G440">
        <v>19</v>
      </c>
      <c r="H440">
        <v>0</v>
      </c>
      <c r="I440">
        <v>0</v>
      </c>
      <c r="J440">
        <v>0</v>
      </c>
      <c r="K440">
        <v>0</v>
      </c>
      <c r="L440">
        <v>0.21998100000000001</v>
      </c>
      <c r="M440" t="s">
        <v>27</v>
      </c>
      <c r="N440" t="s">
        <v>63</v>
      </c>
      <c r="O440" t="s">
        <v>64</v>
      </c>
      <c r="P440" t="s">
        <v>65</v>
      </c>
      <c r="Q440" t="s">
        <v>66</v>
      </c>
    </row>
    <row r="441" spans="1:17" ht="14.25" customHeight="1" x14ac:dyDescent="0.35">
      <c r="A441" t="s">
        <v>22</v>
      </c>
      <c r="B441">
        <v>44</v>
      </c>
      <c r="C441" t="s">
        <v>95</v>
      </c>
      <c r="D441" t="s">
        <v>82</v>
      </c>
      <c r="E441" t="s">
        <v>25</v>
      </c>
      <c r="F441" t="s">
        <v>62</v>
      </c>
      <c r="G441">
        <v>145</v>
      </c>
      <c r="H441">
        <v>0</v>
      </c>
      <c r="I441">
        <v>0</v>
      </c>
      <c r="J441">
        <v>0</v>
      </c>
      <c r="K441">
        <v>3.0000000000000001E-6</v>
      </c>
      <c r="L441">
        <v>0.56835899999999995</v>
      </c>
      <c r="M441" t="s">
        <v>27</v>
      </c>
      <c r="N441" t="s">
        <v>63</v>
      </c>
      <c r="O441" t="s">
        <v>83</v>
      </c>
      <c r="P441" t="s">
        <v>84</v>
      </c>
      <c r="Q441" t="s">
        <v>85</v>
      </c>
    </row>
    <row r="442" spans="1:17" ht="14.25" customHeight="1" x14ac:dyDescent="0.35">
      <c r="A442" t="s">
        <v>22</v>
      </c>
      <c r="B442">
        <v>45</v>
      </c>
      <c r="C442" t="s">
        <v>96</v>
      </c>
      <c r="D442" t="s">
        <v>82</v>
      </c>
      <c r="E442" t="s">
        <v>25</v>
      </c>
      <c r="F442" t="s">
        <v>26</v>
      </c>
      <c r="G442">
        <v>5137</v>
      </c>
      <c r="H442">
        <v>0</v>
      </c>
      <c r="I442">
        <v>502</v>
      </c>
      <c r="J442">
        <v>0</v>
      </c>
      <c r="K442">
        <v>1.7861999999999999E-2</v>
      </c>
      <c r="L442">
        <v>7.5583939999999998</v>
      </c>
      <c r="M442" t="s">
        <v>27</v>
      </c>
      <c r="N442" t="s">
        <v>28</v>
      </c>
      <c r="O442" t="s">
        <v>83</v>
      </c>
      <c r="P442" t="s">
        <v>84</v>
      </c>
      <c r="Q442" t="s">
        <v>85</v>
      </c>
    </row>
    <row r="443" spans="1:17" ht="14.25" customHeight="1" x14ac:dyDescent="0.35">
      <c r="A443" t="s">
        <v>22</v>
      </c>
      <c r="B443">
        <v>46</v>
      </c>
      <c r="C443" t="s">
        <v>96</v>
      </c>
      <c r="D443" t="s">
        <v>61</v>
      </c>
      <c r="E443" t="s">
        <v>25</v>
      </c>
      <c r="F443" t="s">
        <v>62</v>
      </c>
      <c r="G443">
        <v>3</v>
      </c>
      <c r="H443">
        <v>0</v>
      </c>
      <c r="I443">
        <v>0</v>
      </c>
      <c r="J443">
        <v>0</v>
      </c>
      <c r="K443">
        <v>0</v>
      </c>
      <c r="L443">
        <v>0.486321</v>
      </c>
      <c r="M443" t="s">
        <v>27</v>
      </c>
      <c r="N443" t="s">
        <v>63</v>
      </c>
      <c r="O443" t="s">
        <v>64</v>
      </c>
      <c r="P443" t="s">
        <v>65</v>
      </c>
      <c r="Q443" t="s">
        <v>66</v>
      </c>
    </row>
    <row r="444" spans="1:17" ht="14.25" customHeight="1" x14ac:dyDescent="0.35">
      <c r="A444" t="s">
        <v>22</v>
      </c>
      <c r="B444">
        <v>47</v>
      </c>
      <c r="C444" t="s">
        <v>97</v>
      </c>
      <c r="D444" t="s">
        <v>61</v>
      </c>
      <c r="E444" t="s">
        <v>25</v>
      </c>
      <c r="F444" t="s">
        <v>62</v>
      </c>
      <c r="G444">
        <v>2</v>
      </c>
      <c r="H444">
        <v>0</v>
      </c>
      <c r="I444">
        <v>0</v>
      </c>
      <c r="J444">
        <v>0</v>
      </c>
      <c r="K444">
        <v>0</v>
      </c>
      <c r="L444">
        <v>0.18725900000000001</v>
      </c>
      <c r="M444" t="s">
        <v>27</v>
      </c>
      <c r="N444" t="s">
        <v>63</v>
      </c>
      <c r="O444" t="s">
        <v>64</v>
      </c>
      <c r="P444" t="s">
        <v>65</v>
      </c>
      <c r="Q444" t="s">
        <v>66</v>
      </c>
    </row>
    <row r="445" spans="1:17" ht="14.25" customHeight="1" x14ac:dyDescent="0.35">
      <c r="A445" t="s">
        <v>22</v>
      </c>
      <c r="B445">
        <v>48</v>
      </c>
      <c r="C445" t="s">
        <v>97</v>
      </c>
      <c r="D445" t="s">
        <v>61</v>
      </c>
      <c r="E445" t="s">
        <v>25</v>
      </c>
      <c r="F445" t="s">
        <v>62</v>
      </c>
      <c r="G445">
        <v>5</v>
      </c>
      <c r="H445">
        <v>0</v>
      </c>
      <c r="I445">
        <v>0</v>
      </c>
      <c r="J445">
        <v>0</v>
      </c>
      <c r="K445">
        <v>0</v>
      </c>
      <c r="L445">
        <v>0.23636799999999999</v>
      </c>
      <c r="M445" t="s">
        <v>27</v>
      </c>
      <c r="N445" t="s">
        <v>63</v>
      </c>
      <c r="O445" t="s">
        <v>64</v>
      </c>
      <c r="P445" t="s">
        <v>65</v>
      </c>
      <c r="Q445" t="s">
        <v>66</v>
      </c>
    </row>
    <row r="446" spans="1:17" ht="14.25" customHeight="1" x14ac:dyDescent="0.35">
      <c r="A446" t="s">
        <v>22</v>
      </c>
      <c r="B446">
        <v>49</v>
      </c>
      <c r="C446" t="s">
        <v>98</v>
      </c>
      <c r="D446" t="s">
        <v>61</v>
      </c>
      <c r="E446" t="s">
        <v>25</v>
      </c>
      <c r="F446" t="s">
        <v>62</v>
      </c>
      <c r="G446">
        <v>4</v>
      </c>
      <c r="H446">
        <v>0</v>
      </c>
      <c r="I446">
        <v>0</v>
      </c>
      <c r="J446">
        <v>0</v>
      </c>
      <c r="K446">
        <v>0</v>
      </c>
      <c r="L446">
        <v>0.217386</v>
      </c>
      <c r="M446" t="s">
        <v>27</v>
      </c>
      <c r="N446" t="s">
        <v>63</v>
      </c>
      <c r="O446" t="s">
        <v>64</v>
      </c>
      <c r="P446" t="s">
        <v>65</v>
      </c>
      <c r="Q446" t="s">
        <v>66</v>
      </c>
    </row>
    <row r="447" spans="1:17" ht="14.25" customHeight="1" x14ac:dyDescent="0.35">
      <c r="A447" t="s">
        <v>22</v>
      </c>
      <c r="B447">
        <v>50</v>
      </c>
      <c r="C447" t="s">
        <v>98</v>
      </c>
      <c r="D447" t="s">
        <v>61</v>
      </c>
      <c r="E447" t="s">
        <v>25</v>
      </c>
      <c r="F447" t="s">
        <v>62</v>
      </c>
      <c r="G447">
        <v>4</v>
      </c>
      <c r="H447">
        <v>0</v>
      </c>
      <c r="I447">
        <v>0</v>
      </c>
      <c r="J447">
        <v>0</v>
      </c>
      <c r="K447">
        <v>0</v>
      </c>
      <c r="L447">
        <v>0.190548</v>
      </c>
      <c r="M447" t="s">
        <v>27</v>
      </c>
      <c r="N447" t="s">
        <v>63</v>
      </c>
      <c r="O447" t="s">
        <v>64</v>
      </c>
      <c r="P447" t="s">
        <v>65</v>
      </c>
      <c r="Q447" t="s">
        <v>66</v>
      </c>
    </row>
    <row r="448" spans="1:17" ht="14.25" customHeight="1" x14ac:dyDescent="0.35">
      <c r="A448" t="s">
        <v>22</v>
      </c>
      <c r="B448">
        <v>51</v>
      </c>
      <c r="C448" t="s">
        <v>99</v>
      </c>
      <c r="D448" t="s">
        <v>61</v>
      </c>
      <c r="E448" t="s">
        <v>25</v>
      </c>
      <c r="F448" t="s">
        <v>62</v>
      </c>
      <c r="G448">
        <v>16</v>
      </c>
      <c r="H448">
        <v>0</v>
      </c>
      <c r="I448">
        <v>0</v>
      </c>
      <c r="J448">
        <v>0</v>
      </c>
      <c r="K448">
        <v>0</v>
      </c>
      <c r="L448">
        <v>0.25220100000000001</v>
      </c>
      <c r="M448" t="s">
        <v>27</v>
      </c>
      <c r="N448" t="s">
        <v>63</v>
      </c>
      <c r="O448" t="s">
        <v>64</v>
      </c>
      <c r="P448" t="s">
        <v>65</v>
      </c>
      <c r="Q448" t="s">
        <v>66</v>
      </c>
    </row>
    <row r="449" spans="1:17" ht="14.25" customHeight="1" x14ac:dyDescent="0.35">
      <c r="A449" t="s">
        <v>22</v>
      </c>
      <c r="B449">
        <v>52</v>
      </c>
      <c r="C449" t="s">
        <v>100</v>
      </c>
      <c r="D449" t="s">
        <v>82</v>
      </c>
      <c r="E449" t="s">
        <v>25</v>
      </c>
      <c r="F449" t="s">
        <v>62</v>
      </c>
      <c r="G449">
        <v>142</v>
      </c>
      <c r="H449">
        <v>0</v>
      </c>
      <c r="I449">
        <v>0</v>
      </c>
      <c r="J449">
        <v>0</v>
      </c>
      <c r="K449">
        <v>3.0000000000000001E-6</v>
      </c>
      <c r="L449">
        <v>0.57363299999999995</v>
      </c>
      <c r="M449" t="s">
        <v>27</v>
      </c>
      <c r="N449" t="s">
        <v>63</v>
      </c>
      <c r="O449" t="s">
        <v>83</v>
      </c>
      <c r="P449" t="s">
        <v>84</v>
      </c>
      <c r="Q449" t="s">
        <v>85</v>
      </c>
    </row>
    <row r="450" spans="1:17" ht="14.25" customHeight="1" x14ac:dyDescent="0.35">
      <c r="A450" t="s">
        <v>22</v>
      </c>
      <c r="B450">
        <v>53</v>
      </c>
      <c r="C450" t="s">
        <v>101</v>
      </c>
      <c r="D450" t="s">
        <v>82</v>
      </c>
      <c r="E450" t="s">
        <v>25</v>
      </c>
      <c r="F450" t="s">
        <v>26</v>
      </c>
      <c r="G450">
        <v>4574</v>
      </c>
      <c r="H450">
        <v>0</v>
      </c>
      <c r="I450">
        <v>388</v>
      </c>
      <c r="J450">
        <v>0</v>
      </c>
      <c r="K450">
        <v>1.5315E-2</v>
      </c>
      <c r="L450">
        <v>8.1788959999999999</v>
      </c>
      <c r="M450" t="s">
        <v>27</v>
      </c>
      <c r="N450" t="s">
        <v>28</v>
      </c>
      <c r="O450" t="s">
        <v>83</v>
      </c>
      <c r="P450" t="s">
        <v>84</v>
      </c>
      <c r="Q450" t="s">
        <v>85</v>
      </c>
    </row>
    <row r="451" spans="1:17" ht="14.25" customHeight="1" x14ac:dyDescent="0.35">
      <c r="A451" t="s">
        <v>22</v>
      </c>
      <c r="B451">
        <v>54</v>
      </c>
      <c r="C451" t="s">
        <v>101</v>
      </c>
      <c r="D451" t="s">
        <v>61</v>
      </c>
      <c r="E451" t="s">
        <v>25</v>
      </c>
      <c r="F451" t="s">
        <v>62</v>
      </c>
      <c r="G451">
        <v>6</v>
      </c>
      <c r="H451">
        <v>0</v>
      </c>
      <c r="I451">
        <v>0</v>
      </c>
      <c r="J451">
        <v>0</v>
      </c>
      <c r="K451">
        <v>0</v>
      </c>
      <c r="L451">
        <v>0.46223799999999998</v>
      </c>
      <c r="M451" t="s">
        <v>27</v>
      </c>
      <c r="N451" t="s">
        <v>63</v>
      </c>
      <c r="O451" t="s">
        <v>64</v>
      </c>
      <c r="P451" t="s">
        <v>65</v>
      </c>
      <c r="Q451" t="s">
        <v>66</v>
      </c>
    </row>
    <row r="452" spans="1:17" ht="14.25" customHeight="1" x14ac:dyDescent="0.35">
      <c r="A452" t="s">
        <v>22</v>
      </c>
      <c r="B452">
        <v>55</v>
      </c>
      <c r="C452" t="s">
        <v>102</v>
      </c>
      <c r="D452" t="s">
        <v>61</v>
      </c>
      <c r="E452" t="s">
        <v>25</v>
      </c>
      <c r="F452" t="s">
        <v>62</v>
      </c>
      <c r="G452">
        <v>4</v>
      </c>
      <c r="H452">
        <v>0</v>
      </c>
      <c r="I452">
        <v>0</v>
      </c>
      <c r="J452">
        <v>0</v>
      </c>
      <c r="K452">
        <v>0</v>
      </c>
      <c r="L452">
        <v>0.276393</v>
      </c>
      <c r="M452" t="s">
        <v>27</v>
      </c>
      <c r="N452" t="s">
        <v>63</v>
      </c>
      <c r="O452" t="s">
        <v>64</v>
      </c>
      <c r="P452" t="s">
        <v>65</v>
      </c>
      <c r="Q452" t="s">
        <v>66</v>
      </c>
    </row>
    <row r="453" spans="1:17" ht="14.25" customHeight="1" x14ac:dyDescent="0.35">
      <c r="A453" t="s">
        <v>22</v>
      </c>
      <c r="B453">
        <v>56</v>
      </c>
      <c r="C453" t="s">
        <v>102</v>
      </c>
      <c r="D453" t="s">
        <v>61</v>
      </c>
      <c r="E453" t="s">
        <v>25</v>
      </c>
      <c r="F453" t="s">
        <v>62</v>
      </c>
      <c r="G453">
        <v>4</v>
      </c>
      <c r="H453">
        <v>0</v>
      </c>
      <c r="I453">
        <v>0</v>
      </c>
      <c r="J453">
        <v>0</v>
      </c>
      <c r="K453">
        <v>0</v>
      </c>
      <c r="L453">
        <v>0.201431</v>
      </c>
      <c r="M453" t="s">
        <v>27</v>
      </c>
      <c r="N453" t="s">
        <v>63</v>
      </c>
      <c r="O453" t="s">
        <v>64</v>
      </c>
      <c r="P453" t="s">
        <v>65</v>
      </c>
      <c r="Q453" t="s">
        <v>66</v>
      </c>
    </row>
    <row r="454" spans="1:17" ht="14.25" customHeight="1" x14ac:dyDescent="0.35">
      <c r="A454" t="s">
        <v>22</v>
      </c>
      <c r="B454">
        <v>57</v>
      </c>
      <c r="C454" t="s">
        <v>103</v>
      </c>
      <c r="D454" t="s">
        <v>61</v>
      </c>
      <c r="E454" t="s">
        <v>25</v>
      </c>
      <c r="F454" t="s">
        <v>62</v>
      </c>
      <c r="G454">
        <v>5</v>
      </c>
      <c r="H454">
        <v>0</v>
      </c>
      <c r="I454">
        <v>0</v>
      </c>
      <c r="J454">
        <v>0</v>
      </c>
      <c r="K454">
        <v>0</v>
      </c>
      <c r="L454">
        <v>0.213259</v>
      </c>
      <c r="M454" t="s">
        <v>27</v>
      </c>
      <c r="N454" t="s">
        <v>63</v>
      </c>
      <c r="O454" t="s">
        <v>64</v>
      </c>
      <c r="P454" t="s">
        <v>65</v>
      </c>
      <c r="Q454" t="s">
        <v>66</v>
      </c>
    </row>
    <row r="455" spans="1:17" ht="14.25" customHeight="1" x14ac:dyDescent="0.35">
      <c r="A455" t="s">
        <v>22</v>
      </c>
      <c r="B455">
        <v>58</v>
      </c>
      <c r="C455" t="s">
        <v>103</v>
      </c>
      <c r="D455" t="s">
        <v>61</v>
      </c>
      <c r="E455" t="s">
        <v>25</v>
      </c>
      <c r="F455" t="s">
        <v>62</v>
      </c>
      <c r="G455">
        <v>5</v>
      </c>
      <c r="H455">
        <v>0</v>
      </c>
      <c r="I455">
        <v>0</v>
      </c>
      <c r="J455">
        <v>0</v>
      </c>
      <c r="K455">
        <v>0</v>
      </c>
      <c r="L455">
        <v>0.26674399999999998</v>
      </c>
      <c r="M455" t="s">
        <v>27</v>
      </c>
      <c r="N455" t="s">
        <v>63</v>
      </c>
      <c r="O455" t="s">
        <v>64</v>
      </c>
      <c r="P455" t="s">
        <v>65</v>
      </c>
      <c r="Q455" t="s">
        <v>66</v>
      </c>
    </row>
    <row r="456" spans="1:17" ht="14.25" customHeight="1" x14ac:dyDescent="0.35">
      <c r="A456" t="s">
        <v>22</v>
      </c>
      <c r="B456">
        <v>59</v>
      </c>
      <c r="C456" t="s">
        <v>104</v>
      </c>
      <c r="D456" t="s">
        <v>61</v>
      </c>
      <c r="E456" t="s">
        <v>25</v>
      </c>
      <c r="F456" t="s">
        <v>62</v>
      </c>
      <c r="G456">
        <v>14</v>
      </c>
      <c r="H456">
        <v>0</v>
      </c>
      <c r="I456">
        <v>0</v>
      </c>
      <c r="J456">
        <v>0</v>
      </c>
      <c r="K456">
        <v>0</v>
      </c>
      <c r="L456">
        <v>0.23636799999999999</v>
      </c>
      <c r="M456" t="s">
        <v>27</v>
      </c>
      <c r="N456" t="s">
        <v>63</v>
      </c>
      <c r="O456" t="s">
        <v>64</v>
      </c>
      <c r="P456" t="s">
        <v>65</v>
      </c>
      <c r="Q456" t="s">
        <v>66</v>
      </c>
    </row>
    <row r="457" spans="1:17" ht="14.25" customHeight="1" x14ac:dyDescent="0.35">
      <c r="A457" t="s">
        <v>22</v>
      </c>
      <c r="B457">
        <v>60</v>
      </c>
      <c r="C457" t="s">
        <v>105</v>
      </c>
      <c r="D457" t="s">
        <v>61</v>
      </c>
      <c r="E457" t="s">
        <v>25</v>
      </c>
      <c r="F457" t="s">
        <v>62</v>
      </c>
      <c r="G457">
        <v>4</v>
      </c>
      <c r="H457">
        <v>0</v>
      </c>
      <c r="I457">
        <v>0</v>
      </c>
      <c r="J457">
        <v>0</v>
      </c>
      <c r="K457">
        <v>0</v>
      </c>
      <c r="L457">
        <v>0.257492</v>
      </c>
      <c r="M457" t="s">
        <v>27</v>
      </c>
      <c r="N457" t="s">
        <v>63</v>
      </c>
      <c r="O457" t="s">
        <v>64</v>
      </c>
      <c r="P457" t="s">
        <v>65</v>
      </c>
      <c r="Q457" t="s">
        <v>66</v>
      </c>
    </row>
    <row r="458" spans="1:17" ht="14.25" customHeight="1" x14ac:dyDescent="0.35">
      <c r="A458" t="s">
        <v>22</v>
      </c>
      <c r="B458">
        <v>61</v>
      </c>
      <c r="C458" t="s">
        <v>105</v>
      </c>
      <c r="D458" t="s">
        <v>61</v>
      </c>
      <c r="E458" t="s">
        <v>25</v>
      </c>
      <c r="F458" t="s">
        <v>62</v>
      </c>
      <c r="G458">
        <v>5</v>
      </c>
      <c r="H458">
        <v>0</v>
      </c>
      <c r="I458">
        <v>0</v>
      </c>
      <c r="J458">
        <v>0</v>
      </c>
      <c r="K458">
        <v>0</v>
      </c>
      <c r="L458">
        <v>0.221299</v>
      </c>
      <c r="M458" t="s">
        <v>27</v>
      </c>
      <c r="N458" t="s">
        <v>63</v>
      </c>
      <c r="O458" t="s">
        <v>64</v>
      </c>
      <c r="P458" t="s">
        <v>65</v>
      </c>
      <c r="Q458" t="s">
        <v>66</v>
      </c>
    </row>
    <row r="459" spans="1:17" ht="14.25" customHeight="1" x14ac:dyDescent="0.35">
      <c r="A459" t="s">
        <v>22</v>
      </c>
      <c r="B459">
        <v>62</v>
      </c>
      <c r="C459" t="s">
        <v>106</v>
      </c>
      <c r="D459" t="s">
        <v>61</v>
      </c>
      <c r="E459" t="s">
        <v>25</v>
      </c>
      <c r="F459" t="s">
        <v>62</v>
      </c>
      <c r="G459">
        <v>4</v>
      </c>
      <c r="H459">
        <v>0</v>
      </c>
      <c r="I459">
        <v>0</v>
      </c>
      <c r="J459">
        <v>0</v>
      </c>
      <c r="K459">
        <v>0</v>
      </c>
      <c r="L459">
        <v>0.25625399999999998</v>
      </c>
      <c r="M459" t="s">
        <v>27</v>
      </c>
      <c r="N459" t="s">
        <v>63</v>
      </c>
      <c r="O459" t="s">
        <v>64</v>
      </c>
      <c r="P459" t="s">
        <v>65</v>
      </c>
      <c r="Q459" t="s">
        <v>66</v>
      </c>
    </row>
    <row r="460" spans="1:17" ht="14.25" customHeight="1" x14ac:dyDescent="0.35">
      <c r="A460" t="s">
        <v>22</v>
      </c>
      <c r="B460">
        <v>63</v>
      </c>
      <c r="C460" t="s">
        <v>106</v>
      </c>
      <c r="D460" t="s">
        <v>61</v>
      </c>
      <c r="E460" t="s">
        <v>25</v>
      </c>
      <c r="F460" t="s">
        <v>62</v>
      </c>
      <c r="G460">
        <v>5</v>
      </c>
      <c r="H460">
        <v>0</v>
      </c>
      <c r="I460">
        <v>0</v>
      </c>
      <c r="J460">
        <v>0</v>
      </c>
      <c r="K460">
        <v>0</v>
      </c>
      <c r="L460">
        <v>0.22958999999999999</v>
      </c>
      <c r="M460" t="s">
        <v>27</v>
      </c>
      <c r="N460" t="s">
        <v>63</v>
      </c>
      <c r="O460" t="s">
        <v>64</v>
      </c>
      <c r="P460" t="s">
        <v>65</v>
      </c>
      <c r="Q460" t="s">
        <v>66</v>
      </c>
    </row>
    <row r="461" spans="1:17" ht="14.25" customHeight="1" x14ac:dyDescent="0.35">
      <c r="A461" t="s">
        <v>22</v>
      </c>
      <c r="B461">
        <v>64</v>
      </c>
      <c r="C461" t="s">
        <v>107</v>
      </c>
      <c r="D461" t="s">
        <v>61</v>
      </c>
      <c r="E461" t="s">
        <v>25</v>
      </c>
      <c r="F461" t="s">
        <v>62</v>
      </c>
      <c r="G461">
        <v>19</v>
      </c>
      <c r="H461">
        <v>0</v>
      </c>
      <c r="I461">
        <v>0</v>
      </c>
      <c r="J461">
        <v>0</v>
      </c>
      <c r="K461">
        <v>0</v>
      </c>
      <c r="L461">
        <v>0.20361399999999999</v>
      </c>
      <c r="M461" t="s">
        <v>27</v>
      </c>
      <c r="N461" t="s">
        <v>63</v>
      </c>
      <c r="O461" t="s">
        <v>64</v>
      </c>
      <c r="P461" t="s">
        <v>65</v>
      </c>
      <c r="Q461" t="s">
        <v>66</v>
      </c>
    </row>
    <row r="462" spans="1:17" ht="14.25" customHeight="1" x14ac:dyDescent="0.35">
      <c r="A462" t="s">
        <v>22</v>
      </c>
      <c r="B462">
        <v>65</v>
      </c>
      <c r="C462" t="s">
        <v>108</v>
      </c>
      <c r="D462" t="s">
        <v>82</v>
      </c>
      <c r="E462" t="s">
        <v>25</v>
      </c>
      <c r="F462" t="s">
        <v>62</v>
      </c>
      <c r="G462">
        <v>4137</v>
      </c>
      <c r="H462">
        <v>0</v>
      </c>
      <c r="I462">
        <v>0</v>
      </c>
      <c r="J462">
        <v>0</v>
      </c>
      <c r="K462">
        <v>8.2999999999999998E-5</v>
      </c>
      <c r="L462">
        <v>1.3123940000000001</v>
      </c>
      <c r="M462" t="s">
        <v>27</v>
      </c>
      <c r="N462" t="s">
        <v>63</v>
      </c>
      <c r="O462" t="s">
        <v>109</v>
      </c>
      <c r="P462" t="s">
        <v>110</v>
      </c>
      <c r="Q462" t="s">
        <v>111</v>
      </c>
    </row>
    <row r="463" spans="1:17" ht="14.25" customHeight="1" x14ac:dyDescent="0.35">
      <c r="A463" t="s">
        <v>22</v>
      </c>
      <c r="B463">
        <v>66</v>
      </c>
      <c r="C463" t="s">
        <v>112</v>
      </c>
      <c r="D463" t="s">
        <v>82</v>
      </c>
      <c r="E463" t="s">
        <v>25</v>
      </c>
      <c r="F463" t="s">
        <v>62</v>
      </c>
      <c r="G463">
        <v>223</v>
      </c>
      <c r="H463">
        <v>0</v>
      </c>
      <c r="I463">
        <v>0</v>
      </c>
      <c r="J463">
        <v>0</v>
      </c>
      <c r="K463">
        <v>3.9999999999999998E-6</v>
      </c>
      <c r="L463">
        <v>0.26185599999999998</v>
      </c>
      <c r="M463" t="s">
        <v>27</v>
      </c>
      <c r="N463" t="s">
        <v>63</v>
      </c>
      <c r="O463" t="s">
        <v>113</v>
      </c>
      <c r="P463" t="s">
        <v>114</v>
      </c>
      <c r="Q463" t="s">
        <v>115</v>
      </c>
    </row>
    <row r="464" spans="1:17" ht="14.25" customHeight="1" x14ac:dyDescent="0.35">
      <c r="A464" t="s">
        <v>22</v>
      </c>
      <c r="B464">
        <v>67</v>
      </c>
      <c r="C464" t="s">
        <v>116</v>
      </c>
      <c r="D464" t="s">
        <v>82</v>
      </c>
      <c r="E464" t="s">
        <v>25</v>
      </c>
      <c r="F464" t="s">
        <v>62</v>
      </c>
      <c r="G464">
        <v>228</v>
      </c>
      <c r="H464">
        <v>0</v>
      </c>
      <c r="I464">
        <v>0</v>
      </c>
      <c r="J464">
        <v>0</v>
      </c>
      <c r="K464">
        <v>5.0000000000000004E-6</v>
      </c>
      <c r="L464">
        <v>0.58757499999999996</v>
      </c>
      <c r="M464" t="s">
        <v>27</v>
      </c>
      <c r="N464" t="s">
        <v>63</v>
      </c>
      <c r="O464" t="s">
        <v>113</v>
      </c>
      <c r="P464" t="s">
        <v>114</v>
      </c>
      <c r="Q464" t="s">
        <v>115</v>
      </c>
    </row>
    <row r="465" spans="1:17" ht="14.25" customHeight="1" x14ac:dyDescent="0.35">
      <c r="A465" t="s">
        <v>22</v>
      </c>
      <c r="B465">
        <v>68</v>
      </c>
      <c r="C465" t="s">
        <v>116</v>
      </c>
      <c r="D465" t="s">
        <v>82</v>
      </c>
      <c r="E465" t="s">
        <v>25</v>
      </c>
      <c r="F465" t="s">
        <v>62</v>
      </c>
      <c r="G465">
        <v>228</v>
      </c>
      <c r="H465">
        <v>0</v>
      </c>
      <c r="I465">
        <v>0</v>
      </c>
      <c r="J465">
        <v>0</v>
      </c>
      <c r="K465">
        <v>5.0000000000000004E-6</v>
      </c>
      <c r="L465">
        <v>0.75227699999999997</v>
      </c>
      <c r="M465" t="s">
        <v>27</v>
      </c>
      <c r="N465" t="s">
        <v>63</v>
      </c>
      <c r="O465" t="s">
        <v>113</v>
      </c>
      <c r="P465" t="s">
        <v>114</v>
      </c>
      <c r="Q465" t="s">
        <v>115</v>
      </c>
    </row>
    <row r="466" spans="1:17" ht="14.25" customHeight="1" x14ac:dyDescent="0.35">
      <c r="A466" t="s">
        <v>22</v>
      </c>
      <c r="B466">
        <v>69</v>
      </c>
      <c r="C466" t="s">
        <v>117</v>
      </c>
      <c r="D466" t="s">
        <v>82</v>
      </c>
      <c r="E466" t="s">
        <v>25</v>
      </c>
      <c r="F466" t="s">
        <v>26</v>
      </c>
      <c r="G466">
        <v>4495</v>
      </c>
      <c r="H466">
        <v>0</v>
      </c>
      <c r="I466">
        <v>492</v>
      </c>
      <c r="J466">
        <v>0</v>
      </c>
      <c r="K466">
        <v>1.6157999999999999E-2</v>
      </c>
      <c r="L466">
        <v>7.3834299999999997</v>
      </c>
      <c r="M466" t="s">
        <v>27</v>
      </c>
      <c r="N466" t="s">
        <v>28</v>
      </c>
      <c r="O466" t="s">
        <v>113</v>
      </c>
      <c r="P466" t="s">
        <v>114</v>
      </c>
      <c r="Q466" t="s">
        <v>115</v>
      </c>
    </row>
    <row r="467" spans="1:17" ht="14.25" customHeight="1" x14ac:dyDescent="0.35">
      <c r="A467" t="s">
        <v>22</v>
      </c>
      <c r="B467">
        <v>70</v>
      </c>
      <c r="C467" t="s">
        <v>118</v>
      </c>
      <c r="D467" t="s">
        <v>82</v>
      </c>
      <c r="E467" t="s">
        <v>25</v>
      </c>
      <c r="F467" t="s">
        <v>26</v>
      </c>
      <c r="G467">
        <v>6393</v>
      </c>
      <c r="H467">
        <v>0</v>
      </c>
      <c r="I467">
        <v>679</v>
      </c>
      <c r="J467">
        <v>0</v>
      </c>
      <c r="K467">
        <v>2.2773000000000002E-2</v>
      </c>
      <c r="L467">
        <v>9.1406759999999991</v>
      </c>
      <c r="M467" t="s">
        <v>27</v>
      </c>
      <c r="N467" t="s">
        <v>28</v>
      </c>
      <c r="O467" t="s">
        <v>113</v>
      </c>
      <c r="P467" t="s">
        <v>114</v>
      </c>
      <c r="Q467" t="s">
        <v>115</v>
      </c>
    </row>
    <row r="468" spans="1:17" ht="14.25" customHeight="1" x14ac:dyDescent="0.35">
      <c r="A468" t="s">
        <v>22</v>
      </c>
      <c r="B468">
        <v>71</v>
      </c>
      <c r="C468" t="s">
        <v>119</v>
      </c>
      <c r="D468" t="s">
        <v>82</v>
      </c>
      <c r="E468" t="s">
        <v>25</v>
      </c>
      <c r="F468" t="s">
        <v>26</v>
      </c>
      <c r="G468">
        <v>6828</v>
      </c>
      <c r="H468">
        <v>0</v>
      </c>
      <c r="I468">
        <v>800</v>
      </c>
      <c r="J468">
        <v>0</v>
      </c>
      <c r="K468">
        <v>2.5069999999999999E-2</v>
      </c>
      <c r="L468">
        <v>11.252473999999999</v>
      </c>
      <c r="M468" t="s">
        <v>27</v>
      </c>
      <c r="N468" t="s">
        <v>28</v>
      </c>
      <c r="O468" t="s">
        <v>113</v>
      </c>
      <c r="P468" t="s">
        <v>114</v>
      </c>
      <c r="Q468" t="s">
        <v>115</v>
      </c>
    </row>
    <row r="469" spans="1:17" ht="14.25" customHeight="1" x14ac:dyDescent="0.35">
      <c r="A469" t="s">
        <v>22</v>
      </c>
      <c r="B469">
        <v>72</v>
      </c>
      <c r="C469" t="s">
        <v>120</v>
      </c>
      <c r="D469" t="s">
        <v>121</v>
      </c>
      <c r="E469" t="s">
        <v>25</v>
      </c>
      <c r="F469" t="s">
        <v>26</v>
      </c>
      <c r="G469">
        <v>7359</v>
      </c>
      <c r="H469">
        <v>0</v>
      </c>
      <c r="I469">
        <v>642</v>
      </c>
      <c r="J469">
        <v>0</v>
      </c>
      <c r="K469">
        <v>2.4816999999999999E-2</v>
      </c>
      <c r="L469">
        <v>7.8269469999999997</v>
      </c>
      <c r="M469" t="s">
        <v>27</v>
      </c>
      <c r="N469" t="s">
        <v>28</v>
      </c>
      <c r="O469" t="s">
        <v>122</v>
      </c>
      <c r="P469" t="s">
        <v>123</v>
      </c>
      <c r="Q469" t="s">
        <v>124</v>
      </c>
    </row>
    <row r="470" spans="1:17" ht="14.25" customHeight="1" x14ac:dyDescent="0.35">
      <c r="A470" t="s">
        <v>22</v>
      </c>
      <c r="B470">
        <v>73</v>
      </c>
      <c r="C470" t="s">
        <v>125</v>
      </c>
      <c r="D470" t="s">
        <v>121</v>
      </c>
      <c r="E470" t="s">
        <v>25</v>
      </c>
      <c r="F470" t="s">
        <v>26</v>
      </c>
      <c r="G470">
        <v>7734</v>
      </c>
      <c r="H470">
        <v>0</v>
      </c>
      <c r="I470">
        <v>700</v>
      </c>
      <c r="J470">
        <v>0</v>
      </c>
      <c r="K470">
        <v>2.6335000000000001E-2</v>
      </c>
      <c r="L470">
        <v>8.61646</v>
      </c>
      <c r="M470" t="s">
        <v>27</v>
      </c>
      <c r="N470" t="s">
        <v>28</v>
      </c>
      <c r="O470" t="s">
        <v>122</v>
      </c>
      <c r="P470" t="s">
        <v>123</v>
      </c>
      <c r="Q470" t="s">
        <v>124</v>
      </c>
    </row>
    <row r="471" spans="1:17" ht="14.25" customHeight="1" x14ac:dyDescent="0.35">
      <c r="A471" t="s">
        <v>22</v>
      </c>
      <c r="B471">
        <v>74</v>
      </c>
      <c r="C471" t="s">
        <v>126</v>
      </c>
      <c r="D471" t="s">
        <v>121</v>
      </c>
      <c r="E471" t="s">
        <v>25</v>
      </c>
      <c r="F471" t="s">
        <v>26</v>
      </c>
      <c r="G471">
        <v>7667</v>
      </c>
      <c r="H471">
        <v>0</v>
      </c>
      <c r="I471">
        <v>792</v>
      </c>
      <c r="J471">
        <v>0</v>
      </c>
      <c r="K471">
        <v>2.7088000000000001E-2</v>
      </c>
      <c r="L471">
        <v>9.6762730000000001</v>
      </c>
      <c r="M471" t="s">
        <v>27</v>
      </c>
      <c r="N471" t="s">
        <v>28</v>
      </c>
      <c r="O471" t="s">
        <v>122</v>
      </c>
      <c r="P471" t="s">
        <v>123</v>
      </c>
      <c r="Q471" t="s">
        <v>124</v>
      </c>
    </row>
    <row r="472" spans="1:17" ht="14.25" customHeight="1" x14ac:dyDescent="0.35">
      <c r="A472" t="s">
        <v>22</v>
      </c>
      <c r="B472">
        <v>75</v>
      </c>
      <c r="C472" t="s">
        <v>127</v>
      </c>
      <c r="D472" t="s">
        <v>121</v>
      </c>
      <c r="E472" t="s">
        <v>25</v>
      </c>
      <c r="F472" t="s">
        <v>26</v>
      </c>
      <c r="G472">
        <v>11265</v>
      </c>
      <c r="H472">
        <v>0</v>
      </c>
      <c r="I472">
        <v>1108</v>
      </c>
      <c r="J472">
        <v>0</v>
      </c>
      <c r="K472">
        <v>3.9241999999999999E-2</v>
      </c>
      <c r="L472">
        <v>14.910988</v>
      </c>
      <c r="M472" t="s">
        <v>27</v>
      </c>
      <c r="N472" t="s">
        <v>28</v>
      </c>
      <c r="O472" t="s">
        <v>122</v>
      </c>
      <c r="P472" t="s">
        <v>123</v>
      </c>
      <c r="Q472" t="s">
        <v>124</v>
      </c>
    </row>
    <row r="473" spans="1:17" ht="14.25" customHeight="1" x14ac:dyDescent="0.35">
      <c r="A473" t="s">
        <v>22</v>
      </c>
      <c r="B473">
        <v>76</v>
      </c>
      <c r="C473" t="s">
        <v>127</v>
      </c>
      <c r="D473" t="s">
        <v>121</v>
      </c>
      <c r="E473" t="s">
        <v>25</v>
      </c>
      <c r="F473" t="s">
        <v>26</v>
      </c>
      <c r="G473">
        <v>10957</v>
      </c>
      <c r="H473">
        <v>0</v>
      </c>
      <c r="I473">
        <v>1143</v>
      </c>
      <c r="J473">
        <v>0</v>
      </c>
      <c r="K473">
        <v>3.8823000000000003E-2</v>
      </c>
      <c r="L473">
        <v>15.182829</v>
      </c>
      <c r="M473" t="s">
        <v>27</v>
      </c>
      <c r="N473" t="s">
        <v>28</v>
      </c>
      <c r="O473" t="s">
        <v>122</v>
      </c>
      <c r="P473" t="s">
        <v>123</v>
      </c>
      <c r="Q473" t="s">
        <v>124</v>
      </c>
    </row>
    <row r="474" spans="1:17" ht="14.25" customHeight="1" x14ac:dyDescent="0.35">
      <c r="A474" t="s">
        <v>22</v>
      </c>
      <c r="B474">
        <v>77</v>
      </c>
      <c r="C474" t="s">
        <v>128</v>
      </c>
      <c r="D474" t="s">
        <v>121</v>
      </c>
      <c r="E474" t="s">
        <v>25</v>
      </c>
      <c r="F474" t="s">
        <v>26</v>
      </c>
      <c r="G474">
        <v>10489</v>
      </c>
      <c r="H474">
        <v>0</v>
      </c>
      <c r="I474">
        <v>1209</v>
      </c>
      <c r="J474">
        <v>0</v>
      </c>
      <c r="K474">
        <v>3.8311999999999999E-2</v>
      </c>
      <c r="L474">
        <v>16.547272</v>
      </c>
      <c r="M474" t="s">
        <v>27</v>
      </c>
      <c r="N474" t="s">
        <v>28</v>
      </c>
      <c r="O474" t="s">
        <v>122</v>
      </c>
      <c r="P474" t="s">
        <v>123</v>
      </c>
      <c r="Q474" t="s">
        <v>124</v>
      </c>
    </row>
    <row r="475" spans="1:17" ht="14.25" customHeight="1" x14ac:dyDescent="0.35">
      <c r="A475" t="s">
        <v>22</v>
      </c>
      <c r="B475">
        <v>78</v>
      </c>
      <c r="C475" t="s">
        <v>128</v>
      </c>
      <c r="D475" t="s">
        <v>121</v>
      </c>
      <c r="E475" t="s">
        <v>25</v>
      </c>
      <c r="F475" t="s">
        <v>26</v>
      </c>
      <c r="G475">
        <v>10558</v>
      </c>
      <c r="H475">
        <v>0</v>
      </c>
      <c r="I475">
        <v>1206</v>
      </c>
      <c r="J475">
        <v>0</v>
      </c>
      <c r="K475">
        <v>3.8455000000000003E-2</v>
      </c>
      <c r="L475">
        <v>16.913240999999999</v>
      </c>
      <c r="M475" t="s">
        <v>27</v>
      </c>
      <c r="N475" t="s">
        <v>28</v>
      </c>
      <c r="O475" t="s">
        <v>122</v>
      </c>
      <c r="P475" t="s">
        <v>123</v>
      </c>
      <c r="Q475" t="s">
        <v>124</v>
      </c>
    </row>
    <row r="476" spans="1:17" ht="14.25" customHeight="1" x14ac:dyDescent="0.35">
      <c r="A476" t="s">
        <v>22</v>
      </c>
      <c r="B476">
        <v>79</v>
      </c>
      <c r="C476" t="s">
        <v>129</v>
      </c>
      <c r="D476" t="s">
        <v>121</v>
      </c>
      <c r="E476" t="s">
        <v>25</v>
      </c>
      <c r="F476" t="s">
        <v>26</v>
      </c>
      <c r="G476">
        <v>10359</v>
      </c>
      <c r="H476">
        <v>0</v>
      </c>
      <c r="I476">
        <v>1105</v>
      </c>
      <c r="J476">
        <v>0</v>
      </c>
      <c r="K476">
        <v>3.6948000000000002E-2</v>
      </c>
      <c r="L476">
        <v>14.074894</v>
      </c>
      <c r="M476" t="s">
        <v>27</v>
      </c>
      <c r="N476" t="s">
        <v>28</v>
      </c>
      <c r="O476" t="s">
        <v>122</v>
      </c>
      <c r="P476" t="s">
        <v>123</v>
      </c>
      <c r="Q476" t="s">
        <v>124</v>
      </c>
    </row>
    <row r="477" spans="1:17" ht="14.25" customHeight="1" x14ac:dyDescent="0.35">
      <c r="A477" t="s">
        <v>22</v>
      </c>
      <c r="B477">
        <v>80</v>
      </c>
      <c r="C477" t="s">
        <v>130</v>
      </c>
      <c r="D477" t="s">
        <v>121</v>
      </c>
      <c r="E477" t="s">
        <v>25</v>
      </c>
      <c r="F477" t="s">
        <v>26</v>
      </c>
      <c r="G477">
        <v>12019</v>
      </c>
      <c r="H477">
        <v>0</v>
      </c>
      <c r="I477">
        <v>2147</v>
      </c>
      <c r="J477">
        <v>0</v>
      </c>
      <c r="K477">
        <v>5.1518000000000001E-2</v>
      </c>
      <c r="L477">
        <v>22.623137</v>
      </c>
      <c r="M477" t="s">
        <v>27</v>
      </c>
      <c r="N477" t="s">
        <v>28</v>
      </c>
      <c r="O477" t="s">
        <v>122</v>
      </c>
      <c r="P477" t="s">
        <v>123</v>
      </c>
      <c r="Q477" t="s">
        <v>124</v>
      </c>
    </row>
    <row r="478" spans="1:17" ht="14.25" customHeight="1" x14ac:dyDescent="0.35">
      <c r="A478" t="s">
        <v>22</v>
      </c>
      <c r="B478">
        <v>81</v>
      </c>
      <c r="C478" t="s">
        <v>131</v>
      </c>
      <c r="D478" t="s">
        <v>121</v>
      </c>
      <c r="E478" t="s">
        <v>25</v>
      </c>
      <c r="F478" t="s">
        <v>26</v>
      </c>
      <c r="G478">
        <v>14242</v>
      </c>
      <c r="H478">
        <v>13952</v>
      </c>
      <c r="I478">
        <v>2294</v>
      </c>
      <c r="J478">
        <v>0</v>
      </c>
      <c r="K478">
        <v>4.1105000000000003E-2</v>
      </c>
      <c r="L478">
        <v>19.201146000000001</v>
      </c>
      <c r="M478" t="s">
        <v>27</v>
      </c>
      <c r="N478" t="s">
        <v>28</v>
      </c>
      <c r="O478" t="s">
        <v>122</v>
      </c>
      <c r="P478" t="s">
        <v>123</v>
      </c>
      <c r="Q478" t="s">
        <v>124</v>
      </c>
    </row>
    <row r="479" spans="1:17" ht="14.25" customHeight="1" x14ac:dyDescent="0.35">
      <c r="A479" t="s">
        <v>22</v>
      </c>
      <c r="B479">
        <v>82</v>
      </c>
      <c r="C479" t="s">
        <v>132</v>
      </c>
      <c r="D479" t="s">
        <v>133</v>
      </c>
      <c r="E479" t="s">
        <v>25</v>
      </c>
      <c r="F479" t="s">
        <v>26</v>
      </c>
      <c r="G479">
        <v>3163</v>
      </c>
      <c r="H479">
        <v>0</v>
      </c>
      <c r="I479">
        <v>347</v>
      </c>
      <c r="J479">
        <v>0</v>
      </c>
      <c r="K479">
        <v>1.1377999999999999E-2</v>
      </c>
      <c r="L479">
        <v>6.182493</v>
      </c>
      <c r="M479" t="s">
        <v>27</v>
      </c>
      <c r="N479" t="s">
        <v>28</v>
      </c>
      <c r="O479" t="s">
        <v>122</v>
      </c>
      <c r="P479" t="s">
        <v>123</v>
      </c>
      <c r="Q479" t="s">
        <v>134</v>
      </c>
    </row>
    <row r="480" spans="1:17" ht="14.25" customHeight="1" x14ac:dyDescent="0.35">
      <c r="A480" t="s">
        <v>135</v>
      </c>
      <c r="B480">
        <v>1</v>
      </c>
      <c r="C480" t="s">
        <v>136</v>
      </c>
      <c r="D480" t="s">
        <v>24</v>
      </c>
      <c r="E480" t="s">
        <v>25</v>
      </c>
      <c r="F480" t="s">
        <v>26</v>
      </c>
      <c r="G480">
        <v>1174</v>
      </c>
      <c r="H480">
        <v>1024</v>
      </c>
      <c r="I480">
        <v>54</v>
      </c>
      <c r="J480">
        <v>0</v>
      </c>
      <c r="K480">
        <v>2.1949999999999999E-3</v>
      </c>
      <c r="L480">
        <v>2.2338209999999998</v>
      </c>
      <c r="M480" t="s">
        <v>27</v>
      </c>
      <c r="N480" t="s">
        <v>28</v>
      </c>
      <c r="O480" t="s">
        <v>29</v>
      </c>
      <c r="P480" t="s">
        <v>30</v>
      </c>
      <c r="Q480" t="s">
        <v>31</v>
      </c>
    </row>
    <row r="481" spans="1:17" ht="14.25" customHeight="1" x14ac:dyDescent="0.35">
      <c r="A481" t="s">
        <v>135</v>
      </c>
      <c r="B481">
        <v>2</v>
      </c>
      <c r="C481" t="s">
        <v>137</v>
      </c>
      <c r="D481" t="s">
        <v>33</v>
      </c>
      <c r="E481" t="s">
        <v>25</v>
      </c>
      <c r="F481" t="s">
        <v>34</v>
      </c>
      <c r="G481">
        <v>425</v>
      </c>
      <c r="H481">
        <v>0</v>
      </c>
      <c r="I481">
        <v>73</v>
      </c>
      <c r="J481">
        <v>0</v>
      </c>
      <c r="K481">
        <v>1.08E-4</v>
      </c>
      <c r="L481">
        <v>2.266537</v>
      </c>
      <c r="M481" t="s">
        <v>27</v>
      </c>
      <c r="N481" t="s">
        <v>28</v>
      </c>
      <c r="O481" t="s">
        <v>35</v>
      </c>
      <c r="P481" t="s">
        <v>36</v>
      </c>
      <c r="Q481" t="s">
        <v>37</v>
      </c>
    </row>
    <row r="482" spans="1:17" ht="14.25" customHeight="1" x14ac:dyDescent="0.35">
      <c r="A482" t="s">
        <v>135</v>
      </c>
      <c r="B482">
        <v>3</v>
      </c>
      <c r="C482" t="s">
        <v>138</v>
      </c>
      <c r="D482" t="s">
        <v>39</v>
      </c>
      <c r="E482" t="s">
        <v>40</v>
      </c>
      <c r="F482" t="s">
        <v>41</v>
      </c>
      <c r="G482">
        <v>670</v>
      </c>
      <c r="H482">
        <v>0</v>
      </c>
      <c r="I482">
        <v>2630</v>
      </c>
      <c r="J482">
        <v>5.0000000000000001E-3</v>
      </c>
      <c r="K482">
        <v>8.3000000000000001E-3</v>
      </c>
      <c r="L482">
        <v>31.82978</v>
      </c>
      <c r="M482" t="s">
        <v>27</v>
      </c>
      <c r="N482" t="s">
        <v>42</v>
      </c>
      <c r="O482" t="s">
        <v>43</v>
      </c>
      <c r="P482" t="s">
        <v>44</v>
      </c>
      <c r="Q482" t="s">
        <v>45</v>
      </c>
    </row>
    <row r="483" spans="1:17" ht="14.25" customHeight="1" x14ac:dyDescent="0.35">
      <c r="A483" t="s">
        <v>135</v>
      </c>
      <c r="B483">
        <v>4</v>
      </c>
      <c r="C483" t="s">
        <v>139</v>
      </c>
      <c r="D483" t="s">
        <v>39</v>
      </c>
      <c r="E483" t="s">
        <v>47</v>
      </c>
      <c r="F483" t="s">
        <v>47</v>
      </c>
      <c r="G483">
        <v>0</v>
      </c>
      <c r="H483">
        <v>0</v>
      </c>
      <c r="I483">
        <v>0</v>
      </c>
      <c r="J483">
        <v>1E-3</v>
      </c>
      <c r="K483">
        <v>1E-3</v>
      </c>
      <c r="L483">
        <v>2.0250110000000001</v>
      </c>
      <c r="M483" t="s">
        <v>27</v>
      </c>
      <c r="N483" t="s">
        <v>48</v>
      </c>
      <c r="O483" t="s">
        <v>49</v>
      </c>
      <c r="P483" t="s">
        <v>50</v>
      </c>
      <c r="Q483" t="s">
        <v>51</v>
      </c>
    </row>
    <row r="484" spans="1:17" ht="14.25" customHeight="1" x14ac:dyDescent="0.35">
      <c r="A484" t="s">
        <v>135</v>
      </c>
      <c r="B484">
        <v>5</v>
      </c>
      <c r="C484" t="s">
        <v>140</v>
      </c>
      <c r="D484" t="s">
        <v>39</v>
      </c>
      <c r="E484" t="s">
        <v>47</v>
      </c>
      <c r="F484" t="s">
        <v>47</v>
      </c>
      <c r="G484">
        <v>0</v>
      </c>
      <c r="H484">
        <v>0</v>
      </c>
      <c r="I484">
        <v>0</v>
      </c>
      <c r="J484">
        <v>1E-3</v>
      </c>
      <c r="K484">
        <v>1E-3</v>
      </c>
      <c r="L484">
        <v>0.93689800000000001</v>
      </c>
      <c r="M484" t="s">
        <v>27</v>
      </c>
      <c r="N484" t="s">
        <v>48</v>
      </c>
      <c r="O484" t="s">
        <v>49</v>
      </c>
      <c r="P484" t="s">
        <v>50</v>
      </c>
      <c r="Q484" t="s">
        <v>51</v>
      </c>
    </row>
    <row r="485" spans="1:17" ht="14.25" customHeight="1" x14ac:dyDescent="0.35">
      <c r="A485" t="s">
        <v>135</v>
      </c>
      <c r="B485">
        <v>6</v>
      </c>
      <c r="C485" t="s">
        <v>141</v>
      </c>
      <c r="D485" t="s">
        <v>39</v>
      </c>
      <c r="E485" t="s">
        <v>47</v>
      </c>
      <c r="F485" t="s">
        <v>47</v>
      </c>
      <c r="G485">
        <v>0</v>
      </c>
      <c r="H485">
        <v>0</v>
      </c>
      <c r="I485">
        <v>0</v>
      </c>
      <c r="J485">
        <v>1E-3</v>
      </c>
      <c r="K485">
        <v>1E-3</v>
      </c>
      <c r="L485">
        <v>0.73698300000000005</v>
      </c>
      <c r="M485" t="s">
        <v>27</v>
      </c>
      <c r="N485" t="s">
        <v>48</v>
      </c>
      <c r="O485" t="s">
        <v>49</v>
      </c>
      <c r="P485" t="s">
        <v>50</v>
      </c>
      <c r="Q485" t="s">
        <v>51</v>
      </c>
    </row>
    <row r="486" spans="1:17" ht="14.25" customHeight="1" x14ac:dyDescent="0.35">
      <c r="A486" t="s">
        <v>135</v>
      </c>
      <c r="B486">
        <v>7</v>
      </c>
      <c r="C486" t="s">
        <v>142</v>
      </c>
      <c r="D486" t="s">
        <v>39</v>
      </c>
      <c r="E486" t="s">
        <v>47</v>
      </c>
      <c r="F486" t="s">
        <v>47</v>
      </c>
      <c r="G486">
        <v>0</v>
      </c>
      <c r="H486">
        <v>0</v>
      </c>
      <c r="I486">
        <v>0</v>
      </c>
      <c r="J486">
        <v>1E-3</v>
      </c>
      <c r="K486">
        <v>1E-3</v>
      </c>
      <c r="L486">
        <v>1.0152460000000001</v>
      </c>
      <c r="M486" t="s">
        <v>27</v>
      </c>
      <c r="N486" t="s">
        <v>48</v>
      </c>
      <c r="O486" t="s">
        <v>49</v>
      </c>
      <c r="P486" t="s">
        <v>50</v>
      </c>
      <c r="Q486" t="s">
        <v>51</v>
      </c>
    </row>
    <row r="487" spans="1:17" ht="14.25" customHeight="1" x14ac:dyDescent="0.35">
      <c r="A487" t="s">
        <v>135</v>
      </c>
      <c r="B487">
        <v>8</v>
      </c>
      <c r="C487" t="s">
        <v>143</v>
      </c>
      <c r="D487" t="s">
        <v>39</v>
      </c>
      <c r="E487" t="s">
        <v>47</v>
      </c>
      <c r="F487" t="s">
        <v>47</v>
      </c>
      <c r="G487">
        <v>0</v>
      </c>
      <c r="H487">
        <v>0</v>
      </c>
      <c r="I487">
        <v>0</v>
      </c>
      <c r="J487">
        <v>1E-3</v>
      </c>
      <c r="K487">
        <v>1E-3</v>
      </c>
      <c r="L487">
        <v>1.0127390000000001</v>
      </c>
      <c r="M487" t="s">
        <v>27</v>
      </c>
      <c r="N487" t="s">
        <v>48</v>
      </c>
      <c r="O487" t="s">
        <v>49</v>
      </c>
      <c r="P487" t="s">
        <v>50</v>
      </c>
      <c r="Q487" t="s">
        <v>51</v>
      </c>
    </row>
    <row r="488" spans="1:17" ht="14.25" customHeight="1" x14ac:dyDescent="0.35">
      <c r="A488" t="s">
        <v>135</v>
      </c>
      <c r="B488">
        <v>9</v>
      </c>
      <c r="C488" t="s">
        <v>144</v>
      </c>
      <c r="D488" t="s">
        <v>39</v>
      </c>
      <c r="E488" t="s">
        <v>47</v>
      </c>
      <c r="F488" t="s">
        <v>47</v>
      </c>
      <c r="G488">
        <v>0</v>
      </c>
      <c r="H488">
        <v>0</v>
      </c>
      <c r="I488">
        <v>0</v>
      </c>
      <c r="J488">
        <v>1E-3</v>
      </c>
      <c r="K488">
        <v>1E-3</v>
      </c>
      <c r="L488">
        <v>1.1604639999999999</v>
      </c>
      <c r="M488" t="s">
        <v>27</v>
      </c>
      <c r="N488" t="s">
        <v>48</v>
      </c>
      <c r="O488" t="s">
        <v>49</v>
      </c>
      <c r="P488" t="s">
        <v>50</v>
      </c>
      <c r="Q488" t="s">
        <v>51</v>
      </c>
    </row>
    <row r="489" spans="1:17" ht="14.25" customHeight="1" x14ac:dyDescent="0.35">
      <c r="A489" t="s">
        <v>135</v>
      </c>
      <c r="B489">
        <v>10</v>
      </c>
      <c r="C489" t="s">
        <v>145</v>
      </c>
      <c r="D489" t="s">
        <v>39</v>
      </c>
      <c r="E489" t="s">
        <v>47</v>
      </c>
      <c r="F489" t="s">
        <v>47</v>
      </c>
      <c r="G489">
        <v>0</v>
      </c>
      <c r="H489">
        <v>0</v>
      </c>
      <c r="I489">
        <v>0</v>
      </c>
      <c r="J489">
        <v>1E-3</v>
      </c>
      <c r="K489">
        <v>1E-3</v>
      </c>
      <c r="L489">
        <v>1.8754500000000001</v>
      </c>
      <c r="M489" t="s">
        <v>27</v>
      </c>
      <c r="N489" t="s">
        <v>48</v>
      </c>
      <c r="O489" t="s">
        <v>49</v>
      </c>
      <c r="P489" t="s">
        <v>50</v>
      </c>
      <c r="Q489" t="s">
        <v>51</v>
      </c>
    </row>
    <row r="490" spans="1:17" ht="14.25" customHeight="1" x14ac:dyDescent="0.35">
      <c r="A490" t="s">
        <v>135</v>
      </c>
      <c r="B490">
        <v>11</v>
      </c>
      <c r="C490" t="s">
        <v>146</v>
      </c>
      <c r="D490" t="s">
        <v>39</v>
      </c>
      <c r="E490" t="s">
        <v>47</v>
      </c>
      <c r="F490" t="s">
        <v>47</v>
      </c>
      <c r="G490">
        <v>0</v>
      </c>
      <c r="H490">
        <v>0</v>
      </c>
      <c r="I490">
        <v>0</v>
      </c>
      <c r="J490">
        <v>1E-3</v>
      </c>
      <c r="K490">
        <v>1E-3</v>
      </c>
      <c r="L490">
        <v>1.161624</v>
      </c>
      <c r="M490" t="s">
        <v>27</v>
      </c>
      <c r="N490" t="s">
        <v>48</v>
      </c>
      <c r="O490" t="s">
        <v>49</v>
      </c>
      <c r="P490" t="s">
        <v>50</v>
      </c>
      <c r="Q490" t="s">
        <v>51</v>
      </c>
    </row>
    <row r="491" spans="1:17" ht="14.25" customHeight="1" x14ac:dyDescent="0.35">
      <c r="A491" t="s">
        <v>135</v>
      </c>
      <c r="B491">
        <v>12</v>
      </c>
      <c r="C491" t="s">
        <v>147</v>
      </c>
      <c r="D491" t="s">
        <v>39</v>
      </c>
      <c r="E491" t="s">
        <v>47</v>
      </c>
      <c r="F491" t="s">
        <v>47</v>
      </c>
      <c r="G491">
        <v>0</v>
      </c>
      <c r="H491">
        <v>0</v>
      </c>
      <c r="I491">
        <v>0</v>
      </c>
      <c r="J491">
        <v>1E-3</v>
      </c>
      <c r="K491">
        <v>1E-3</v>
      </c>
      <c r="L491">
        <v>0.99680599999999997</v>
      </c>
      <c r="M491" t="s">
        <v>27</v>
      </c>
      <c r="N491" t="s">
        <v>48</v>
      </c>
      <c r="O491" t="s">
        <v>49</v>
      </c>
      <c r="P491" t="s">
        <v>50</v>
      </c>
      <c r="Q491" t="s">
        <v>51</v>
      </c>
    </row>
    <row r="492" spans="1:17" ht="14.25" customHeight="1" x14ac:dyDescent="0.35">
      <c r="A492" t="s">
        <v>135</v>
      </c>
      <c r="B492">
        <v>13</v>
      </c>
      <c r="C492" t="s">
        <v>148</v>
      </c>
      <c r="D492" t="s">
        <v>39</v>
      </c>
      <c r="E492" t="s">
        <v>47</v>
      </c>
      <c r="F492" t="s">
        <v>47</v>
      </c>
      <c r="G492">
        <v>0</v>
      </c>
      <c r="H492">
        <v>0</v>
      </c>
      <c r="I492">
        <v>0</v>
      </c>
      <c r="J492">
        <v>1E-3</v>
      </c>
      <c r="K492">
        <v>1E-3</v>
      </c>
      <c r="L492">
        <v>0.90595700000000001</v>
      </c>
      <c r="M492" t="s">
        <v>27</v>
      </c>
      <c r="N492" t="s">
        <v>48</v>
      </c>
      <c r="O492" t="s">
        <v>49</v>
      </c>
      <c r="P492" t="s">
        <v>50</v>
      </c>
      <c r="Q492" t="s">
        <v>51</v>
      </c>
    </row>
    <row r="493" spans="1:17" ht="14.25" customHeight="1" x14ac:dyDescent="0.35">
      <c r="A493" t="s">
        <v>135</v>
      </c>
      <c r="B493">
        <v>14</v>
      </c>
      <c r="C493" t="s">
        <v>149</v>
      </c>
      <c r="D493" t="s">
        <v>55</v>
      </c>
      <c r="E493" t="s">
        <v>25</v>
      </c>
      <c r="F493" t="s">
        <v>26</v>
      </c>
      <c r="G493">
        <v>10993</v>
      </c>
      <c r="H493">
        <v>10880</v>
      </c>
      <c r="I493">
        <v>1719</v>
      </c>
      <c r="J493">
        <v>0</v>
      </c>
      <c r="K493">
        <v>3.1071999999999999E-2</v>
      </c>
      <c r="L493">
        <v>22.011227999999999</v>
      </c>
      <c r="M493" t="s">
        <v>27</v>
      </c>
      <c r="N493" t="s">
        <v>28</v>
      </c>
      <c r="O493" t="s">
        <v>56</v>
      </c>
      <c r="P493" t="s">
        <v>57</v>
      </c>
      <c r="Q493" t="s">
        <v>58</v>
      </c>
    </row>
    <row r="494" spans="1:17" ht="14.25" customHeight="1" x14ac:dyDescent="0.35">
      <c r="A494" t="s">
        <v>135</v>
      </c>
      <c r="B494">
        <v>15</v>
      </c>
      <c r="C494" t="s">
        <v>150</v>
      </c>
      <c r="D494" t="s">
        <v>61</v>
      </c>
      <c r="E494" t="s">
        <v>25</v>
      </c>
      <c r="F494" t="s">
        <v>62</v>
      </c>
      <c r="G494">
        <v>3</v>
      </c>
      <c r="H494">
        <v>0</v>
      </c>
      <c r="I494">
        <v>0</v>
      </c>
      <c r="J494">
        <v>0</v>
      </c>
      <c r="K494">
        <v>0</v>
      </c>
      <c r="L494">
        <v>1.056781</v>
      </c>
      <c r="M494" t="s">
        <v>27</v>
      </c>
      <c r="N494" t="s">
        <v>63</v>
      </c>
      <c r="O494" t="s">
        <v>64</v>
      </c>
      <c r="P494" t="s">
        <v>65</v>
      </c>
      <c r="Q494" t="s">
        <v>66</v>
      </c>
    </row>
    <row r="495" spans="1:17" ht="14.25" customHeight="1" x14ac:dyDescent="0.35">
      <c r="A495" t="s">
        <v>135</v>
      </c>
      <c r="B495">
        <v>16</v>
      </c>
      <c r="C495" t="s">
        <v>151</v>
      </c>
      <c r="D495" t="s">
        <v>61</v>
      </c>
      <c r="E495" t="s">
        <v>25</v>
      </c>
      <c r="F495" t="s">
        <v>62</v>
      </c>
      <c r="G495">
        <v>5</v>
      </c>
      <c r="H495">
        <v>0</v>
      </c>
      <c r="I495">
        <v>0</v>
      </c>
      <c r="J495">
        <v>0</v>
      </c>
      <c r="K495">
        <v>0</v>
      </c>
      <c r="L495">
        <v>0.61669799999999997</v>
      </c>
      <c r="M495" t="s">
        <v>27</v>
      </c>
      <c r="N495" t="s">
        <v>63</v>
      </c>
      <c r="O495" t="s">
        <v>64</v>
      </c>
      <c r="P495" t="s">
        <v>65</v>
      </c>
      <c r="Q495" t="s">
        <v>66</v>
      </c>
    </row>
    <row r="496" spans="1:17" ht="14.25" customHeight="1" x14ac:dyDescent="0.35">
      <c r="A496" t="s">
        <v>135</v>
      </c>
      <c r="B496">
        <v>17</v>
      </c>
      <c r="C496" t="s">
        <v>152</v>
      </c>
      <c r="D496" t="s">
        <v>61</v>
      </c>
      <c r="E496" t="s">
        <v>25</v>
      </c>
      <c r="F496" t="s">
        <v>62</v>
      </c>
      <c r="G496">
        <v>6</v>
      </c>
      <c r="H496">
        <v>0</v>
      </c>
      <c r="I496">
        <v>0</v>
      </c>
      <c r="J496">
        <v>0</v>
      </c>
      <c r="K496">
        <v>0</v>
      </c>
      <c r="L496">
        <v>1.322997</v>
      </c>
      <c r="M496" t="s">
        <v>27</v>
      </c>
      <c r="N496" t="s">
        <v>63</v>
      </c>
      <c r="O496" t="s">
        <v>64</v>
      </c>
      <c r="P496" t="s">
        <v>65</v>
      </c>
      <c r="Q496" t="s">
        <v>66</v>
      </c>
    </row>
    <row r="497" spans="1:17" ht="14.25" customHeight="1" x14ac:dyDescent="0.35">
      <c r="A497" t="s">
        <v>135</v>
      </c>
      <c r="B497">
        <v>18</v>
      </c>
      <c r="C497" t="s">
        <v>152</v>
      </c>
      <c r="D497" t="s">
        <v>61</v>
      </c>
      <c r="E497" t="s">
        <v>25</v>
      </c>
      <c r="F497" t="s">
        <v>62</v>
      </c>
      <c r="G497">
        <v>5</v>
      </c>
      <c r="H497">
        <v>0</v>
      </c>
      <c r="I497">
        <v>0</v>
      </c>
      <c r="J497">
        <v>0</v>
      </c>
      <c r="K497">
        <v>0</v>
      </c>
      <c r="L497">
        <v>0.22272700000000001</v>
      </c>
      <c r="M497" t="s">
        <v>27</v>
      </c>
      <c r="N497" t="s">
        <v>63</v>
      </c>
      <c r="O497" t="s">
        <v>64</v>
      </c>
      <c r="P497" t="s">
        <v>65</v>
      </c>
      <c r="Q497" t="s">
        <v>66</v>
      </c>
    </row>
    <row r="498" spans="1:17" ht="14.25" customHeight="1" x14ac:dyDescent="0.35">
      <c r="A498" t="s">
        <v>135</v>
      </c>
      <c r="B498">
        <v>19</v>
      </c>
      <c r="C498" t="s">
        <v>152</v>
      </c>
      <c r="D498" t="s">
        <v>61</v>
      </c>
      <c r="E498" t="s">
        <v>25</v>
      </c>
      <c r="F498" t="s">
        <v>62</v>
      </c>
      <c r="G498">
        <v>4</v>
      </c>
      <c r="H498">
        <v>0</v>
      </c>
      <c r="I498">
        <v>0</v>
      </c>
      <c r="J498">
        <v>0</v>
      </c>
      <c r="K498">
        <v>0</v>
      </c>
      <c r="L498">
        <v>0.33979599999999999</v>
      </c>
      <c r="M498" t="s">
        <v>27</v>
      </c>
      <c r="N498" t="s">
        <v>63</v>
      </c>
      <c r="O498" t="s">
        <v>64</v>
      </c>
      <c r="P498" t="s">
        <v>65</v>
      </c>
      <c r="Q498" t="s">
        <v>66</v>
      </c>
    </row>
    <row r="499" spans="1:17" ht="14.25" customHeight="1" x14ac:dyDescent="0.35">
      <c r="A499" t="s">
        <v>135</v>
      </c>
      <c r="B499">
        <v>20</v>
      </c>
      <c r="C499" t="s">
        <v>153</v>
      </c>
      <c r="D499" t="s">
        <v>61</v>
      </c>
      <c r="E499" t="s">
        <v>25</v>
      </c>
      <c r="F499" t="s">
        <v>62</v>
      </c>
      <c r="G499">
        <v>4</v>
      </c>
      <c r="H499">
        <v>0</v>
      </c>
      <c r="I499">
        <v>0</v>
      </c>
      <c r="J499">
        <v>0</v>
      </c>
      <c r="K499">
        <v>0</v>
      </c>
      <c r="L499">
        <v>0.21499199999999999</v>
      </c>
      <c r="M499" t="s">
        <v>27</v>
      </c>
      <c r="N499" t="s">
        <v>63</v>
      </c>
      <c r="O499" t="s">
        <v>64</v>
      </c>
      <c r="P499" t="s">
        <v>65</v>
      </c>
      <c r="Q499" t="s">
        <v>66</v>
      </c>
    </row>
    <row r="500" spans="1:17" ht="14.25" customHeight="1" x14ac:dyDescent="0.35">
      <c r="A500" t="s">
        <v>135</v>
      </c>
      <c r="B500">
        <v>21</v>
      </c>
      <c r="C500" t="s">
        <v>153</v>
      </c>
      <c r="D500" t="s">
        <v>61</v>
      </c>
      <c r="E500" t="s">
        <v>25</v>
      </c>
      <c r="F500" t="s">
        <v>62</v>
      </c>
      <c r="G500">
        <v>6</v>
      </c>
      <c r="H500">
        <v>0</v>
      </c>
      <c r="I500">
        <v>0</v>
      </c>
      <c r="J500">
        <v>0</v>
      </c>
      <c r="K500">
        <v>0</v>
      </c>
      <c r="L500">
        <v>0.22813</v>
      </c>
      <c r="M500" t="s">
        <v>27</v>
      </c>
      <c r="N500" t="s">
        <v>63</v>
      </c>
      <c r="O500" t="s">
        <v>64</v>
      </c>
      <c r="P500" t="s">
        <v>65</v>
      </c>
      <c r="Q500" t="s">
        <v>66</v>
      </c>
    </row>
    <row r="501" spans="1:17" ht="14.25" customHeight="1" x14ac:dyDescent="0.35">
      <c r="A501" t="s">
        <v>135</v>
      </c>
      <c r="B501">
        <v>22</v>
      </c>
      <c r="C501" t="s">
        <v>153</v>
      </c>
      <c r="D501" t="s">
        <v>61</v>
      </c>
      <c r="E501" t="s">
        <v>25</v>
      </c>
      <c r="F501" t="s">
        <v>62</v>
      </c>
      <c r="G501">
        <v>7</v>
      </c>
      <c r="H501">
        <v>0</v>
      </c>
      <c r="I501">
        <v>0</v>
      </c>
      <c r="J501">
        <v>0</v>
      </c>
      <c r="K501">
        <v>0</v>
      </c>
      <c r="L501">
        <v>0.26078600000000002</v>
      </c>
      <c r="M501" t="s">
        <v>27</v>
      </c>
      <c r="N501" t="s">
        <v>63</v>
      </c>
      <c r="O501" t="s">
        <v>64</v>
      </c>
      <c r="P501" t="s">
        <v>65</v>
      </c>
      <c r="Q501" t="s">
        <v>66</v>
      </c>
    </row>
    <row r="502" spans="1:17" ht="14.25" customHeight="1" x14ac:dyDescent="0.35">
      <c r="A502" t="s">
        <v>135</v>
      </c>
      <c r="B502">
        <v>23</v>
      </c>
      <c r="C502" t="s">
        <v>154</v>
      </c>
      <c r="D502" t="s">
        <v>61</v>
      </c>
      <c r="E502" t="s">
        <v>25</v>
      </c>
      <c r="F502" t="s">
        <v>62</v>
      </c>
      <c r="G502">
        <v>4</v>
      </c>
      <c r="H502">
        <v>0</v>
      </c>
      <c r="I502">
        <v>0</v>
      </c>
      <c r="J502">
        <v>0</v>
      </c>
      <c r="K502">
        <v>0</v>
      </c>
      <c r="L502">
        <v>0.19938600000000001</v>
      </c>
      <c r="M502" t="s">
        <v>27</v>
      </c>
      <c r="N502" t="s">
        <v>63</v>
      </c>
      <c r="O502" t="s">
        <v>64</v>
      </c>
      <c r="P502" t="s">
        <v>65</v>
      </c>
      <c r="Q502" t="s">
        <v>66</v>
      </c>
    </row>
    <row r="503" spans="1:17" ht="14.25" customHeight="1" x14ac:dyDescent="0.35">
      <c r="A503" t="s">
        <v>135</v>
      </c>
      <c r="B503">
        <v>24</v>
      </c>
      <c r="C503" t="s">
        <v>154</v>
      </c>
      <c r="D503" t="s">
        <v>61</v>
      </c>
      <c r="E503" t="s">
        <v>25</v>
      </c>
      <c r="F503" t="s">
        <v>62</v>
      </c>
      <c r="G503">
        <v>3</v>
      </c>
      <c r="H503">
        <v>0</v>
      </c>
      <c r="I503">
        <v>0</v>
      </c>
      <c r="J503">
        <v>0</v>
      </c>
      <c r="K503">
        <v>0</v>
      </c>
      <c r="L503">
        <v>0.26451799999999998</v>
      </c>
      <c r="M503" t="s">
        <v>27</v>
      </c>
      <c r="N503" t="s">
        <v>63</v>
      </c>
      <c r="O503" t="s">
        <v>64</v>
      </c>
      <c r="P503" t="s">
        <v>65</v>
      </c>
      <c r="Q503" t="s">
        <v>66</v>
      </c>
    </row>
    <row r="504" spans="1:17" ht="14.25" customHeight="1" x14ac:dyDescent="0.35">
      <c r="A504" t="s">
        <v>135</v>
      </c>
      <c r="B504">
        <v>25</v>
      </c>
      <c r="C504" t="s">
        <v>154</v>
      </c>
      <c r="D504" t="s">
        <v>61</v>
      </c>
      <c r="E504" t="s">
        <v>25</v>
      </c>
      <c r="F504" t="s">
        <v>62</v>
      </c>
      <c r="G504">
        <v>3</v>
      </c>
      <c r="H504">
        <v>0</v>
      </c>
      <c r="I504">
        <v>0</v>
      </c>
      <c r="J504">
        <v>0</v>
      </c>
      <c r="K504">
        <v>0</v>
      </c>
      <c r="L504">
        <v>0.21795999999999999</v>
      </c>
      <c r="M504" t="s">
        <v>27</v>
      </c>
      <c r="N504" t="s">
        <v>63</v>
      </c>
      <c r="O504" t="s">
        <v>64</v>
      </c>
      <c r="P504" t="s">
        <v>65</v>
      </c>
      <c r="Q504" t="s">
        <v>66</v>
      </c>
    </row>
    <row r="505" spans="1:17" ht="14.25" customHeight="1" x14ac:dyDescent="0.35">
      <c r="A505" t="s">
        <v>135</v>
      </c>
      <c r="B505">
        <v>26</v>
      </c>
      <c r="C505" t="s">
        <v>155</v>
      </c>
      <c r="D505" t="s">
        <v>61</v>
      </c>
      <c r="E505" t="s">
        <v>25</v>
      </c>
      <c r="F505" t="s">
        <v>62</v>
      </c>
      <c r="G505">
        <v>3</v>
      </c>
      <c r="H505">
        <v>0</v>
      </c>
      <c r="I505">
        <v>0</v>
      </c>
      <c r="J505">
        <v>0</v>
      </c>
      <c r="K505">
        <v>0</v>
      </c>
      <c r="L505">
        <v>0.27056400000000003</v>
      </c>
      <c r="M505" t="s">
        <v>27</v>
      </c>
      <c r="N505" t="s">
        <v>63</v>
      </c>
      <c r="O505" t="s">
        <v>64</v>
      </c>
      <c r="P505" t="s">
        <v>65</v>
      </c>
      <c r="Q505" t="s">
        <v>66</v>
      </c>
    </row>
    <row r="506" spans="1:17" ht="14.25" customHeight="1" x14ac:dyDescent="0.35">
      <c r="A506" t="s">
        <v>135</v>
      </c>
      <c r="B506">
        <v>27</v>
      </c>
      <c r="C506" t="s">
        <v>155</v>
      </c>
      <c r="D506" t="s">
        <v>61</v>
      </c>
      <c r="E506" t="s">
        <v>25</v>
      </c>
      <c r="F506" t="s">
        <v>62</v>
      </c>
      <c r="G506">
        <v>5</v>
      </c>
      <c r="H506">
        <v>0</v>
      </c>
      <c r="I506">
        <v>0</v>
      </c>
      <c r="J506">
        <v>0</v>
      </c>
      <c r="K506">
        <v>0</v>
      </c>
      <c r="L506">
        <v>0.28089999999999998</v>
      </c>
      <c r="M506" t="s">
        <v>27</v>
      </c>
      <c r="N506" t="s">
        <v>63</v>
      </c>
      <c r="O506" t="s">
        <v>64</v>
      </c>
      <c r="P506" t="s">
        <v>65</v>
      </c>
      <c r="Q506" t="s">
        <v>66</v>
      </c>
    </row>
    <row r="507" spans="1:17" ht="14.25" customHeight="1" x14ac:dyDescent="0.35">
      <c r="A507" t="s">
        <v>135</v>
      </c>
      <c r="B507">
        <v>28</v>
      </c>
      <c r="C507" t="s">
        <v>155</v>
      </c>
      <c r="D507" t="s">
        <v>61</v>
      </c>
      <c r="E507" t="s">
        <v>25</v>
      </c>
      <c r="F507" t="s">
        <v>62</v>
      </c>
      <c r="G507">
        <v>5</v>
      </c>
      <c r="H507">
        <v>0</v>
      </c>
      <c r="I507">
        <v>0</v>
      </c>
      <c r="J507">
        <v>0</v>
      </c>
      <c r="K507">
        <v>0</v>
      </c>
      <c r="L507">
        <v>0.188863</v>
      </c>
      <c r="M507" t="s">
        <v>27</v>
      </c>
      <c r="N507" t="s">
        <v>63</v>
      </c>
      <c r="O507" t="s">
        <v>64</v>
      </c>
      <c r="P507" t="s">
        <v>65</v>
      </c>
      <c r="Q507" t="s">
        <v>66</v>
      </c>
    </row>
    <row r="508" spans="1:17" ht="14.25" customHeight="1" x14ac:dyDescent="0.35">
      <c r="A508" t="s">
        <v>135</v>
      </c>
      <c r="B508">
        <v>29</v>
      </c>
      <c r="C508" t="s">
        <v>156</v>
      </c>
      <c r="D508" t="s">
        <v>61</v>
      </c>
      <c r="E508" t="s">
        <v>25</v>
      </c>
      <c r="F508" t="s">
        <v>62</v>
      </c>
      <c r="G508">
        <v>5</v>
      </c>
      <c r="H508">
        <v>0</v>
      </c>
      <c r="I508">
        <v>0</v>
      </c>
      <c r="J508">
        <v>0</v>
      </c>
      <c r="K508">
        <v>0</v>
      </c>
      <c r="L508">
        <v>0.18764700000000001</v>
      </c>
      <c r="M508" t="s">
        <v>27</v>
      </c>
      <c r="N508" t="s">
        <v>63</v>
      </c>
      <c r="O508" t="s">
        <v>64</v>
      </c>
      <c r="P508" t="s">
        <v>65</v>
      </c>
      <c r="Q508" t="s">
        <v>66</v>
      </c>
    </row>
    <row r="509" spans="1:17" ht="14.25" customHeight="1" x14ac:dyDescent="0.35">
      <c r="A509" t="s">
        <v>135</v>
      </c>
      <c r="B509">
        <v>30</v>
      </c>
      <c r="C509" t="s">
        <v>156</v>
      </c>
      <c r="D509" t="s">
        <v>61</v>
      </c>
      <c r="E509" t="s">
        <v>25</v>
      </c>
      <c r="F509" t="s">
        <v>62</v>
      </c>
      <c r="G509">
        <v>4</v>
      </c>
      <c r="H509">
        <v>0</v>
      </c>
      <c r="I509">
        <v>0</v>
      </c>
      <c r="J509">
        <v>0</v>
      </c>
      <c r="K509">
        <v>0</v>
      </c>
      <c r="L509">
        <v>0.21399000000000001</v>
      </c>
      <c r="M509" t="s">
        <v>27</v>
      </c>
      <c r="N509" t="s">
        <v>63</v>
      </c>
      <c r="O509" t="s">
        <v>64</v>
      </c>
      <c r="P509" t="s">
        <v>65</v>
      </c>
      <c r="Q509" t="s">
        <v>66</v>
      </c>
    </row>
    <row r="510" spans="1:17" ht="14.25" customHeight="1" x14ac:dyDescent="0.35">
      <c r="A510" t="s">
        <v>135</v>
      </c>
      <c r="B510">
        <v>31</v>
      </c>
      <c r="C510" t="s">
        <v>156</v>
      </c>
      <c r="D510" t="s">
        <v>61</v>
      </c>
      <c r="E510" t="s">
        <v>25</v>
      </c>
      <c r="F510" t="s">
        <v>62</v>
      </c>
      <c r="G510">
        <v>4</v>
      </c>
      <c r="H510">
        <v>0</v>
      </c>
      <c r="I510">
        <v>0</v>
      </c>
      <c r="J510">
        <v>0</v>
      </c>
      <c r="K510">
        <v>0</v>
      </c>
      <c r="L510">
        <v>0.21074300000000001</v>
      </c>
      <c r="M510" t="s">
        <v>27</v>
      </c>
      <c r="N510" t="s">
        <v>63</v>
      </c>
      <c r="O510" t="s">
        <v>64</v>
      </c>
      <c r="P510" t="s">
        <v>65</v>
      </c>
      <c r="Q510" t="s">
        <v>66</v>
      </c>
    </row>
    <row r="511" spans="1:17" ht="14.25" customHeight="1" x14ac:dyDescent="0.35">
      <c r="A511" t="s">
        <v>135</v>
      </c>
      <c r="B511">
        <v>32</v>
      </c>
      <c r="C511" t="s">
        <v>156</v>
      </c>
      <c r="D511" t="s">
        <v>61</v>
      </c>
      <c r="E511" t="s">
        <v>25</v>
      </c>
      <c r="F511" t="s">
        <v>62</v>
      </c>
      <c r="G511">
        <v>3</v>
      </c>
      <c r="H511">
        <v>0</v>
      </c>
      <c r="I511">
        <v>0</v>
      </c>
      <c r="J511">
        <v>0</v>
      </c>
      <c r="K511">
        <v>0</v>
      </c>
      <c r="L511">
        <v>0.19745299999999999</v>
      </c>
      <c r="M511" t="s">
        <v>27</v>
      </c>
      <c r="N511" t="s">
        <v>63</v>
      </c>
      <c r="O511" t="s">
        <v>64</v>
      </c>
      <c r="P511" t="s">
        <v>65</v>
      </c>
      <c r="Q511" t="s">
        <v>66</v>
      </c>
    </row>
    <row r="512" spans="1:17" ht="14.25" customHeight="1" x14ac:dyDescent="0.35">
      <c r="A512" t="s">
        <v>135</v>
      </c>
      <c r="B512">
        <v>33</v>
      </c>
      <c r="C512" t="s">
        <v>157</v>
      </c>
      <c r="D512" t="s">
        <v>61</v>
      </c>
      <c r="E512" t="s">
        <v>25</v>
      </c>
      <c r="F512" t="s">
        <v>62</v>
      </c>
      <c r="G512">
        <v>4</v>
      </c>
      <c r="H512">
        <v>0</v>
      </c>
      <c r="I512">
        <v>0</v>
      </c>
      <c r="J512">
        <v>0</v>
      </c>
      <c r="K512">
        <v>0</v>
      </c>
      <c r="L512">
        <v>0.243641</v>
      </c>
      <c r="M512" t="s">
        <v>27</v>
      </c>
      <c r="N512" t="s">
        <v>63</v>
      </c>
      <c r="O512" t="s">
        <v>64</v>
      </c>
      <c r="P512" t="s">
        <v>65</v>
      </c>
      <c r="Q512" t="s">
        <v>66</v>
      </c>
    </row>
    <row r="513" spans="1:17" ht="14.25" customHeight="1" x14ac:dyDescent="0.35">
      <c r="A513" t="s">
        <v>135</v>
      </c>
      <c r="B513">
        <v>34</v>
      </c>
      <c r="C513" t="s">
        <v>157</v>
      </c>
      <c r="D513" t="s">
        <v>61</v>
      </c>
      <c r="E513" t="s">
        <v>25</v>
      </c>
      <c r="F513" t="s">
        <v>62</v>
      </c>
      <c r="G513">
        <v>4</v>
      </c>
      <c r="H513">
        <v>0</v>
      </c>
      <c r="I513">
        <v>0</v>
      </c>
      <c r="J513">
        <v>0</v>
      </c>
      <c r="K513">
        <v>0</v>
      </c>
      <c r="L513">
        <v>0.194022</v>
      </c>
      <c r="M513" t="s">
        <v>27</v>
      </c>
      <c r="N513" t="s">
        <v>63</v>
      </c>
      <c r="O513" t="s">
        <v>64</v>
      </c>
      <c r="P513" t="s">
        <v>65</v>
      </c>
      <c r="Q513" t="s">
        <v>66</v>
      </c>
    </row>
    <row r="514" spans="1:17" ht="14.25" customHeight="1" x14ac:dyDescent="0.35">
      <c r="A514" t="s">
        <v>135</v>
      </c>
      <c r="B514">
        <v>35</v>
      </c>
      <c r="C514" t="s">
        <v>158</v>
      </c>
      <c r="D514" t="s">
        <v>61</v>
      </c>
      <c r="E514" t="s">
        <v>25</v>
      </c>
      <c r="F514" t="s">
        <v>62</v>
      </c>
      <c r="G514">
        <v>5</v>
      </c>
      <c r="H514">
        <v>0</v>
      </c>
      <c r="I514">
        <v>0</v>
      </c>
      <c r="J514">
        <v>0</v>
      </c>
      <c r="K514">
        <v>0</v>
      </c>
      <c r="L514">
        <v>0.23286299999999999</v>
      </c>
      <c r="M514" t="s">
        <v>27</v>
      </c>
      <c r="N514" t="s">
        <v>63</v>
      </c>
      <c r="O514" t="s">
        <v>64</v>
      </c>
      <c r="P514" t="s">
        <v>65</v>
      </c>
      <c r="Q514" t="s">
        <v>66</v>
      </c>
    </row>
    <row r="515" spans="1:17" ht="14.25" customHeight="1" x14ac:dyDescent="0.35">
      <c r="A515" t="s">
        <v>135</v>
      </c>
      <c r="B515">
        <v>36</v>
      </c>
      <c r="C515" t="s">
        <v>158</v>
      </c>
      <c r="D515" t="s">
        <v>61</v>
      </c>
      <c r="E515" t="s">
        <v>25</v>
      </c>
      <c r="F515" t="s">
        <v>62</v>
      </c>
      <c r="G515">
        <v>5</v>
      </c>
      <c r="H515">
        <v>0</v>
      </c>
      <c r="I515">
        <v>0</v>
      </c>
      <c r="J515">
        <v>0</v>
      </c>
      <c r="K515">
        <v>0</v>
      </c>
      <c r="L515">
        <v>0.205955</v>
      </c>
      <c r="M515" t="s">
        <v>27</v>
      </c>
      <c r="N515" t="s">
        <v>63</v>
      </c>
      <c r="O515" t="s">
        <v>64</v>
      </c>
      <c r="P515" t="s">
        <v>65</v>
      </c>
      <c r="Q515" t="s">
        <v>66</v>
      </c>
    </row>
    <row r="516" spans="1:17" ht="14.25" customHeight="1" x14ac:dyDescent="0.35">
      <c r="A516" t="s">
        <v>135</v>
      </c>
      <c r="B516">
        <v>37</v>
      </c>
      <c r="C516" t="s">
        <v>158</v>
      </c>
      <c r="D516" t="s">
        <v>61</v>
      </c>
      <c r="E516" t="s">
        <v>25</v>
      </c>
      <c r="F516" t="s">
        <v>62</v>
      </c>
      <c r="G516">
        <v>15</v>
      </c>
      <c r="H516">
        <v>0</v>
      </c>
      <c r="I516">
        <v>0</v>
      </c>
      <c r="J516">
        <v>0</v>
      </c>
      <c r="K516">
        <v>0</v>
      </c>
      <c r="L516">
        <v>0.21060300000000001</v>
      </c>
      <c r="M516" t="s">
        <v>27</v>
      </c>
      <c r="N516" t="s">
        <v>63</v>
      </c>
      <c r="O516" t="s">
        <v>64</v>
      </c>
      <c r="P516" t="s">
        <v>65</v>
      </c>
      <c r="Q516" t="s">
        <v>66</v>
      </c>
    </row>
    <row r="517" spans="1:17" ht="14.25" customHeight="1" x14ac:dyDescent="0.35">
      <c r="A517" t="s">
        <v>135</v>
      </c>
      <c r="B517">
        <v>38</v>
      </c>
      <c r="C517" t="s">
        <v>159</v>
      </c>
      <c r="D517" t="s">
        <v>61</v>
      </c>
      <c r="E517" t="s">
        <v>25</v>
      </c>
      <c r="F517" t="s">
        <v>62</v>
      </c>
      <c r="G517">
        <v>5</v>
      </c>
      <c r="H517">
        <v>0</v>
      </c>
      <c r="I517">
        <v>0</v>
      </c>
      <c r="J517">
        <v>0</v>
      </c>
      <c r="K517">
        <v>0</v>
      </c>
      <c r="L517">
        <v>0.19748199999999999</v>
      </c>
      <c r="M517" t="s">
        <v>27</v>
      </c>
      <c r="N517" t="s">
        <v>63</v>
      </c>
      <c r="O517" t="s">
        <v>64</v>
      </c>
      <c r="P517" t="s">
        <v>65</v>
      </c>
      <c r="Q517" t="s">
        <v>66</v>
      </c>
    </row>
    <row r="518" spans="1:17" ht="14.25" customHeight="1" x14ac:dyDescent="0.35">
      <c r="A518" t="s">
        <v>135</v>
      </c>
      <c r="B518">
        <v>39</v>
      </c>
      <c r="C518" t="s">
        <v>159</v>
      </c>
      <c r="D518" t="s">
        <v>61</v>
      </c>
      <c r="E518" t="s">
        <v>25</v>
      </c>
      <c r="F518" t="s">
        <v>62</v>
      </c>
      <c r="G518">
        <v>3</v>
      </c>
      <c r="H518">
        <v>0</v>
      </c>
      <c r="I518">
        <v>0</v>
      </c>
      <c r="J518">
        <v>0</v>
      </c>
      <c r="K518">
        <v>0</v>
      </c>
      <c r="L518">
        <v>0.18282399999999999</v>
      </c>
      <c r="M518" t="s">
        <v>27</v>
      </c>
      <c r="N518" t="s">
        <v>63</v>
      </c>
      <c r="O518" t="s">
        <v>64</v>
      </c>
      <c r="P518" t="s">
        <v>65</v>
      </c>
      <c r="Q518" t="s">
        <v>66</v>
      </c>
    </row>
    <row r="519" spans="1:17" ht="14.25" customHeight="1" x14ac:dyDescent="0.35">
      <c r="A519" t="s">
        <v>135</v>
      </c>
      <c r="B519">
        <v>40</v>
      </c>
      <c r="C519" t="s">
        <v>159</v>
      </c>
      <c r="D519" t="s">
        <v>61</v>
      </c>
      <c r="E519" t="s">
        <v>25</v>
      </c>
      <c r="F519" t="s">
        <v>62</v>
      </c>
      <c r="G519">
        <v>2</v>
      </c>
      <c r="H519">
        <v>0</v>
      </c>
      <c r="I519">
        <v>0</v>
      </c>
      <c r="J519">
        <v>0</v>
      </c>
      <c r="K519">
        <v>0</v>
      </c>
      <c r="L519">
        <v>0.18184800000000001</v>
      </c>
      <c r="M519" t="s">
        <v>27</v>
      </c>
      <c r="N519" t="s">
        <v>63</v>
      </c>
      <c r="O519" t="s">
        <v>64</v>
      </c>
      <c r="P519" t="s">
        <v>65</v>
      </c>
      <c r="Q519" t="s">
        <v>66</v>
      </c>
    </row>
    <row r="520" spans="1:17" ht="14.25" customHeight="1" x14ac:dyDescent="0.35">
      <c r="A520" t="s">
        <v>135</v>
      </c>
      <c r="B520">
        <v>41</v>
      </c>
      <c r="C520" t="s">
        <v>160</v>
      </c>
      <c r="D520" t="s">
        <v>61</v>
      </c>
      <c r="E520" t="s">
        <v>25</v>
      </c>
      <c r="F520" t="s">
        <v>62</v>
      </c>
      <c r="G520">
        <v>4</v>
      </c>
      <c r="H520">
        <v>0</v>
      </c>
      <c r="I520">
        <v>0</v>
      </c>
      <c r="J520">
        <v>0</v>
      </c>
      <c r="K520">
        <v>0</v>
      </c>
      <c r="L520">
        <v>0.186306</v>
      </c>
      <c r="M520" t="s">
        <v>27</v>
      </c>
      <c r="N520" t="s">
        <v>63</v>
      </c>
      <c r="O520" t="s">
        <v>64</v>
      </c>
      <c r="P520" t="s">
        <v>65</v>
      </c>
      <c r="Q520" t="s">
        <v>66</v>
      </c>
    </row>
    <row r="521" spans="1:17" ht="14.25" customHeight="1" x14ac:dyDescent="0.35">
      <c r="A521" t="s">
        <v>135</v>
      </c>
      <c r="B521">
        <v>42</v>
      </c>
      <c r="C521" t="s">
        <v>160</v>
      </c>
      <c r="D521" t="s">
        <v>61</v>
      </c>
      <c r="E521" t="s">
        <v>25</v>
      </c>
      <c r="F521" t="s">
        <v>62</v>
      </c>
      <c r="G521">
        <v>4</v>
      </c>
      <c r="H521">
        <v>0</v>
      </c>
      <c r="I521">
        <v>0</v>
      </c>
      <c r="J521">
        <v>0</v>
      </c>
      <c r="K521">
        <v>0</v>
      </c>
      <c r="L521">
        <v>0.191886</v>
      </c>
      <c r="M521" t="s">
        <v>27</v>
      </c>
      <c r="N521" t="s">
        <v>63</v>
      </c>
      <c r="O521" t="s">
        <v>64</v>
      </c>
      <c r="P521" t="s">
        <v>65</v>
      </c>
      <c r="Q521" t="s">
        <v>66</v>
      </c>
    </row>
    <row r="522" spans="1:17" ht="14.25" customHeight="1" x14ac:dyDescent="0.35">
      <c r="A522" t="s">
        <v>135</v>
      </c>
      <c r="B522">
        <v>43</v>
      </c>
      <c r="C522" t="s">
        <v>160</v>
      </c>
      <c r="D522" t="s">
        <v>61</v>
      </c>
      <c r="E522" t="s">
        <v>25</v>
      </c>
      <c r="F522" t="s">
        <v>62</v>
      </c>
      <c r="G522">
        <v>4</v>
      </c>
      <c r="H522">
        <v>0</v>
      </c>
      <c r="I522">
        <v>0</v>
      </c>
      <c r="J522">
        <v>0</v>
      </c>
      <c r="K522">
        <v>0</v>
      </c>
      <c r="L522">
        <v>0.20100000000000001</v>
      </c>
      <c r="M522" t="s">
        <v>27</v>
      </c>
      <c r="N522" t="s">
        <v>63</v>
      </c>
      <c r="O522" t="s">
        <v>64</v>
      </c>
      <c r="P522" t="s">
        <v>65</v>
      </c>
      <c r="Q522" t="s">
        <v>66</v>
      </c>
    </row>
    <row r="523" spans="1:17" ht="14.25" customHeight="1" x14ac:dyDescent="0.35">
      <c r="A523" t="s">
        <v>135</v>
      </c>
      <c r="B523">
        <v>44</v>
      </c>
      <c r="C523" t="s">
        <v>160</v>
      </c>
      <c r="D523" t="s">
        <v>61</v>
      </c>
      <c r="E523" t="s">
        <v>25</v>
      </c>
      <c r="F523" t="s">
        <v>62</v>
      </c>
      <c r="G523">
        <v>17</v>
      </c>
      <c r="H523">
        <v>0</v>
      </c>
      <c r="I523">
        <v>0</v>
      </c>
      <c r="J523">
        <v>0</v>
      </c>
      <c r="K523">
        <v>0</v>
      </c>
      <c r="L523">
        <v>0.18568100000000001</v>
      </c>
      <c r="M523" t="s">
        <v>27</v>
      </c>
      <c r="N523" t="s">
        <v>63</v>
      </c>
      <c r="O523" t="s">
        <v>64</v>
      </c>
      <c r="P523" t="s">
        <v>65</v>
      </c>
      <c r="Q523" t="s">
        <v>66</v>
      </c>
    </row>
    <row r="524" spans="1:17" ht="14.25" customHeight="1" x14ac:dyDescent="0.35">
      <c r="A524" t="s">
        <v>135</v>
      </c>
      <c r="B524">
        <v>45</v>
      </c>
      <c r="C524" t="s">
        <v>161</v>
      </c>
      <c r="D524" t="s">
        <v>61</v>
      </c>
      <c r="E524" t="s">
        <v>25</v>
      </c>
      <c r="F524" t="s">
        <v>62</v>
      </c>
      <c r="G524">
        <v>7</v>
      </c>
      <c r="H524">
        <v>0</v>
      </c>
      <c r="I524">
        <v>0</v>
      </c>
      <c r="J524">
        <v>0</v>
      </c>
      <c r="K524">
        <v>0</v>
      </c>
      <c r="L524">
        <v>0.176431</v>
      </c>
      <c r="M524" t="s">
        <v>27</v>
      </c>
      <c r="N524" t="s">
        <v>63</v>
      </c>
      <c r="O524" t="s">
        <v>64</v>
      </c>
      <c r="P524" t="s">
        <v>65</v>
      </c>
      <c r="Q524" t="s">
        <v>66</v>
      </c>
    </row>
    <row r="525" spans="1:17" ht="14.25" customHeight="1" x14ac:dyDescent="0.35">
      <c r="A525" t="s">
        <v>135</v>
      </c>
      <c r="B525">
        <v>46</v>
      </c>
      <c r="C525" t="s">
        <v>161</v>
      </c>
      <c r="D525" t="s">
        <v>61</v>
      </c>
      <c r="E525" t="s">
        <v>25</v>
      </c>
      <c r="F525" t="s">
        <v>62</v>
      </c>
      <c r="G525">
        <v>3</v>
      </c>
      <c r="H525">
        <v>0</v>
      </c>
      <c r="I525">
        <v>0</v>
      </c>
      <c r="J525">
        <v>0</v>
      </c>
      <c r="K525">
        <v>0</v>
      </c>
      <c r="L525">
        <v>0.184447</v>
      </c>
      <c r="M525" t="s">
        <v>27</v>
      </c>
      <c r="N525" t="s">
        <v>63</v>
      </c>
      <c r="O525" t="s">
        <v>64</v>
      </c>
      <c r="P525" t="s">
        <v>65</v>
      </c>
      <c r="Q525" t="s">
        <v>66</v>
      </c>
    </row>
    <row r="526" spans="1:17" ht="14.25" customHeight="1" x14ac:dyDescent="0.35">
      <c r="A526" t="s">
        <v>135</v>
      </c>
      <c r="B526">
        <v>47</v>
      </c>
      <c r="C526" t="s">
        <v>162</v>
      </c>
      <c r="D526" t="s">
        <v>61</v>
      </c>
      <c r="E526" t="s">
        <v>25</v>
      </c>
      <c r="F526" t="s">
        <v>62</v>
      </c>
      <c r="G526">
        <v>4</v>
      </c>
      <c r="H526">
        <v>0</v>
      </c>
      <c r="I526">
        <v>0</v>
      </c>
      <c r="J526">
        <v>0</v>
      </c>
      <c r="K526">
        <v>0</v>
      </c>
      <c r="L526">
        <v>0.27345999999999998</v>
      </c>
      <c r="M526" t="s">
        <v>27</v>
      </c>
      <c r="N526" t="s">
        <v>63</v>
      </c>
      <c r="O526" t="s">
        <v>64</v>
      </c>
      <c r="P526" t="s">
        <v>65</v>
      </c>
      <c r="Q526" t="s">
        <v>66</v>
      </c>
    </row>
    <row r="527" spans="1:17" ht="14.25" customHeight="1" x14ac:dyDescent="0.35">
      <c r="A527" t="s">
        <v>135</v>
      </c>
      <c r="B527">
        <v>48</v>
      </c>
      <c r="C527" t="s">
        <v>162</v>
      </c>
      <c r="D527" t="s">
        <v>61</v>
      </c>
      <c r="E527" t="s">
        <v>25</v>
      </c>
      <c r="F527" t="s">
        <v>62</v>
      </c>
      <c r="G527">
        <v>6</v>
      </c>
      <c r="H527">
        <v>0</v>
      </c>
      <c r="I527">
        <v>0</v>
      </c>
      <c r="J527">
        <v>0</v>
      </c>
      <c r="K527">
        <v>0</v>
      </c>
      <c r="L527">
        <v>0.186802</v>
      </c>
      <c r="M527" t="s">
        <v>27</v>
      </c>
      <c r="N527" t="s">
        <v>63</v>
      </c>
      <c r="O527" t="s">
        <v>64</v>
      </c>
      <c r="P527" t="s">
        <v>65</v>
      </c>
      <c r="Q527" t="s">
        <v>66</v>
      </c>
    </row>
    <row r="528" spans="1:17" ht="14.25" customHeight="1" x14ac:dyDescent="0.35">
      <c r="A528" t="s">
        <v>135</v>
      </c>
      <c r="B528">
        <v>49</v>
      </c>
      <c r="C528" t="s">
        <v>162</v>
      </c>
      <c r="D528" t="s">
        <v>61</v>
      </c>
      <c r="E528" t="s">
        <v>25</v>
      </c>
      <c r="F528" t="s">
        <v>62</v>
      </c>
      <c r="G528">
        <v>5</v>
      </c>
      <c r="H528">
        <v>0</v>
      </c>
      <c r="I528">
        <v>0</v>
      </c>
      <c r="J528">
        <v>0</v>
      </c>
      <c r="K528">
        <v>0</v>
      </c>
      <c r="L528">
        <v>0.21649299999999999</v>
      </c>
      <c r="M528" t="s">
        <v>27</v>
      </c>
      <c r="N528" t="s">
        <v>63</v>
      </c>
      <c r="O528" t="s">
        <v>64</v>
      </c>
      <c r="P528" t="s">
        <v>65</v>
      </c>
      <c r="Q528" t="s">
        <v>66</v>
      </c>
    </row>
    <row r="529" spans="1:17" ht="14.25" customHeight="1" x14ac:dyDescent="0.35">
      <c r="A529" t="s">
        <v>135</v>
      </c>
      <c r="B529">
        <v>50</v>
      </c>
      <c r="C529" t="s">
        <v>163</v>
      </c>
      <c r="D529" t="s">
        <v>61</v>
      </c>
      <c r="E529" t="s">
        <v>25</v>
      </c>
      <c r="F529" t="s">
        <v>62</v>
      </c>
      <c r="G529">
        <v>4</v>
      </c>
      <c r="H529">
        <v>0</v>
      </c>
      <c r="I529">
        <v>0</v>
      </c>
      <c r="J529">
        <v>0</v>
      </c>
      <c r="K529">
        <v>0</v>
      </c>
      <c r="L529">
        <v>0.19403300000000001</v>
      </c>
      <c r="M529" t="s">
        <v>27</v>
      </c>
      <c r="N529" t="s">
        <v>63</v>
      </c>
      <c r="O529" t="s">
        <v>64</v>
      </c>
      <c r="P529" t="s">
        <v>65</v>
      </c>
      <c r="Q529" t="s">
        <v>66</v>
      </c>
    </row>
    <row r="530" spans="1:17" ht="14.25" customHeight="1" x14ac:dyDescent="0.35">
      <c r="A530" t="s">
        <v>135</v>
      </c>
      <c r="B530">
        <v>51</v>
      </c>
      <c r="C530" t="s">
        <v>163</v>
      </c>
      <c r="D530" t="s">
        <v>61</v>
      </c>
      <c r="E530" t="s">
        <v>25</v>
      </c>
      <c r="F530" t="s">
        <v>62</v>
      </c>
      <c r="G530">
        <v>18</v>
      </c>
      <c r="H530">
        <v>0</v>
      </c>
      <c r="I530">
        <v>0</v>
      </c>
      <c r="J530">
        <v>0</v>
      </c>
      <c r="K530">
        <v>0</v>
      </c>
      <c r="L530">
        <v>0.17735899999999999</v>
      </c>
      <c r="M530" t="s">
        <v>27</v>
      </c>
      <c r="N530" t="s">
        <v>63</v>
      </c>
      <c r="O530" t="s">
        <v>64</v>
      </c>
      <c r="P530" t="s">
        <v>65</v>
      </c>
      <c r="Q530" t="s">
        <v>66</v>
      </c>
    </row>
    <row r="531" spans="1:17" ht="14.25" customHeight="1" x14ac:dyDescent="0.35">
      <c r="A531" t="s">
        <v>135</v>
      </c>
      <c r="B531">
        <v>52</v>
      </c>
      <c r="C531" t="s">
        <v>164</v>
      </c>
      <c r="D531" t="s">
        <v>82</v>
      </c>
      <c r="E531" t="s">
        <v>25</v>
      </c>
      <c r="F531" t="s">
        <v>62</v>
      </c>
      <c r="G531">
        <v>140</v>
      </c>
      <c r="H531">
        <v>0</v>
      </c>
      <c r="I531">
        <v>0</v>
      </c>
      <c r="J531">
        <v>0</v>
      </c>
      <c r="K531">
        <v>3.0000000000000001E-6</v>
      </c>
      <c r="L531">
        <v>0.58849600000000002</v>
      </c>
      <c r="M531" t="s">
        <v>27</v>
      </c>
      <c r="N531" t="s">
        <v>63</v>
      </c>
      <c r="O531" t="s">
        <v>83</v>
      </c>
      <c r="P531" t="s">
        <v>84</v>
      </c>
      <c r="Q531" t="s">
        <v>85</v>
      </c>
    </row>
    <row r="532" spans="1:17" ht="14.25" customHeight="1" x14ac:dyDescent="0.35">
      <c r="A532" t="s">
        <v>135</v>
      </c>
      <c r="B532">
        <v>53</v>
      </c>
      <c r="C532" t="s">
        <v>165</v>
      </c>
      <c r="D532" t="s">
        <v>82</v>
      </c>
      <c r="E532" t="s">
        <v>25</v>
      </c>
      <c r="F532" t="s">
        <v>26</v>
      </c>
      <c r="G532">
        <v>4322</v>
      </c>
      <c r="H532">
        <v>0</v>
      </c>
      <c r="I532">
        <v>441</v>
      </c>
      <c r="J532">
        <v>0</v>
      </c>
      <c r="K532">
        <v>1.5214999999999999E-2</v>
      </c>
      <c r="L532">
        <v>7.1367469999999997</v>
      </c>
      <c r="M532" t="s">
        <v>27</v>
      </c>
      <c r="N532" t="s">
        <v>28</v>
      </c>
      <c r="O532" t="s">
        <v>83</v>
      </c>
      <c r="P532" t="s">
        <v>84</v>
      </c>
      <c r="Q532" t="s">
        <v>85</v>
      </c>
    </row>
    <row r="533" spans="1:17" ht="14.25" customHeight="1" x14ac:dyDescent="0.35">
      <c r="A533" t="s">
        <v>135</v>
      </c>
      <c r="B533">
        <v>54</v>
      </c>
      <c r="C533" t="s">
        <v>166</v>
      </c>
      <c r="D533" t="s">
        <v>82</v>
      </c>
      <c r="E533" t="s">
        <v>25</v>
      </c>
      <c r="F533" t="s">
        <v>62</v>
      </c>
      <c r="G533">
        <v>141</v>
      </c>
      <c r="H533">
        <v>0</v>
      </c>
      <c r="I533">
        <v>0</v>
      </c>
      <c r="J533">
        <v>0</v>
      </c>
      <c r="K533">
        <v>3.0000000000000001E-6</v>
      </c>
      <c r="L533">
        <v>0.33426600000000001</v>
      </c>
      <c r="M533" t="s">
        <v>27</v>
      </c>
      <c r="N533" t="s">
        <v>63</v>
      </c>
      <c r="O533" t="s">
        <v>83</v>
      </c>
      <c r="P533" t="s">
        <v>84</v>
      </c>
      <c r="Q533" t="s">
        <v>85</v>
      </c>
    </row>
    <row r="534" spans="1:17" ht="14.25" customHeight="1" x14ac:dyDescent="0.35">
      <c r="A534" t="s">
        <v>135</v>
      </c>
      <c r="B534">
        <v>55</v>
      </c>
      <c r="C534" t="s">
        <v>167</v>
      </c>
      <c r="D534" t="s">
        <v>82</v>
      </c>
      <c r="E534" t="s">
        <v>25</v>
      </c>
      <c r="F534" t="s">
        <v>26</v>
      </c>
      <c r="G534">
        <v>3929</v>
      </c>
      <c r="H534">
        <v>0</v>
      </c>
      <c r="I534">
        <v>481</v>
      </c>
      <c r="J534">
        <v>0</v>
      </c>
      <c r="K534">
        <v>1.4631999999999999E-2</v>
      </c>
      <c r="L534">
        <v>5.9844670000000004</v>
      </c>
      <c r="M534" t="s">
        <v>27</v>
      </c>
      <c r="N534" t="s">
        <v>28</v>
      </c>
      <c r="O534" t="s">
        <v>83</v>
      </c>
      <c r="P534" t="s">
        <v>84</v>
      </c>
      <c r="Q534" t="s">
        <v>85</v>
      </c>
    </row>
    <row r="535" spans="1:17" ht="14.25" customHeight="1" x14ac:dyDescent="0.35">
      <c r="A535" t="s">
        <v>135</v>
      </c>
      <c r="B535">
        <v>56</v>
      </c>
      <c r="C535" t="s">
        <v>168</v>
      </c>
      <c r="D535" t="s">
        <v>61</v>
      </c>
      <c r="E535" t="s">
        <v>25</v>
      </c>
      <c r="F535" t="s">
        <v>62</v>
      </c>
      <c r="G535">
        <v>5</v>
      </c>
      <c r="H535">
        <v>0</v>
      </c>
      <c r="I535">
        <v>0</v>
      </c>
      <c r="J535">
        <v>0</v>
      </c>
      <c r="K535">
        <v>0</v>
      </c>
      <c r="L535">
        <v>0.39180799999999999</v>
      </c>
      <c r="M535" t="s">
        <v>27</v>
      </c>
      <c r="N535" t="s">
        <v>63</v>
      </c>
      <c r="O535" t="s">
        <v>64</v>
      </c>
      <c r="P535" t="s">
        <v>65</v>
      </c>
      <c r="Q535" t="s">
        <v>66</v>
      </c>
    </row>
    <row r="536" spans="1:17" ht="14.25" customHeight="1" x14ac:dyDescent="0.35">
      <c r="A536" t="s">
        <v>135</v>
      </c>
      <c r="B536">
        <v>57</v>
      </c>
      <c r="C536" t="s">
        <v>168</v>
      </c>
      <c r="D536" t="s">
        <v>61</v>
      </c>
      <c r="E536" t="s">
        <v>25</v>
      </c>
      <c r="F536" t="s">
        <v>62</v>
      </c>
      <c r="G536">
        <v>4</v>
      </c>
      <c r="H536">
        <v>0</v>
      </c>
      <c r="I536">
        <v>0</v>
      </c>
      <c r="J536">
        <v>0</v>
      </c>
      <c r="K536">
        <v>0</v>
      </c>
      <c r="L536">
        <v>0.28796100000000002</v>
      </c>
      <c r="M536" t="s">
        <v>27</v>
      </c>
      <c r="N536" t="s">
        <v>63</v>
      </c>
      <c r="O536" t="s">
        <v>64</v>
      </c>
      <c r="P536" t="s">
        <v>65</v>
      </c>
      <c r="Q536" t="s">
        <v>66</v>
      </c>
    </row>
    <row r="537" spans="1:17" ht="14.25" customHeight="1" x14ac:dyDescent="0.35">
      <c r="A537" t="s">
        <v>135</v>
      </c>
      <c r="B537">
        <v>58</v>
      </c>
      <c r="C537" t="s">
        <v>168</v>
      </c>
      <c r="D537" t="s">
        <v>61</v>
      </c>
      <c r="E537" t="s">
        <v>25</v>
      </c>
      <c r="F537" t="s">
        <v>62</v>
      </c>
      <c r="G537">
        <v>3</v>
      </c>
      <c r="H537">
        <v>0</v>
      </c>
      <c r="I537">
        <v>0</v>
      </c>
      <c r="J537">
        <v>0</v>
      </c>
      <c r="K537">
        <v>0</v>
      </c>
      <c r="L537">
        <v>0.21388299999999999</v>
      </c>
      <c r="M537" t="s">
        <v>27</v>
      </c>
      <c r="N537" t="s">
        <v>63</v>
      </c>
      <c r="O537" t="s">
        <v>64</v>
      </c>
      <c r="P537" t="s">
        <v>65</v>
      </c>
      <c r="Q537" t="s">
        <v>66</v>
      </c>
    </row>
    <row r="538" spans="1:17" ht="14.25" customHeight="1" x14ac:dyDescent="0.35">
      <c r="A538" t="s">
        <v>135</v>
      </c>
      <c r="B538">
        <v>59</v>
      </c>
      <c r="C538" t="s">
        <v>169</v>
      </c>
      <c r="D538" t="s">
        <v>61</v>
      </c>
      <c r="E538" t="s">
        <v>25</v>
      </c>
      <c r="F538" t="s">
        <v>62</v>
      </c>
      <c r="G538">
        <v>7</v>
      </c>
      <c r="H538">
        <v>0</v>
      </c>
      <c r="I538">
        <v>0</v>
      </c>
      <c r="J538">
        <v>0</v>
      </c>
      <c r="K538">
        <v>0</v>
      </c>
      <c r="L538">
        <v>0.23036499999999999</v>
      </c>
      <c r="M538" t="s">
        <v>27</v>
      </c>
      <c r="N538" t="s">
        <v>63</v>
      </c>
      <c r="O538" t="s">
        <v>64</v>
      </c>
      <c r="P538" t="s">
        <v>65</v>
      </c>
      <c r="Q538" t="s">
        <v>66</v>
      </c>
    </row>
    <row r="539" spans="1:17" ht="14.25" customHeight="1" x14ac:dyDescent="0.35">
      <c r="A539" t="s">
        <v>135</v>
      </c>
      <c r="B539">
        <v>60</v>
      </c>
      <c r="C539" t="s">
        <v>169</v>
      </c>
      <c r="D539" t="s">
        <v>61</v>
      </c>
      <c r="E539" t="s">
        <v>25</v>
      </c>
      <c r="F539" t="s">
        <v>62</v>
      </c>
      <c r="G539">
        <v>7</v>
      </c>
      <c r="H539">
        <v>0</v>
      </c>
      <c r="I539">
        <v>0</v>
      </c>
      <c r="J539">
        <v>0</v>
      </c>
      <c r="K539">
        <v>0</v>
      </c>
      <c r="L539">
        <v>0.24915100000000001</v>
      </c>
      <c r="M539" t="s">
        <v>27</v>
      </c>
      <c r="N539" t="s">
        <v>63</v>
      </c>
      <c r="O539" t="s">
        <v>64</v>
      </c>
      <c r="P539" t="s">
        <v>65</v>
      </c>
      <c r="Q539" t="s">
        <v>66</v>
      </c>
    </row>
    <row r="540" spans="1:17" ht="14.25" customHeight="1" x14ac:dyDescent="0.35">
      <c r="A540" t="s">
        <v>135</v>
      </c>
      <c r="B540">
        <v>61</v>
      </c>
      <c r="C540" t="s">
        <v>170</v>
      </c>
      <c r="D540" t="s">
        <v>61</v>
      </c>
      <c r="E540" t="s">
        <v>25</v>
      </c>
      <c r="F540" t="s">
        <v>62</v>
      </c>
      <c r="G540">
        <v>20</v>
      </c>
      <c r="H540">
        <v>0</v>
      </c>
      <c r="I540">
        <v>0</v>
      </c>
      <c r="J540">
        <v>0</v>
      </c>
      <c r="K540">
        <v>0</v>
      </c>
      <c r="L540">
        <v>1.620023</v>
      </c>
      <c r="M540" t="s">
        <v>27</v>
      </c>
      <c r="N540" t="s">
        <v>63</v>
      </c>
      <c r="O540" t="s">
        <v>64</v>
      </c>
      <c r="P540" t="s">
        <v>65</v>
      </c>
      <c r="Q540" t="s">
        <v>66</v>
      </c>
    </row>
    <row r="541" spans="1:17" ht="14.25" customHeight="1" x14ac:dyDescent="0.35">
      <c r="A541" t="s">
        <v>135</v>
      </c>
      <c r="B541">
        <v>62</v>
      </c>
      <c r="C541" t="s">
        <v>171</v>
      </c>
      <c r="D541" t="s">
        <v>82</v>
      </c>
      <c r="E541" t="s">
        <v>25</v>
      </c>
      <c r="F541" t="s">
        <v>62</v>
      </c>
      <c r="G541">
        <v>142</v>
      </c>
      <c r="H541">
        <v>0</v>
      </c>
      <c r="I541">
        <v>0</v>
      </c>
      <c r="J541">
        <v>0</v>
      </c>
      <c r="K541">
        <v>3.0000000000000001E-6</v>
      </c>
      <c r="L541">
        <v>0.47471099999999999</v>
      </c>
      <c r="M541" t="s">
        <v>27</v>
      </c>
      <c r="N541" t="s">
        <v>63</v>
      </c>
      <c r="O541" t="s">
        <v>83</v>
      </c>
      <c r="P541" t="s">
        <v>84</v>
      </c>
      <c r="Q541" t="s">
        <v>85</v>
      </c>
    </row>
    <row r="542" spans="1:17" ht="14.25" customHeight="1" x14ac:dyDescent="0.35">
      <c r="A542" t="s">
        <v>135</v>
      </c>
      <c r="B542">
        <v>63</v>
      </c>
      <c r="C542" t="s">
        <v>172</v>
      </c>
      <c r="D542" t="s">
        <v>82</v>
      </c>
      <c r="E542" t="s">
        <v>25</v>
      </c>
      <c r="F542" t="s">
        <v>26</v>
      </c>
      <c r="G542">
        <v>4324</v>
      </c>
      <c r="H542">
        <v>1920</v>
      </c>
      <c r="I542">
        <v>402</v>
      </c>
      <c r="J542">
        <v>0</v>
      </c>
      <c r="K542">
        <v>1.243E-2</v>
      </c>
      <c r="L542">
        <v>5.8291700000000004</v>
      </c>
      <c r="M542" t="s">
        <v>27</v>
      </c>
      <c r="N542" t="s">
        <v>28</v>
      </c>
      <c r="O542" t="s">
        <v>83</v>
      </c>
      <c r="P542" t="s">
        <v>84</v>
      </c>
      <c r="Q542" t="s">
        <v>85</v>
      </c>
    </row>
    <row r="543" spans="1:17" ht="14.25" customHeight="1" x14ac:dyDescent="0.35">
      <c r="A543" t="s">
        <v>135</v>
      </c>
      <c r="B543">
        <v>64</v>
      </c>
      <c r="C543" t="s">
        <v>173</v>
      </c>
      <c r="D543" t="s">
        <v>82</v>
      </c>
      <c r="E543" t="s">
        <v>25</v>
      </c>
      <c r="F543" t="s">
        <v>62</v>
      </c>
      <c r="G543">
        <v>143</v>
      </c>
      <c r="H543">
        <v>0</v>
      </c>
      <c r="I543">
        <v>0</v>
      </c>
      <c r="J543">
        <v>0</v>
      </c>
      <c r="K543">
        <v>3.0000000000000001E-6</v>
      </c>
      <c r="L543">
        <v>0.33037899999999998</v>
      </c>
      <c r="M543" t="s">
        <v>27</v>
      </c>
      <c r="N543" t="s">
        <v>63</v>
      </c>
      <c r="O543" t="s">
        <v>83</v>
      </c>
      <c r="P543" t="s">
        <v>84</v>
      </c>
      <c r="Q543" t="s">
        <v>85</v>
      </c>
    </row>
    <row r="544" spans="1:17" ht="14.25" customHeight="1" x14ac:dyDescent="0.35">
      <c r="A544" t="s">
        <v>135</v>
      </c>
      <c r="B544">
        <v>65</v>
      </c>
      <c r="C544" t="s">
        <v>174</v>
      </c>
      <c r="D544" t="s">
        <v>82</v>
      </c>
      <c r="E544" t="s">
        <v>25</v>
      </c>
      <c r="F544" t="s">
        <v>26</v>
      </c>
      <c r="G544">
        <v>5608</v>
      </c>
      <c r="H544">
        <v>0</v>
      </c>
      <c r="I544">
        <v>458</v>
      </c>
      <c r="J544">
        <v>0</v>
      </c>
      <c r="K544">
        <v>1.8599999999999998E-2</v>
      </c>
      <c r="L544">
        <v>6.102309</v>
      </c>
      <c r="M544" t="s">
        <v>27</v>
      </c>
      <c r="N544" t="s">
        <v>28</v>
      </c>
      <c r="O544" t="s">
        <v>83</v>
      </c>
      <c r="P544" t="s">
        <v>84</v>
      </c>
      <c r="Q544" t="s">
        <v>85</v>
      </c>
    </row>
    <row r="545" spans="1:17" ht="14.25" customHeight="1" x14ac:dyDescent="0.35">
      <c r="A545" t="s">
        <v>135</v>
      </c>
      <c r="B545">
        <v>66</v>
      </c>
      <c r="C545" t="s">
        <v>175</v>
      </c>
      <c r="D545" t="s">
        <v>61</v>
      </c>
      <c r="E545" t="s">
        <v>25</v>
      </c>
      <c r="F545" t="s">
        <v>62</v>
      </c>
      <c r="G545">
        <v>4</v>
      </c>
      <c r="H545">
        <v>0</v>
      </c>
      <c r="I545">
        <v>0</v>
      </c>
      <c r="J545">
        <v>0</v>
      </c>
      <c r="K545">
        <v>0</v>
      </c>
      <c r="L545">
        <v>0.95537799999999995</v>
      </c>
      <c r="M545" t="s">
        <v>27</v>
      </c>
      <c r="N545" t="s">
        <v>63</v>
      </c>
      <c r="O545" t="s">
        <v>64</v>
      </c>
      <c r="P545" t="s">
        <v>65</v>
      </c>
      <c r="Q545" t="s">
        <v>66</v>
      </c>
    </row>
    <row r="546" spans="1:17" ht="14.25" customHeight="1" x14ac:dyDescent="0.35">
      <c r="A546" t="s">
        <v>135</v>
      </c>
      <c r="B546">
        <v>67</v>
      </c>
      <c r="C546" t="s">
        <v>175</v>
      </c>
      <c r="D546" t="s">
        <v>61</v>
      </c>
      <c r="E546" t="s">
        <v>25</v>
      </c>
      <c r="F546" t="s">
        <v>62</v>
      </c>
      <c r="G546">
        <v>5</v>
      </c>
      <c r="H546">
        <v>0</v>
      </c>
      <c r="I546">
        <v>0</v>
      </c>
      <c r="J546">
        <v>0</v>
      </c>
      <c r="K546">
        <v>0</v>
      </c>
      <c r="L546">
        <v>0.303201</v>
      </c>
      <c r="M546" t="s">
        <v>27</v>
      </c>
      <c r="N546" t="s">
        <v>63</v>
      </c>
      <c r="O546" t="s">
        <v>64</v>
      </c>
      <c r="P546" t="s">
        <v>65</v>
      </c>
      <c r="Q546" t="s">
        <v>66</v>
      </c>
    </row>
    <row r="547" spans="1:17" ht="14.25" customHeight="1" x14ac:dyDescent="0.35">
      <c r="A547" t="s">
        <v>135</v>
      </c>
      <c r="B547">
        <v>68</v>
      </c>
      <c r="C547" t="s">
        <v>176</v>
      </c>
      <c r="D547" t="s">
        <v>61</v>
      </c>
      <c r="E547" t="s">
        <v>25</v>
      </c>
      <c r="F547" t="s">
        <v>62</v>
      </c>
      <c r="G547">
        <v>4</v>
      </c>
      <c r="H547">
        <v>0</v>
      </c>
      <c r="I547">
        <v>0</v>
      </c>
      <c r="J547">
        <v>0</v>
      </c>
      <c r="K547">
        <v>0</v>
      </c>
      <c r="L547">
        <v>0.25595299999999999</v>
      </c>
      <c r="M547" t="s">
        <v>27</v>
      </c>
      <c r="N547" t="s">
        <v>63</v>
      </c>
      <c r="O547" t="s">
        <v>64</v>
      </c>
      <c r="P547" t="s">
        <v>65</v>
      </c>
      <c r="Q547" t="s">
        <v>66</v>
      </c>
    </row>
    <row r="548" spans="1:17" ht="14.25" customHeight="1" x14ac:dyDescent="0.35">
      <c r="A548" t="s">
        <v>135</v>
      </c>
      <c r="B548">
        <v>69</v>
      </c>
      <c r="C548" t="s">
        <v>176</v>
      </c>
      <c r="D548" t="s">
        <v>61</v>
      </c>
      <c r="E548" t="s">
        <v>25</v>
      </c>
      <c r="F548" t="s">
        <v>62</v>
      </c>
      <c r="G548">
        <v>4</v>
      </c>
      <c r="H548">
        <v>0</v>
      </c>
      <c r="I548">
        <v>0</v>
      </c>
      <c r="J548">
        <v>0</v>
      </c>
      <c r="K548">
        <v>0</v>
      </c>
      <c r="L548">
        <v>0.322602</v>
      </c>
      <c r="M548" t="s">
        <v>27</v>
      </c>
      <c r="N548" t="s">
        <v>63</v>
      </c>
      <c r="O548" t="s">
        <v>64</v>
      </c>
      <c r="P548" t="s">
        <v>65</v>
      </c>
      <c r="Q548" t="s">
        <v>66</v>
      </c>
    </row>
    <row r="549" spans="1:17" ht="14.25" customHeight="1" x14ac:dyDescent="0.35">
      <c r="A549" t="s">
        <v>135</v>
      </c>
      <c r="B549">
        <v>70</v>
      </c>
      <c r="C549" t="s">
        <v>177</v>
      </c>
      <c r="D549" t="s">
        <v>61</v>
      </c>
      <c r="E549" t="s">
        <v>25</v>
      </c>
      <c r="F549" t="s">
        <v>62</v>
      </c>
      <c r="G549">
        <v>5</v>
      </c>
      <c r="H549">
        <v>0</v>
      </c>
      <c r="I549">
        <v>0</v>
      </c>
      <c r="J549">
        <v>0</v>
      </c>
      <c r="K549">
        <v>0</v>
      </c>
      <c r="L549">
        <v>0.34872500000000001</v>
      </c>
      <c r="M549" t="s">
        <v>27</v>
      </c>
      <c r="N549" t="s">
        <v>63</v>
      </c>
      <c r="O549" t="s">
        <v>64</v>
      </c>
      <c r="P549" t="s">
        <v>65</v>
      </c>
      <c r="Q549" t="s">
        <v>66</v>
      </c>
    </row>
    <row r="550" spans="1:17" ht="14.25" customHeight="1" x14ac:dyDescent="0.35">
      <c r="A550" t="s">
        <v>135</v>
      </c>
      <c r="B550">
        <v>71</v>
      </c>
      <c r="C550" t="s">
        <v>177</v>
      </c>
      <c r="D550" t="s">
        <v>61</v>
      </c>
      <c r="E550" t="s">
        <v>25</v>
      </c>
      <c r="F550" t="s">
        <v>62</v>
      </c>
      <c r="G550">
        <v>27</v>
      </c>
      <c r="H550">
        <v>0</v>
      </c>
      <c r="I550">
        <v>0</v>
      </c>
      <c r="J550">
        <v>0</v>
      </c>
      <c r="K550">
        <v>9.9999999999999995E-7</v>
      </c>
      <c r="L550">
        <v>0.36918899999999999</v>
      </c>
      <c r="M550" t="s">
        <v>27</v>
      </c>
      <c r="N550" t="s">
        <v>63</v>
      </c>
      <c r="O550" t="s">
        <v>64</v>
      </c>
      <c r="P550" t="s">
        <v>65</v>
      </c>
      <c r="Q550" t="s">
        <v>66</v>
      </c>
    </row>
    <row r="551" spans="1:17" ht="14.25" customHeight="1" x14ac:dyDescent="0.35">
      <c r="A551" t="s">
        <v>135</v>
      </c>
      <c r="B551">
        <v>72</v>
      </c>
      <c r="C551" t="s">
        <v>178</v>
      </c>
      <c r="D551" t="s">
        <v>82</v>
      </c>
      <c r="E551" t="s">
        <v>25</v>
      </c>
      <c r="F551" t="s">
        <v>62</v>
      </c>
      <c r="G551">
        <v>214</v>
      </c>
      <c r="H551">
        <v>0</v>
      </c>
      <c r="I551">
        <v>0</v>
      </c>
      <c r="J551">
        <v>0</v>
      </c>
      <c r="K551">
        <v>3.9999999999999998E-6</v>
      </c>
      <c r="L551">
        <v>0.62517699999999998</v>
      </c>
      <c r="M551" t="s">
        <v>27</v>
      </c>
      <c r="N551" t="s">
        <v>63</v>
      </c>
      <c r="O551" t="s">
        <v>113</v>
      </c>
      <c r="P551" t="s">
        <v>114</v>
      </c>
      <c r="Q551" t="s">
        <v>115</v>
      </c>
    </row>
    <row r="552" spans="1:17" ht="14.25" customHeight="1" x14ac:dyDescent="0.35">
      <c r="A552" t="s">
        <v>135</v>
      </c>
      <c r="B552">
        <v>73</v>
      </c>
      <c r="C552" t="s">
        <v>178</v>
      </c>
      <c r="D552" t="s">
        <v>82</v>
      </c>
      <c r="E552" t="s">
        <v>25</v>
      </c>
      <c r="F552" t="s">
        <v>62</v>
      </c>
      <c r="G552">
        <v>220</v>
      </c>
      <c r="H552">
        <v>0</v>
      </c>
      <c r="I552">
        <v>0</v>
      </c>
      <c r="J552">
        <v>0</v>
      </c>
      <c r="K552">
        <v>3.9999999999999998E-6</v>
      </c>
      <c r="L552">
        <v>0.54687799999999998</v>
      </c>
      <c r="M552" t="s">
        <v>27</v>
      </c>
      <c r="N552" t="s">
        <v>63</v>
      </c>
      <c r="O552" t="s">
        <v>113</v>
      </c>
      <c r="P552" t="s">
        <v>114</v>
      </c>
      <c r="Q552" t="s">
        <v>115</v>
      </c>
    </row>
    <row r="553" spans="1:17" ht="14.25" customHeight="1" x14ac:dyDescent="0.35">
      <c r="A553" t="s">
        <v>135</v>
      </c>
      <c r="B553">
        <v>74</v>
      </c>
      <c r="C553" t="s">
        <v>178</v>
      </c>
      <c r="D553" t="s">
        <v>82</v>
      </c>
      <c r="E553" t="s">
        <v>25</v>
      </c>
      <c r="F553" t="s">
        <v>62</v>
      </c>
      <c r="G553">
        <v>214</v>
      </c>
      <c r="H553">
        <v>0</v>
      </c>
      <c r="I553">
        <v>0</v>
      </c>
      <c r="J553">
        <v>0</v>
      </c>
      <c r="K553">
        <v>3.9999999999999998E-6</v>
      </c>
      <c r="L553">
        <v>0.30214299999999999</v>
      </c>
      <c r="M553" t="s">
        <v>27</v>
      </c>
      <c r="N553" t="s">
        <v>63</v>
      </c>
      <c r="O553" t="s">
        <v>113</v>
      </c>
      <c r="P553" t="s">
        <v>114</v>
      </c>
      <c r="Q553" t="s">
        <v>115</v>
      </c>
    </row>
    <row r="554" spans="1:17" ht="14.25" customHeight="1" x14ac:dyDescent="0.35">
      <c r="A554" t="s">
        <v>135</v>
      </c>
      <c r="B554">
        <v>75</v>
      </c>
      <c r="C554" t="s">
        <v>179</v>
      </c>
      <c r="D554" t="s">
        <v>82</v>
      </c>
      <c r="E554" t="s">
        <v>25</v>
      </c>
      <c r="F554" t="s">
        <v>26</v>
      </c>
      <c r="G554">
        <v>10038</v>
      </c>
      <c r="H554">
        <v>9856</v>
      </c>
      <c r="I554">
        <v>569</v>
      </c>
      <c r="J554">
        <v>0</v>
      </c>
      <c r="K554">
        <v>1.8464999999999999E-2</v>
      </c>
      <c r="L554">
        <v>8.7309579999999993</v>
      </c>
      <c r="M554" t="s">
        <v>27</v>
      </c>
      <c r="N554" t="s">
        <v>28</v>
      </c>
      <c r="O554" t="s">
        <v>113</v>
      </c>
      <c r="P554" t="s">
        <v>114</v>
      </c>
      <c r="Q554" t="s">
        <v>115</v>
      </c>
    </row>
    <row r="555" spans="1:17" ht="14.25" customHeight="1" x14ac:dyDescent="0.35">
      <c r="A555" t="s">
        <v>135</v>
      </c>
      <c r="B555">
        <v>76</v>
      </c>
      <c r="C555" t="s">
        <v>180</v>
      </c>
      <c r="D555" t="s">
        <v>82</v>
      </c>
      <c r="E555" t="s">
        <v>25</v>
      </c>
      <c r="F555" t="s">
        <v>26</v>
      </c>
      <c r="G555">
        <v>9526</v>
      </c>
      <c r="H555">
        <v>0</v>
      </c>
      <c r="I555">
        <v>511</v>
      </c>
      <c r="J555">
        <v>0</v>
      </c>
      <c r="K555">
        <v>2.8924999999999999E-2</v>
      </c>
      <c r="L555">
        <v>10.639284999999999</v>
      </c>
      <c r="M555" t="s">
        <v>27</v>
      </c>
      <c r="N555" t="s">
        <v>28</v>
      </c>
      <c r="O555" t="s">
        <v>113</v>
      </c>
      <c r="P555" t="s">
        <v>114</v>
      </c>
      <c r="Q555" t="s">
        <v>115</v>
      </c>
    </row>
    <row r="556" spans="1:17" ht="14.25" customHeight="1" x14ac:dyDescent="0.35">
      <c r="A556" t="s">
        <v>135</v>
      </c>
      <c r="B556">
        <v>77</v>
      </c>
      <c r="C556" t="s">
        <v>180</v>
      </c>
      <c r="D556" t="s">
        <v>82</v>
      </c>
      <c r="E556" t="s">
        <v>25</v>
      </c>
      <c r="F556" t="s">
        <v>26</v>
      </c>
      <c r="G556">
        <v>8610</v>
      </c>
      <c r="H556">
        <v>0</v>
      </c>
      <c r="I556">
        <v>697</v>
      </c>
      <c r="J556">
        <v>0</v>
      </c>
      <c r="K556">
        <v>2.8494999999999999E-2</v>
      </c>
      <c r="L556">
        <v>11.188307999999999</v>
      </c>
      <c r="M556" t="s">
        <v>27</v>
      </c>
      <c r="N556" t="s">
        <v>28</v>
      </c>
      <c r="O556" t="s">
        <v>113</v>
      </c>
      <c r="P556" t="s">
        <v>114</v>
      </c>
      <c r="Q556" t="s">
        <v>115</v>
      </c>
    </row>
    <row r="557" spans="1:17" ht="14.25" customHeight="1" x14ac:dyDescent="0.35">
      <c r="A557" t="s">
        <v>135</v>
      </c>
      <c r="B557">
        <v>78</v>
      </c>
      <c r="C557" t="s">
        <v>181</v>
      </c>
      <c r="D557" t="s">
        <v>121</v>
      </c>
      <c r="E557" t="s">
        <v>25</v>
      </c>
      <c r="F557" t="s">
        <v>26</v>
      </c>
      <c r="G557">
        <v>7385</v>
      </c>
      <c r="H557">
        <v>0</v>
      </c>
      <c r="I557">
        <v>566</v>
      </c>
      <c r="J557">
        <v>0</v>
      </c>
      <c r="K557">
        <v>2.4122999999999999E-2</v>
      </c>
      <c r="L557">
        <v>9.0675570000000008</v>
      </c>
      <c r="M557" t="s">
        <v>27</v>
      </c>
      <c r="N557" t="s">
        <v>28</v>
      </c>
      <c r="O557" t="s">
        <v>122</v>
      </c>
      <c r="P557" t="s">
        <v>123</v>
      </c>
      <c r="Q557" t="s">
        <v>124</v>
      </c>
    </row>
    <row r="558" spans="1:17" ht="14.25" customHeight="1" x14ac:dyDescent="0.35">
      <c r="A558" t="s">
        <v>135</v>
      </c>
      <c r="B558">
        <v>79</v>
      </c>
      <c r="C558" t="s">
        <v>182</v>
      </c>
      <c r="D558" t="s">
        <v>121</v>
      </c>
      <c r="E558" t="s">
        <v>25</v>
      </c>
      <c r="F558" t="s">
        <v>26</v>
      </c>
      <c r="G558">
        <v>7294</v>
      </c>
      <c r="H558">
        <v>0</v>
      </c>
      <c r="I558">
        <v>814</v>
      </c>
      <c r="J558">
        <v>0</v>
      </c>
      <c r="K558">
        <v>2.6374999999999999E-2</v>
      </c>
      <c r="L558">
        <v>9.8804700000000008</v>
      </c>
      <c r="M558" t="s">
        <v>27</v>
      </c>
      <c r="N558" t="s">
        <v>28</v>
      </c>
      <c r="O558" t="s">
        <v>122</v>
      </c>
      <c r="P558" t="s">
        <v>123</v>
      </c>
      <c r="Q558" t="s">
        <v>124</v>
      </c>
    </row>
    <row r="559" spans="1:17" ht="14.25" customHeight="1" x14ac:dyDescent="0.35">
      <c r="A559" t="s">
        <v>135</v>
      </c>
      <c r="B559">
        <v>80</v>
      </c>
      <c r="C559" t="s">
        <v>183</v>
      </c>
      <c r="D559" t="s">
        <v>121</v>
      </c>
      <c r="E559" t="s">
        <v>25</v>
      </c>
      <c r="F559" t="s">
        <v>26</v>
      </c>
      <c r="G559">
        <v>10181</v>
      </c>
      <c r="H559">
        <v>0</v>
      </c>
      <c r="I559">
        <v>1081</v>
      </c>
      <c r="J559">
        <v>0</v>
      </c>
      <c r="K559">
        <v>3.6262999999999997E-2</v>
      </c>
      <c r="L559">
        <v>12.570259999999999</v>
      </c>
      <c r="M559" t="s">
        <v>27</v>
      </c>
      <c r="N559" t="s">
        <v>28</v>
      </c>
      <c r="O559" t="s">
        <v>122</v>
      </c>
      <c r="P559" t="s">
        <v>123</v>
      </c>
      <c r="Q559" t="s">
        <v>124</v>
      </c>
    </row>
    <row r="560" spans="1:17" ht="14.25" customHeight="1" x14ac:dyDescent="0.35">
      <c r="A560" t="s">
        <v>135</v>
      </c>
      <c r="B560">
        <v>81</v>
      </c>
      <c r="C560" t="s">
        <v>184</v>
      </c>
      <c r="D560" t="s">
        <v>121</v>
      </c>
      <c r="E560" t="s">
        <v>25</v>
      </c>
      <c r="F560" t="s">
        <v>26</v>
      </c>
      <c r="G560">
        <v>8176</v>
      </c>
      <c r="H560">
        <v>0</v>
      </c>
      <c r="I560">
        <v>1468</v>
      </c>
      <c r="J560">
        <v>0</v>
      </c>
      <c r="K560">
        <v>3.5119999999999998E-2</v>
      </c>
      <c r="L560">
        <v>15.309676</v>
      </c>
      <c r="M560" t="s">
        <v>27</v>
      </c>
      <c r="N560" t="s">
        <v>28</v>
      </c>
      <c r="O560" t="s">
        <v>122</v>
      </c>
      <c r="P560" t="s">
        <v>123</v>
      </c>
      <c r="Q560" t="s">
        <v>124</v>
      </c>
    </row>
    <row r="561" spans="1:17" ht="14.25" customHeight="1" x14ac:dyDescent="0.35">
      <c r="A561" t="s">
        <v>135</v>
      </c>
      <c r="B561">
        <v>82</v>
      </c>
      <c r="C561" t="s">
        <v>184</v>
      </c>
      <c r="D561" t="s">
        <v>121</v>
      </c>
      <c r="E561" t="s">
        <v>25</v>
      </c>
      <c r="F561" t="s">
        <v>26</v>
      </c>
      <c r="G561">
        <v>10548</v>
      </c>
      <c r="H561">
        <v>0</v>
      </c>
      <c r="I561">
        <v>1359</v>
      </c>
      <c r="J561">
        <v>0</v>
      </c>
      <c r="K561">
        <v>3.9960000000000002E-2</v>
      </c>
      <c r="L561">
        <v>15.58709</v>
      </c>
      <c r="M561" t="s">
        <v>27</v>
      </c>
      <c r="N561" t="s">
        <v>28</v>
      </c>
      <c r="O561" t="s">
        <v>122</v>
      </c>
      <c r="P561" t="s">
        <v>123</v>
      </c>
      <c r="Q561" t="s">
        <v>124</v>
      </c>
    </row>
    <row r="562" spans="1:17" ht="14.25" customHeight="1" x14ac:dyDescent="0.35">
      <c r="A562" t="s">
        <v>135</v>
      </c>
      <c r="B562">
        <v>83</v>
      </c>
      <c r="C562" t="s">
        <v>184</v>
      </c>
      <c r="D562" t="s">
        <v>121</v>
      </c>
      <c r="E562" t="s">
        <v>25</v>
      </c>
      <c r="F562" t="s">
        <v>26</v>
      </c>
      <c r="G562">
        <v>10264</v>
      </c>
      <c r="H562">
        <v>0</v>
      </c>
      <c r="I562">
        <v>1306</v>
      </c>
      <c r="J562">
        <v>0</v>
      </c>
      <c r="K562">
        <v>3.8719999999999997E-2</v>
      </c>
      <c r="L562">
        <v>16.085913999999999</v>
      </c>
      <c r="M562" t="s">
        <v>27</v>
      </c>
      <c r="N562" t="s">
        <v>28</v>
      </c>
      <c r="O562" t="s">
        <v>122</v>
      </c>
      <c r="P562" t="s">
        <v>123</v>
      </c>
      <c r="Q562" t="s">
        <v>124</v>
      </c>
    </row>
    <row r="563" spans="1:17" ht="14.25" customHeight="1" x14ac:dyDescent="0.35">
      <c r="A563" t="s">
        <v>135</v>
      </c>
      <c r="B563">
        <v>84</v>
      </c>
      <c r="C563" t="s">
        <v>185</v>
      </c>
      <c r="D563" t="s">
        <v>121</v>
      </c>
      <c r="E563" t="s">
        <v>25</v>
      </c>
      <c r="F563" t="s">
        <v>26</v>
      </c>
      <c r="G563">
        <v>11338</v>
      </c>
      <c r="H563">
        <v>11136</v>
      </c>
      <c r="I563">
        <v>1386</v>
      </c>
      <c r="J563">
        <v>0</v>
      </c>
      <c r="K563">
        <v>2.8285000000000001E-2</v>
      </c>
      <c r="L563">
        <v>11.639303</v>
      </c>
      <c r="M563" t="s">
        <v>27</v>
      </c>
      <c r="N563" t="s">
        <v>28</v>
      </c>
      <c r="O563" t="s">
        <v>122</v>
      </c>
      <c r="P563" t="s">
        <v>123</v>
      </c>
      <c r="Q563" t="s">
        <v>124</v>
      </c>
    </row>
    <row r="564" spans="1:17" ht="14.25" customHeight="1" x14ac:dyDescent="0.35">
      <c r="A564" t="s">
        <v>135</v>
      </c>
      <c r="B564">
        <v>85</v>
      </c>
      <c r="C564" t="s">
        <v>186</v>
      </c>
      <c r="D564" t="s">
        <v>121</v>
      </c>
      <c r="E564" t="s">
        <v>25</v>
      </c>
      <c r="F564" t="s">
        <v>26</v>
      </c>
      <c r="G564">
        <v>11381</v>
      </c>
      <c r="H564">
        <v>0</v>
      </c>
      <c r="I564">
        <v>1714</v>
      </c>
      <c r="J564">
        <v>0</v>
      </c>
      <c r="K564">
        <v>4.5593000000000002E-2</v>
      </c>
      <c r="L564">
        <v>15.012238</v>
      </c>
      <c r="M564" t="s">
        <v>27</v>
      </c>
      <c r="N564" t="s">
        <v>28</v>
      </c>
      <c r="O564" t="s">
        <v>122</v>
      </c>
      <c r="P564" t="s">
        <v>123</v>
      </c>
      <c r="Q564" t="s">
        <v>124</v>
      </c>
    </row>
    <row r="565" spans="1:17" ht="14.25" customHeight="1" x14ac:dyDescent="0.35">
      <c r="A565" t="s">
        <v>135</v>
      </c>
      <c r="B565">
        <v>86</v>
      </c>
      <c r="C565" t="s">
        <v>187</v>
      </c>
      <c r="D565" t="s">
        <v>121</v>
      </c>
      <c r="E565" t="s">
        <v>25</v>
      </c>
      <c r="F565" t="s">
        <v>26</v>
      </c>
      <c r="G565">
        <v>13171</v>
      </c>
      <c r="H565">
        <v>12928</v>
      </c>
      <c r="I565">
        <v>1859</v>
      </c>
      <c r="J565">
        <v>0</v>
      </c>
      <c r="K565">
        <v>3.5358000000000001E-2</v>
      </c>
      <c r="L565">
        <v>16.542767999999999</v>
      </c>
      <c r="M565" t="s">
        <v>27</v>
      </c>
      <c r="N565" t="s">
        <v>28</v>
      </c>
      <c r="O565" t="s">
        <v>122</v>
      </c>
      <c r="P565" t="s">
        <v>123</v>
      </c>
      <c r="Q565" t="s">
        <v>124</v>
      </c>
    </row>
    <row r="566" spans="1:17" ht="14.25" customHeight="1" x14ac:dyDescent="0.35">
      <c r="A566" t="s">
        <v>135</v>
      </c>
      <c r="B566">
        <v>87</v>
      </c>
      <c r="C566" t="s">
        <v>188</v>
      </c>
      <c r="D566" t="s">
        <v>133</v>
      </c>
      <c r="E566" t="s">
        <v>25</v>
      </c>
      <c r="F566" t="s">
        <v>26</v>
      </c>
      <c r="G566">
        <v>2574</v>
      </c>
      <c r="H566">
        <v>0</v>
      </c>
      <c r="I566">
        <v>316</v>
      </c>
      <c r="J566">
        <v>0</v>
      </c>
      <c r="K566">
        <v>9.5949999999999994E-3</v>
      </c>
      <c r="L566">
        <v>5.0279959999999999</v>
      </c>
      <c r="M566" t="s">
        <v>27</v>
      </c>
      <c r="N566" t="s">
        <v>28</v>
      </c>
      <c r="O566" t="s">
        <v>122</v>
      </c>
      <c r="P566" t="s">
        <v>123</v>
      </c>
      <c r="Q566" t="s">
        <v>134</v>
      </c>
    </row>
    <row r="567" spans="1:17" ht="14.25" customHeight="1" x14ac:dyDescent="0.35">
      <c r="A567" t="s">
        <v>189</v>
      </c>
      <c r="B567">
        <v>1</v>
      </c>
      <c r="C567" t="s">
        <v>190</v>
      </c>
      <c r="D567" t="s">
        <v>24</v>
      </c>
      <c r="E567" t="s">
        <v>25</v>
      </c>
      <c r="F567" t="s">
        <v>26</v>
      </c>
      <c r="G567">
        <v>1174</v>
      </c>
      <c r="H567">
        <v>1024</v>
      </c>
      <c r="I567">
        <v>55</v>
      </c>
      <c r="J567">
        <v>0</v>
      </c>
      <c r="K567">
        <v>2.2049999999999999E-3</v>
      </c>
      <c r="L567">
        <v>1.754993</v>
      </c>
      <c r="M567" t="s">
        <v>27</v>
      </c>
      <c r="N567" t="s">
        <v>28</v>
      </c>
      <c r="O567" t="s">
        <v>29</v>
      </c>
      <c r="P567" t="s">
        <v>30</v>
      </c>
      <c r="Q567" t="s">
        <v>31</v>
      </c>
    </row>
    <row r="568" spans="1:17" ht="14.25" customHeight="1" x14ac:dyDescent="0.35">
      <c r="A568" t="s">
        <v>189</v>
      </c>
      <c r="B568">
        <v>2</v>
      </c>
      <c r="C568" t="s">
        <v>191</v>
      </c>
      <c r="D568" t="s">
        <v>33</v>
      </c>
      <c r="E568" t="s">
        <v>25</v>
      </c>
      <c r="F568" t="s">
        <v>34</v>
      </c>
      <c r="G568">
        <v>425</v>
      </c>
      <c r="H568">
        <v>0</v>
      </c>
      <c r="I568">
        <v>75</v>
      </c>
      <c r="J568">
        <v>0</v>
      </c>
      <c r="K568">
        <v>1.0900000000000001E-4</v>
      </c>
      <c r="L568">
        <v>4.8498590000000004</v>
      </c>
      <c r="M568" t="s">
        <v>27</v>
      </c>
      <c r="N568" t="s">
        <v>28</v>
      </c>
      <c r="O568" t="s">
        <v>35</v>
      </c>
      <c r="P568" t="s">
        <v>36</v>
      </c>
      <c r="Q568" t="s">
        <v>37</v>
      </c>
    </row>
    <row r="569" spans="1:17" ht="14.25" customHeight="1" x14ac:dyDescent="0.35">
      <c r="A569" t="s">
        <v>189</v>
      </c>
      <c r="B569">
        <v>3</v>
      </c>
      <c r="C569" t="s">
        <v>192</v>
      </c>
      <c r="D569" t="s">
        <v>39</v>
      </c>
      <c r="E569" t="s">
        <v>40</v>
      </c>
      <c r="F569" t="s">
        <v>41</v>
      </c>
      <c r="G569">
        <v>673</v>
      </c>
      <c r="H569">
        <v>0</v>
      </c>
      <c r="I569">
        <v>2951</v>
      </c>
      <c r="J569">
        <v>5.0000000000000001E-3</v>
      </c>
      <c r="K569">
        <v>8.6199999999999992E-3</v>
      </c>
      <c r="L569">
        <v>31.410229999999999</v>
      </c>
      <c r="M569" t="s">
        <v>27</v>
      </c>
      <c r="N569" t="s">
        <v>42</v>
      </c>
      <c r="O569" t="s">
        <v>43</v>
      </c>
      <c r="P569" t="s">
        <v>44</v>
      </c>
      <c r="Q569" t="s">
        <v>45</v>
      </c>
    </row>
    <row r="570" spans="1:17" ht="14.25" customHeight="1" x14ac:dyDescent="0.35">
      <c r="A570" t="s">
        <v>189</v>
      </c>
      <c r="B570">
        <v>4</v>
      </c>
      <c r="C570" t="s">
        <v>193</v>
      </c>
      <c r="D570" t="s">
        <v>55</v>
      </c>
      <c r="E570" t="s">
        <v>25</v>
      </c>
      <c r="F570" t="s">
        <v>26</v>
      </c>
      <c r="G570">
        <v>10994</v>
      </c>
      <c r="H570">
        <v>0</v>
      </c>
      <c r="I570">
        <v>1525</v>
      </c>
      <c r="J570">
        <v>0</v>
      </c>
      <c r="K570">
        <v>4.2735000000000002E-2</v>
      </c>
      <c r="L570">
        <v>17.784887999999999</v>
      </c>
      <c r="M570" t="s">
        <v>27</v>
      </c>
      <c r="N570" t="s">
        <v>28</v>
      </c>
      <c r="O570" t="s">
        <v>56</v>
      </c>
      <c r="P570" t="s">
        <v>57</v>
      </c>
      <c r="Q570" t="s">
        <v>58</v>
      </c>
    </row>
    <row r="571" spans="1:17" ht="14.25" customHeight="1" x14ac:dyDescent="0.35">
      <c r="A571" t="s">
        <v>189</v>
      </c>
      <c r="B571">
        <v>5</v>
      </c>
      <c r="C571" t="s">
        <v>193</v>
      </c>
      <c r="D571" t="s">
        <v>61</v>
      </c>
      <c r="E571" t="s">
        <v>25</v>
      </c>
      <c r="F571" t="s">
        <v>62</v>
      </c>
      <c r="G571">
        <v>3</v>
      </c>
      <c r="H571">
        <v>0</v>
      </c>
      <c r="I571">
        <v>0</v>
      </c>
      <c r="J571">
        <v>0</v>
      </c>
      <c r="K571">
        <v>0</v>
      </c>
      <c r="L571">
        <v>0.42805799999999999</v>
      </c>
      <c r="M571" t="s">
        <v>27</v>
      </c>
      <c r="N571" t="s">
        <v>63</v>
      </c>
      <c r="O571" t="s">
        <v>64</v>
      </c>
      <c r="P571" t="s">
        <v>65</v>
      </c>
      <c r="Q571" t="s">
        <v>66</v>
      </c>
    </row>
    <row r="572" spans="1:17" ht="14.25" customHeight="1" x14ac:dyDescent="0.35">
      <c r="A572" t="s">
        <v>189</v>
      </c>
      <c r="B572">
        <v>6</v>
      </c>
      <c r="C572" t="s">
        <v>194</v>
      </c>
      <c r="D572" t="s">
        <v>61</v>
      </c>
      <c r="E572" t="s">
        <v>25</v>
      </c>
      <c r="F572" t="s">
        <v>62</v>
      </c>
      <c r="G572">
        <v>6</v>
      </c>
      <c r="H572">
        <v>0</v>
      </c>
      <c r="I572">
        <v>0</v>
      </c>
      <c r="J572">
        <v>0</v>
      </c>
      <c r="K572">
        <v>0</v>
      </c>
      <c r="L572">
        <v>0.22135299999999999</v>
      </c>
      <c r="M572" t="s">
        <v>27</v>
      </c>
      <c r="N572" t="s">
        <v>63</v>
      </c>
      <c r="O572" t="s">
        <v>64</v>
      </c>
      <c r="P572" t="s">
        <v>65</v>
      </c>
      <c r="Q572" t="s">
        <v>66</v>
      </c>
    </row>
    <row r="573" spans="1:17" ht="14.25" customHeight="1" x14ac:dyDescent="0.35">
      <c r="A573" t="s">
        <v>189</v>
      </c>
      <c r="B573">
        <v>7</v>
      </c>
      <c r="C573" t="s">
        <v>194</v>
      </c>
      <c r="D573" t="s">
        <v>61</v>
      </c>
      <c r="E573" t="s">
        <v>25</v>
      </c>
      <c r="F573" t="s">
        <v>62</v>
      </c>
      <c r="G573">
        <v>4</v>
      </c>
      <c r="H573">
        <v>0</v>
      </c>
      <c r="I573">
        <v>0</v>
      </c>
      <c r="J573">
        <v>0</v>
      </c>
      <c r="K573">
        <v>0</v>
      </c>
      <c r="L573">
        <v>0.21478800000000001</v>
      </c>
      <c r="M573" t="s">
        <v>27</v>
      </c>
      <c r="N573" t="s">
        <v>63</v>
      </c>
      <c r="O573" t="s">
        <v>64</v>
      </c>
      <c r="P573" t="s">
        <v>65</v>
      </c>
      <c r="Q573" t="s">
        <v>66</v>
      </c>
    </row>
    <row r="574" spans="1:17" ht="14.25" customHeight="1" x14ac:dyDescent="0.35">
      <c r="A574" t="s">
        <v>189</v>
      </c>
      <c r="B574">
        <v>8</v>
      </c>
      <c r="C574" t="s">
        <v>194</v>
      </c>
      <c r="D574" t="s">
        <v>61</v>
      </c>
      <c r="E574" t="s">
        <v>25</v>
      </c>
      <c r="F574" t="s">
        <v>62</v>
      </c>
      <c r="G574">
        <v>5</v>
      </c>
      <c r="H574">
        <v>0</v>
      </c>
      <c r="I574">
        <v>0</v>
      </c>
      <c r="J574">
        <v>0</v>
      </c>
      <c r="K574">
        <v>0</v>
      </c>
      <c r="L574">
        <v>0.184311</v>
      </c>
      <c r="M574" t="s">
        <v>27</v>
      </c>
      <c r="N574" t="s">
        <v>63</v>
      </c>
      <c r="O574" t="s">
        <v>64</v>
      </c>
      <c r="P574" t="s">
        <v>65</v>
      </c>
      <c r="Q574" t="s">
        <v>66</v>
      </c>
    </row>
    <row r="575" spans="1:17" ht="14.25" customHeight="1" x14ac:dyDescent="0.35">
      <c r="A575" t="s">
        <v>189</v>
      </c>
      <c r="B575">
        <v>9</v>
      </c>
      <c r="C575" t="s">
        <v>195</v>
      </c>
      <c r="D575" t="s">
        <v>61</v>
      </c>
      <c r="E575" t="s">
        <v>25</v>
      </c>
      <c r="F575" t="s">
        <v>62</v>
      </c>
      <c r="G575">
        <v>4</v>
      </c>
      <c r="H575">
        <v>0</v>
      </c>
      <c r="I575">
        <v>0</v>
      </c>
      <c r="J575">
        <v>0</v>
      </c>
      <c r="K575">
        <v>0</v>
      </c>
      <c r="L575">
        <v>0.20616899999999999</v>
      </c>
      <c r="M575" t="s">
        <v>27</v>
      </c>
      <c r="N575" t="s">
        <v>63</v>
      </c>
      <c r="O575" t="s">
        <v>64</v>
      </c>
      <c r="P575" t="s">
        <v>65</v>
      </c>
      <c r="Q575" t="s">
        <v>66</v>
      </c>
    </row>
    <row r="576" spans="1:17" ht="14.25" customHeight="1" x14ac:dyDescent="0.35">
      <c r="A576" t="s">
        <v>189</v>
      </c>
      <c r="B576">
        <v>10</v>
      </c>
      <c r="C576" t="s">
        <v>195</v>
      </c>
      <c r="D576" t="s">
        <v>61</v>
      </c>
      <c r="E576" t="s">
        <v>25</v>
      </c>
      <c r="F576" t="s">
        <v>62</v>
      </c>
      <c r="G576">
        <v>8</v>
      </c>
      <c r="H576">
        <v>0</v>
      </c>
      <c r="I576">
        <v>0</v>
      </c>
      <c r="J576">
        <v>0</v>
      </c>
      <c r="K576">
        <v>0</v>
      </c>
      <c r="L576">
        <v>0.19863500000000001</v>
      </c>
      <c r="M576" t="s">
        <v>27</v>
      </c>
      <c r="N576" t="s">
        <v>63</v>
      </c>
      <c r="O576" t="s">
        <v>64</v>
      </c>
      <c r="P576" t="s">
        <v>65</v>
      </c>
      <c r="Q576" t="s">
        <v>66</v>
      </c>
    </row>
    <row r="577" spans="1:17" ht="14.25" customHeight="1" x14ac:dyDescent="0.35">
      <c r="A577" t="s">
        <v>189</v>
      </c>
      <c r="B577">
        <v>11</v>
      </c>
      <c r="C577" t="s">
        <v>196</v>
      </c>
      <c r="D577" t="s">
        <v>61</v>
      </c>
      <c r="E577" t="s">
        <v>25</v>
      </c>
      <c r="F577" t="s">
        <v>62</v>
      </c>
      <c r="G577">
        <v>6</v>
      </c>
      <c r="H577">
        <v>0</v>
      </c>
      <c r="I577">
        <v>0</v>
      </c>
      <c r="J577">
        <v>0</v>
      </c>
      <c r="K577">
        <v>0</v>
      </c>
      <c r="L577">
        <v>0.20525399999999999</v>
      </c>
      <c r="M577" t="s">
        <v>27</v>
      </c>
      <c r="N577" t="s">
        <v>63</v>
      </c>
      <c r="O577" t="s">
        <v>64</v>
      </c>
      <c r="P577" t="s">
        <v>65</v>
      </c>
      <c r="Q577" t="s">
        <v>66</v>
      </c>
    </row>
    <row r="578" spans="1:17" ht="14.25" customHeight="1" x14ac:dyDescent="0.35">
      <c r="A578" t="s">
        <v>189</v>
      </c>
      <c r="B578">
        <v>12</v>
      </c>
      <c r="C578" t="s">
        <v>196</v>
      </c>
      <c r="D578" t="s">
        <v>61</v>
      </c>
      <c r="E578" t="s">
        <v>25</v>
      </c>
      <c r="F578" t="s">
        <v>62</v>
      </c>
      <c r="G578">
        <v>7</v>
      </c>
      <c r="H578">
        <v>0</v>
      </c>
      <c r="I578">
        <v>0</v>
      </c>
      <c r="J578">
        <v>0</v>
      </c>
      <c r="K578">
        <v>0</v>
      </c>
      <c r="L578">
        <v>0.19184699999999999</v>
      </c>
      <c r="M578" t="s">
        <v>27</v>
      </c>
      <c r="N578" t="s">
        <v>63</v>
      </c>
      <c r="O578" t="s">
        <v>64</v>
      </c>
      <c r="P578" t="s">
        <v>65</v>
      </c>
      <c r="Q578" t="s">
        <v>66</v>
      </c>
    </row>
    <row r="579" spans="1:17" ht="14.25" customHeight="1" x14ac:dyDescent="0.35">
      <c r="A579" t="s">
        <v>189</v>
      </c>
      <c r="B579">
        <v>13</v>
      </c>
      <c r="C579" t="s">
        <v>196</v>
      </c>
      <c r="D579" t="s">
        <v>61</v>
      </c>
      <c r="E579" t="s">
        <v>25</v>
      </c>
      <c r="F579" t="s">
        <v>62</v>
      </c>
      <c r="G579">
        <v>3</v>
      </c>
      <c r="H579">
        <v>0</v>
      </c>
      <c r="I579">
        <v>0</v>
      </c>
      <c r="J579">
        <v>0</v>
      </c>
      <c r="K579">
        <v>0</v>
      </c>
      <c r="L579">
        <v>0.19864299999999999</v>
      </c>
      <c r="M579" t="s">
        <v>27</v>
      </c>
      <c r="N579" t="s">
        <v>63</v>
      </c>
      <c r="O579" t="s">
        <v>64</v>
      </c>
      <c r="P579" t="s">
        <v>65</v>
      </c>
      <c r="Q579" t="s">
        <v>66</v>
      </c>
    </row>
    <row r="580" spans="1:17" ht="14.25" customHeight="1" x14ac:dyDescent="0.35">
      <c r="A580" t="s">
        <v>189</v>
      </c>
      <c r="B580">
        <v>14</v>
      </c>
      <c r="C580" t="s">
        <v>197</v>
      </c>
      <c r="D580" t="s">
        <v>61</v>
      </c>
      <c r="E580" t="s">
        <v>25</v>
      </c>
      <c r="F580" t="s">
        <v>62</v>
      </c>
      <c r="G580">
        <v>2</v>
      </c>
      <c r="H580">
        <v>0</v>
      </c>
      <c r="I580">
        <v>0</v>
      </c>
      <c r="J580">
        <v>0</v>
      </c>
      <c r="K580">
        <v>0</v>
      </c>
      <c r="L580">
        <v>0.215999</v>
      </c>
      <c r="M580" t="s">
        <v>27</v>
      </c>
      <c r="N580" t="s">
        <v>63</v>
      </c>
      <c r="O580" t="s">
        <v>64</v>
      </c>
      <c r="P580" t="s">
        <v>65</v>
      </c>
      <c r="Q580" t="s">
        <v>66</v>
      </c>
    </row>
    <row r="581" spans="1:17" ht="14.25" customHeight="1" x14ac:dyDescent="0.35">
      <c r="A581" t="s">
        <v>189</v>
      </c>
      <c r="B581">
        <v>15</v>
      </c>
      <c r="C581" t="s">
        <v>197</v>
      </c>
      <c r="D581" t="s">
        <v>61</v>
      </c>
      <c r="E581" t="s">
        <v>25</v>
      </c>
      <c r="F581" t="s">
        <v>62</v>
      </c>
      <c r="G581">
        <v>2</v>
      </c>
      <c r="H581">
        <v>0</v>
      </c>
      <c r="I581">
        <v>0</v>
      </c>
      <c r="J581">
        <v>0</v>
      </c>
      <c r="K581">
        <v>0</v>
      </c>
      <c r="L581">
        <v>0.22969999999999999</v>
      </c>
      <c r="M581" t="s">
        <v>27</v>
      </c>
      <c r="N581" t="s">
        <v>63</v>
      </c>
      <c r="O581" t="s">
        <v>64</v>
      </c>
      <c r="P581" t="s">
        <v>65</v>
      </c>
      <c r="Q581" t="s">
        <v>66</v>
      </c>
    </row>
    <row r="582" spans="1:17" ht="14.25" customHeight="1" x14ac:dyDescent="0.35">
      <c r="A582" t="s">
        <v>189</v>
      </c>
      <c r="B582">
        <v>16</v>
      </c>
      <c r="C582" t="s">
        <v>198</v>
      </c>
      <c r="D582" t="s">
        <v>61</v>
      </c>
      <c r="E582" t="s">
        <v>25</v>
      </c>
      <c r="F582" t="s">
        <v>62</v>
      </c>
      <c r="G582">
        <v>2</v>
      </c>
      <c r="H582">
        <v>0</v>
      </c>
      <c r="I582">
        <v>0</v>
      </c>
      <c r="J582">
        <v>0</v>
      </c>
      <c r="K582">
        <v>0</v>
      </c>
      <c r="L582">
        <v>0.49341499999999999</v>
      </c>
      <c r="M582" t="s">
        <v>27</v>
      </c>
      <c r="N582" t="s">
        <v>63</v>
      </c>
      <c r="O582" t="s">
        <v>64</v>
      </c>
      <c r="P582" t="s">
        <v>65</v>
      </c>
      <c r="Q582" t="s">
        <v>66</v>
      </c>
    </row>
    <row r="583" spans="1:17" ht="14.25" customHeight="1" x14ac:dyDescent="0.35">
      <c r="A583" t="s">
        <v>189</v>
      </c>
      <c r="B583">
        <v>17</v>
      </c>
      <c r="C583" t="s">
        <v>199</v>
      </c>
      <c r="D583" t="s">
        <v>61</v>
      </c>
      <c r="E583" t="s">
        <v>25</v>
      </c>
      <c r="F583" t="s">
        <v>62</v>
      </c>
      <c r="G583">
        <v>5</v>
      </c>
      <c r="H583">
        <v>0</v>
      </c>
      <c r="I583">
        <v>0</v>
      </c>
      <c r="J583">
        <v>0</v>
      </c>
      <c r="K583">
        <v>0</v>
      </c>
      <c r="L583">
        <v>0.52780800000000005</v>
      </c>
      <c r="M583" t="s">
        <v>27</v>
      </c>
      <c r="N583" t="s">
        <v>63</v>
      </c>
      <c r="O583" t="s">
        <v>64</v>
      </c>
      <c r="P583" t="s">
        <v>65</v>
      </c>
      <c r="Q583" t="s">
        <v>66</v>
      </c>
    </row>
    <row r="584" spans="1:17" ht="14.25" customHeight="1" x14ac:dyDescent="0.35">
      <c r="A584" t="s">
        <v>189</v>
      </c>
      <c r="B584">
        <v>18</v>
      </c>
      <c r="C584" t="s">
        <v>199</v>
      </c>
      <c r="D584" t="s">
        <v>61</v>
      </c>
      <c r="E584" t="s">
        <v>25</v>
      </c>
      <c r="F584" t="s">
        <v>62</v>
      </c>
      <c r="G584">
        <v>4</v>
      </c>
      <c r="H584">
        <v>0</v>
      </c>
      <c r="I584">
        <v>0</v>
      </c>
      <c r="J584">
        <v>0</v>
      </c>
      <c r="K584">
        <v>0</v>
      </c>
      <c r="L584">
        <v>0.26825900000000003</v>
      </c>
      <c r="M584" t="s">
        <v>27</v>
      </c>
      <c r="N584" t="s">
        <v>63</v>
      </c>
      <c r="O584" t="s">
        <v>64</v>
      </c>
      <c r="P584" t="s">
        <v>65</v>
      </c>
      <c r="Q584" t="s">
        <v>66</v>
      </c>
    </row>
    <row r="585" spans="1:17" ht="14.25" customHeight="1" x14ac:dyDescent="0.35">
      <c r="A585" t="s">
        <v>189</v>
      </c>
      <c r="B585">
        <v>19</v>
      </c>
      <c r="C585" t="s">
        <v>200</v>
      </c>
      <c r="D585" t="s">
        <v>61</v>
      </c>
      <c r="E585" t="s">
        <v>25</v>
      </c>
      <c r="F585" t="s">
        <v>62</v>
      </c>
      <c r="G585">
        <v>5</v>
      </c>
      <c r="H585">
        <v>0</v>
      </c>
      <c r="I585">
        <v>0</v>
      </c>
      <c r="J585">
        <v>0</v>
      </c>
      <c r="K585">
        <v>0</v>
      </c>
      <c r="L585">
        <v>0.18662200000000001</v>
      </c>
      <c r="M585" t="s">
        <v>27</v>
      </c>
      <c r="N585" t="s">
        <v>63</v>
      </c>
      <c r="O585" t="s">
        <v>64</v>
      </c>
      <c r="P585" t="s">
        <v>65</v>
      </c>
      <c r="Q585" t="s">
        <v>66</v>
      </c>
    </row>
    <row r="586" spans="1:17" ht="14.25" customHeight="1" x14ac:dyDescent="0.35">
      <c r="A586" t="s">
        <v>189</v>
      </c>
      <c r="B586">
        <v>20</v>
      </c>
      <c r="C586" t="s">
        <v>200</v>
      </c>
      <c r="D586" t="s">
        <v>61</v>
      </c>
      <c r="E586" t="s">
        <v>25</v>
      </c>
      <c r="F586" t="s">
        <v>62</v>
      </c>
      <c r="G586">
        <v>3</v>
      </c>
      <c r="H586">
        <v>0</v>
      </c>
      <c r="I586">
        <v>0</v>
      </c>
      <c r="J586">
        <v>0</v>
      </c>
      <c r="K586">
        <v>0</v>
      </c>
      <c r="L586">
        <v>0.185748</v>
      </c>
      <c r="M586" t="s">
        <v>27</v>
      </c>
      <c r="N586" t="s">
        <v>63</v>
      </c>
      <c r="O586" t="s">
        <v>64</v>
      </c>
      <c r="P586" t="s">
        <v>65</v>
      </c>
      <c r="Q586" t="s">
        <v>66</v>
      </c>
    </row>
    <row r="587" spans="1:17" ht="14.25" customHeight="1" x14ac:dyDescent="0.35">
      <c r="A587" t="s">
        <v>189</v>
      </c>
      <c r="B587">
        <v>21</v>
      </c>
      <c r="C587" t="s">
        <v>200</v>
      </c>
      <c r="D587" t="s">
        <v>61</v>
      </c>
      <c r="E587" t="s">
        <v>25</v>
      </c>
      <c r="F587" t="s">
        <v>62</v>
      </c>
      <c r="G587">
        <v>3</v>
      </c>
      <c r="H587">
        <v>0</v>
      </c>
      <c r="I587">
        <v>0</v>
      </c>
      <c r="J587">
        <v>0</v>
      </c>
      <c r="K587">
        <v>0</v>
      </c>
      <c r="L587">
        <v>0.19658600000000001</v>
      </c>
      <c r="M587" t="s">
        <v>27</v>
      </c>
      <c r="N587" t="s">
        <v>63</v>
      </c>
      <c r="O587" t="s">
        <v>64</v>
      </c>
      <c r="P587" t="s">
        <v>65</v>
      </c>
      <c r="Q587" t="s">
        <v>66</v>
      </c>
    </row>
    <row r="588" spans="1:17" ht="14.25" customHeight="1" x14ac:dyDescent="0.35">
      <c r="A588" t="s">
        <v>189</v>
      </c>
      <c r="B588">
        <v>22</v>
      </c>
      <c r="C588" t="s">
        <v>201</v>
      </c>
      <c r="D588" t="s">
        <v>61</v>
      </c>
      <c r="E588" t="s">
        <v>25</v>
      </c>
      <c r="F588" t="s">
        <v>62</v>
      </c>
      <c r="G588">
        <v>3</v>
      </c>
      <c r="H588">
        <v>0</v>
      </c>
      <c r="I588">
        <v>0</v>
      </c>
      <c r="J588">
        <v>0</v>
      </c>
      <c r="K588">
        <v>0</v>
      </c>
      <c r="L588">
        <v>0.23941399999999999</v>
      </c>
      <c r="M588" t="s">
        <v>27</v>
      </c>
      <c r="N588" t="s">
        <v>63</v>
      </c>
      <c r="O588" t="s">
        <v>64</v>
      </c>
      <c r="P588" t="s">
        <v>65</v>
      </c>
      <c r="Q588" t="s">
        <v>66</v>
      </c>
    </row>
    <row r="589" spans="1:17" ht="14.25" customHeight="1" x14ac:dyDescent="0.35">
      <c r="A589" t="s">
        <v>189</v>
      </c>
      <c r="B589">
        <v>23</v>
      </c>
      <c r="C589" t="s">
        <v>201</v>
      </c>
      <c r="D589" t="s">
        <v>61</v>
      </c>
      <c r="E589" t="s">
        <v>25</v>
      </c>
      <c r="F589" t="s">
        <v>62</v>
      </c>
      <c r="G589">
        <v>2</v>
      </c>
      <c r="H589">
        <v>0</v>
      </c>
      <c r="I589">
        <v>0</v>
      </c>
      <c r="J589">
        <v>0</v>
      </c>
      <c r="K589">
        <v>0</v>
      </c>
      <c r="L589">
        <v>0.20063600000000001</v>
      </c>
      <c r="M589" t="s">
        <v>27</v>
      </c>
      <c r="N589" t="s">
        <v>63</v>
      </c>
      <c r="O589" t="s">
        <v>64</v>
      </c>
      <c r="P589" t="s">
        <v>65</v>
      </c>
      <c r="Q589" t="s">
        <v>66</v>
      </c>
    </row>
    <row r="590" spans="1:17" ht="14.25" customHeight="1" x14ac:dyDescent="0.35">
      <c r="A590" t="s">
        <v>189</v>
      </c>
      <c r="B590">
        <v>24</v>
      </c>
      <c r="C590" t="s">
        <v>202</v>
      </c>
      <c r="D590" t="s">
        <v>61</v>
      </c>
      <c r="E590" t="s">
        <v>25</v>
      </c>
      <c r="F590" t="s">
        <v>62</v>
      </c>
      <c r="G590">
        <v>4</v>
      </c>
      <c r="H590">
        <v>0</v>
      </c>
      <c r="I590">
        <v>0</v>
      </c>
      <c r="J590">
        <v>0</v>
      </c>
      <c r="K590">
        <v>0</v>
      </c>
      <c r="L590">
        <v>0.23527799999999999</v>
      </c>
      <c r="M590" t="s">
        <v>27</v>
      </c>
      <c r="N590" t="s">
        <v>63</v>
      </c>
      <c r="O590" t="s">
        <v>64</v>
      </c>
      <c r="P590" t="s">
        <v>65</v>
      </c>
      <c r="Q590" t="s">
        <v>66</v>
      </c>
    </row>
    <row r="591" spans="1:17" ht="14.25" customHeight="1" x14ac:dyDescent="0.35">
      <c r="A591" t="s">
        <v>189</v>
      </c>
      <c r="B591">
        <v>25</v>
      </c>
      <c r="C591" t="s">
        <v>202</v>
      </c>
      <c r="D591" t="s">
        <v>61</v>
      </c>
      <c r="E591" t="s">
        <v>25</v>
      </c>
      <c r="F591" t="s">
        <v>62</v>
      </c>
      <c r="G591">
        <v>4</v>
      </c>
      <c r="H591">
        <v>0</v>
      </c>
      <c r="I591">
        <v>0</v>
      </c>
      <c r="J591">
        <v>0</v>
      </c>
      <c r="K591">
        <v>0</v>
      </c>
      <c r="L591">
        <v>0.22808700000000001</v>
      </c>
      <c r="M591" t="s">
        <v>27</v>
      </c>
      <c r="N591" t="s">
        <v>63</v>
      </c>
      <c r="O591" t="s">
        <v>64</v>
      </c>
      <c r="P591" t="s">
        <v>65</v>
      </c>
      <c r="Q591" t="s">
        <v>66</v>
      </c>
    </row>
    <row r="592" spans="1:17" x14ac:dyDescent="0.35">
      <c r="A592" t="s">
        <v>189</v>
      </c>
      <c r="B592">
        <v>26</v>
      </c>
      <c r="C592" t="s">
        <v>203</v>
      </c>
      <c r="D592" t="s">
        <v>61</v>
      </c>
      <c r="E592" t="s">
        <v>25</v>
      </c>
      <c r="F592" t="s">
        <v>62</v>
      </c>
      <c r="G592">
        <v>5</v>
      </c>
      <c r="H592">
        <v>0</v>
      </c>
      <c r="I592">
        <v>0</v>
      </c>
      <c r="J592">
        <v>0</v>
      </c>
      <c r="K592">
        <v>0</v>
      </c>
      <c r="L592">
        <v>0.50521899999999997</v>
      </c>
      <c r="M592" t="s">
        <v>27</v>
      </c>
      <c r="N592" t="s">
        <v>63</v>
      </c>
      <c r="O592" t="s">
        <v>64</v>
      </c>
      <c r="P592" t="s">
        <v>65</v>
      </c>
      <c r="Q592" t="s">
        <v>66</v>
      </c>
    </row>
    <row r="593" spans="1:17" x14ac:dyDescent="0.35">
      <c r="A593" t="s">
        <v>189</v>
      </c>
      <c r="B593">
        <v>27</v>
      </c>
      <c r="C593" t="s">
        <v>203</v>
      </c>
      <c r="D593" t="s">
        <v>61</v>
      </c>
      <c r="E593" t="s">
        <v>25</v>
      </c>
      <c r="F593" t="s">
        <v>62</v>
      </c>
      <c r="G593">
        <v>4</v>
      </c>
      <c r="H593">
        <v>0</v>
      </c>
      <c r="I593">
        <v>0</v>
      </c>
      <c r="J593">
        <v>0</v>
      </c>
      <c r="K593">
        <v>0</v>
      </c>
      <c r="L593">
        <v>0.30258800000000002</v>
      </c>
      <c r="M593" t="s">
        <v>27</v>
      </c>
      <c r="N593" t="s">
        <v>63</v>
      </c>
      <c r="O593" t="s">
        <v>64</v>
      </c>
      <c r="P593" t="s">
        <v>65</v>
      </c>
      <c r="Q593" t="s">
        <v>66</v>
      </c>
    </row>
    <row r="594" spans="1:17" x14ac:dyDescent="0.35">
      <c r="A594" t="s">
        <v>189</v>
      </c>
      <c r="B594">
        <v>28</v>
      </c>
      <c r="C594" t="s">
        <v>204</v>
      </c>
      <c r="D594" t="s">
        <v>61</v>
      </c>
      <c r="E594" t="s">
        <v>25</v>
      </c>
      <c r="F594" t="s">
        <v>62</v>
      </c>
      <c r="G594">
        <v>15</v>
      </c>
      <c r="H594">
        <v>0</v>
      </c>
      <c r="I594">
        <v>0</v>
      </c>
      <c r="J594">
        <v>0</v>
      </c>
      <c r="K594">
        <v>0</v>
      </c>
      <c r="L594">
        <v>0.20610400000000001</v>
      </c>
      <c r="M594" t="s">
        <v>27</v>
      </c>
      <c r="N594" t="s">
        <v>63</v>
      </c>
      <c r="O594" t="s">
        <v>64</v>
      </c>
      <c r="P594" t="s">
        <v>65</v>
      </c>
      <c r="Q594" t="s">
        <v>66</v>
      </c>
    </row>
    <row r="595" spans="1:17" x14ac:dyDescent="0.35">
      <c r="A595" t="s">
        <v>189</v>
      </c>
      <c r="B595">
        <v>29</v>
      </c>
      <c r="C595" t="s">
        <v>205</v>
      </c>
      <c r="D595" t="s">
        <v>61</v>
      </c>
      <c r="E595" t="s">
        <v>25</v>
      </c>
      <c r="F595" t="s">
        <v>62</v>
      </c>
      <c r="G595">
        <v>2</v>
      </c>
      <c r="H595">
        <v>0</v>
      </c>
      <c r="I595">
        <v>0</v>
      </c>
      <c r="J595">
        <v>0</v>
      </c>
      <c r="K595">
        <v>0</v>
      </c>
      <c r="L595">
        <v>0.18768799999999999</v>
      </c>
      <c r="M595" t="s">
        <v>27</v>
      </c>
      <c r="N595" t="s">
        <v>63</v>
      </c>
      <c r="O595" t="s">
        <v>64</v>
      </c>
      <c r="P595" t="s">
        <v>65</v>
      </c>
      <c r="Q595" t="s">
        <v>66</v>
      </c>
    </row>
    <row r="596" spans="1:17" x14ac:dyDescent="0.35">
      <c r="A596" t="s">
        <v>189</v>
      </c>
      <c r="B596">
        <v>30</v>
      </c>
      <c r="C596" t="s">
        <v>205</v>
      </c>
      <c r="D596" t="s">
        <v>61</v>
      </c>
      <c r="E596" t="s">
        <v>25</v>
      </c>
      <c r="F596" t="s">
        <v>62</v>
      </c>
      <c r="G596">
        <v>2</v>
      </c>
      <c r="H596">
        <v>0</v>
      </c>
      <c r="I596">
        <v>0</v>
      </c>
      <c r="J596">
        <v>0</v>
      </c>
      <c r="K596">
        <v>0</v>
      </c>
      <c r="L596">
        <v>0.21420900000000001</v>
      </c>
      <c r="M596" t="s">
        <v>27</v>
      </c>
      <c r="N596" t="s">
        <v>63</v>
      </c>
      <c r="O596" t="s">
        <v>64</v>
      </c>
      <c r="P596" t="s">
        <v>65</v>
      </c>
      <c r="Q596" t="s">
        <v>66</v>
      </c>
    </row>
    <row r="597" spans="1:17" x14ac:dyDescent="0.35">
      <c r="A597" t="s">
        <v>189</v>
      </c>
      <c r="B597">
        <v>31</v>
      </c>
      <c r="C597" t="s">
        <v>206</v>
      </c>
      <c r="D597" t="s">
        <v>61</v>
      </c>
      <c r="E597" t="s">
        <v>25</v>
      </c>
      <c r="F597" t="s">
        <v>62</v>
      </c>
      <c r="G597">
        <v>3</v>
      </c>
      <c r="H597">
        <v>0</v>
      </c>
      <c r="I597">
        <v>0</v>
      </c>
      <c r="J597">
        <v>0</v>
      </c>
      <c r="K597">
        <v>0</v>
      </c>
      <c r="L597">
        <v>0.21678900000000001</v>
      </c>
      <c r="M597" t="s">
        <v>27</v>
      </c>
      <c r="N597" t="s">
        <v>63</v>
      </c>
      <c r="O597" t="s">
        <v>64</v>
      </c>
      <c r="P597" t="s">
        <v>65</v>
      </c>
      <c r="Q597" t="s">
        <v>66</v>
      </c>
    </row>
    <row r="598" spans="1:17" x14ac:dyDescent="0.35">
      <c r="A598" t="s">
        <v>189</v>
      </c>
      <c r="B598">
        <v>32</v>
      </c>
      <c r="C598" t="s">
        <v>206</v>
      </c>
      <c r="D598" t="s">
        <v>61</v>
      </c>
      <c r="E598" t="s">
        <v>25</v>
      </c>
      <c r="F598" t="s">
        <v>62</v>
      </c>
      <c r="G598">
        <v>4</v>
      </c>
      <c r="H598">
        <v>0</v>
      </c>
      <c r="I598">
        <v>0</v>
      </c>
      <c r="J598">
        <v>0</v>
      </c>
      <c r="K598">
        <v>0</v>
      </c>
      <c r="L598">
        <v>0.23324900000000001</v>
      </c>
      <c r="M598" t="s">
        <v>27</v>
      </c>
      <c r="N598" t="s">
        <v>63</v>
      </c>
      <c r="O598" t="s">
        <v>64</v>
      </c>
      <c r="P598" t="s">
        <v>65</v>
      </c>
      <c r="Q598" t="s">
        <v>66</v>
      </c>
    </row>
    <row r="599" spans="1:17" x14ac:dyDescent="0.35">
      <c r="A599" t="s">
        <v>189</v>
      </c>
      <c r="B599">
        <v>33</v>
      </c>
      <c r="C599" t="s">
        <v>206</v>
      </c>
      <c r="D599" t="s">
        <v>61</v>
      </c>
      <c r="E599" t="s">
        <v>25</v>
      </c>
      <c r="F599" t="s">
        <v>62</v>
      </c>
      <c r="G599">
        <v>4</v>
      </c>
      <c r="H599">
        <v>0</v>
      </c>
      <c r="I599">
        <v>0</v>
      </c>
      <c r="J599">
        <v>0</v>
      </c>
      <c r="K599">
        <v>0</v>
      </c>
      <c r="L599">
        <v>0.205124</v>
      </c>
      <c r="M599" t="s">
        <v>27</v>
      </c>
      <c r="N599" t="s">
        <v>63</v>
      </c>
      <c r="O599" t="s">
        <v>64</v>
      </c>
      <c r="P599" t="s">
        <v>65</v>
      </c>
      <c r="Q599" t="s">
        <v>66</v>
      </c>
    </row>
    <row r="600" spans="1:17" x14ac:dyDescent="0.35">
      <c r="A600" t="s">
        <v>189</v>
      </c>
      <c r="B600">
        <v>34</v>
      </c>
      <c r="C600" t="s">
        <v>207</v>
      </c>
      <c r="D600" t="s">
        <v>61</v>
      </c>
      <c r="E600" t="s">
        <v>25</v>
      </c>
      <c r="F600" t="s">
        <v>62</v>
      </c>
      <c r="G600">
        <v>5</v>
      </c>
      <c r="H600">
        <v>0</v>
      </c>
      <c r="I600">
        <v>0</v>
      </c>
      <c r="J600">
        <v>0</v>
      </c>
      <c r="K600">
        <v>0</v>
      </c>
      <c r="L600">
        <v>0.198517</v>
      </c>
      <c r="M600" t="s">
        <v>27</v>
      </c>
      <c r="N600" t="s">
        <v>63</v>
      </c>
      <c r="O600" t="s">
        <v>64</v>
      </c>
      <c r="P600" t="s">
        <v>65</v>
      </c>
      <c r="Q600" t="s">
        <v>66</v>
      </c>
    </row>
    <row r="601" spans="1:17" x14ac:dyDescent="0.35">
      <c r="A601" t="s">
        <v>189</v>
      </c>
      <c r="B601">
        <v>35</v>
      </c>
      <c r="C601" t="s">
        <v>207</v>
      </c>
      <c r="D601" t="s">
        <v>61</v>
      </c>
      <c r="E601" t="s">
        <v>25</v>
      </c>
      <c r="F601" t="s">
        <v>62</v>
      </c>
      <c r="G601">
        <v>6</v>
      </c>
      <c r="H601">
        <v>0</v>
      </c>
      <c r="I601">
        <v>0</v>
      </c>
      <c r="J601">
        <v>0</v>
      </c>
      <c r="K601">
        <v>0</v>
      </c>
      <c r="L601">
        <v>0.20128699999999999</v>
      </c>
      <c r="M601" t="s">
        <v>27</v>
      </c>
      <c r="N601" t="s">
        <v>63</v>
      </c>
      <c r="O601" t="s">
        <v>64</v>
      </c>
      <c r="P601" t="s">
        <v>65</v>
      </c>
      <c r="Q601" t="s">
        <v>66</v>
      </c>
    </row>
    <row r="602" spans="1:17" x14ac:dyDescent="0.35">
      <c r="A602" t="s">
        <v>189</v>
      </c>
      <c r="B602">
        <v>36</v>
      </c>
      <c r="C602" t="s">
        <v>207</v>
      </c>
      <c r="D602" t="s">
        <v>61</v>
      </c>
      <c r="E602" t="s">
        <v>25</v>
      </c>
      <c r="F602" t="s">
        <v>62</v>
      </c>
      <c r="G602">
        <v>17</v>
      </c>
      <c r="H602">
        <v>0</v>
      </c>
      <c r="I602">
        <v>0</v>
      </c>
      <c r="J602">
        <v>0</v>
      </c>
      <c r="K602">
        <v>0</v>
      </c>
      <c r="L602">
        <v>0.26012600000000002</v>
      </c>
      <c r="M602" t="s">
        <v>27</v>
      </c>
      <c r="N602" t="s">
        <v>63</v>
      </c>
      <c r="O602" t="s">
        <v>64</v>
      </c>
      <c r="P602" t="s">
        <v>65</v>
      </c>
      <c r="Q602" t="s">
        <v>66</v>
      </c>
    </row>
    <row r="603" spans="1:17" x14ac:dyDescent="0.35">
      <c r="A603" t="s">
        <v>189</v>
      </c>
      <c r="B603">
        <v>37</v>
      </c>
      <c r="C603" t="s">
        <v>208</v>
      </c>
      <c r="D603" t="s">
        <v>61</v>
      </c>
      <c r="E603" t="s">
        <v>25</v>
      </c>
      <c r="F603" t="s">
        <v>62</v>
      </c>
      <c r="G603">
        <v>4</v>
      </c>
      <c r="H603">
        <v>0</v>
      </c>
      <c r="I603">
        <v>0</v>
      </c>
      <c r="J603">
        <v>0</v>
      </c>
      <c r="K603">
        <v>0</v>
      </c>
      <c r="L603">
        <v>0.201289</v>
      </c>
      <c r="M603" t="s">
        <v>27</v>
      </c>
      <c r="N603" t="s">
        <v>63</v>
      </c>
      <c r="O603" t="s">
        <v>64</v>
      </c>
      <c r="P603" t="s">
        <v>65</v>
      </c>
      <c r="Q603" t="s">
        <v>66</v>
      </c>
    </row>
    <row r="604" spans="1:17" x14ac:dyDescent="0.35">
      <c r="A604" t="s">
        <v>189</v>
      </c>
      <c r="B604">
        <v>38</v>
      </c>
      <c r="C604" t="s">
        <v>208</v>
      </c>
      <c r="D604" t="s">
        <v>61</v>
      </c>
      <c r="E604" t="s">
        <v>25</v>
      </c>
      <c r="F604" t="s">
        <v>62</v>
      </c>
      <c r="G604">
        <v>2</v>
      </c>
      <c r="H604">
        <v>0</v>
      </c>
      <c r="I604">
        <v>0</v>
      </c>
      <c r="J604">
        <v>0</v>
      </c>
      <c r="K604">
        <v>0</v>
      </c>
      <c r="L604">
        <v>0.208537</v>
      </c>
      <c r="M604" t="s">
        <v>27</v>
      </c>
      <c r="N604" t="s">
        <v>63</v>
      </c>
      <c r="O604" t="s">
        <v>64</v>
      </c>
      <c r="P604" t="s">
        <v>65</v>
      </c>
      <c r="Q604" t="s">
        <v>66</v>
      </c>
    </row>
    <row r="605" spans="1:17" x14ac:dyDescent="0.35">
      <c r="A605" t="s">
        <v>189</v>
      </c>
      <c r="B605">
        <v>39</v>
      </c>
      <c r="C605" t="s">
        <v>208</v>
      </c>
      <c r="D605" t="s">
        <v>61</v>
      </c>
      <c r="E605" t="s">
        <v>25</v>
      </c>
      <c r="F605" t="s">
        <v>62</v>
      </c>
      <c r="G605">
        <v>3</v>
      </c>
      <c r="H605">
        <v>0</v>
      </c>
      <c r="I605">
        <v>0</v>
      </c>
      <c r="J605">
        <v>0</v>
      </c>
      <c r="K605">
        <v>0</v>
      </c>
      <c r="L605">
        <v>0.199486</v>
      </c>
      <c r="M605" t="s">
        <v>27</v>
      </c>
      <c r="N605" t="s">
        <v>63</v>
      </c>
      <c r="O605" t="s">
        <v>64</v>
      </c>
      <c r="P605" t="s">
        <v>65</v>
      </c>
      <c r="Q605" t="s">
        <v>66</v>
      </c>
    </row>
    <row r="606" spans="1:17" x14ac:dyDescent="0.35">
      <c r="A606" t="s">
        <v>189</v>
      </c>
      <c r="B606">
        <v>40</v>
      </c>
      <c r="C606" t="s">
        <v>208</v>
      </c>
      <c r="D606" t="s">
        <v>61</v>
      </c>
      <c r="E606" t="s">
        <v>25</v>
      </c>
      <c r="F606" t="s">
        <v>62</v>
      </c>
      <c r="G606">
        <v>6</v>
      </c>
      <c r="H606">
        <v>0</v>
      </c>
      <c r="I606">
        <v>0</v>
      </c>
      <c r="J606">
        <v>0</v>
      </c>
      <c r="K606">
        <v>0</v>
      </c>
      <c r="L606">
        <v>0.21193600000000001</v>
      </c>
      <c r="M606" t="s">
        <v>27</v>
      </c>
      <c r="N606" t="s">
        <v>63</v>
      </c>
      <c r="O606" t="s">
        <v>64</v>
      </c>
      <c r="P606" t="s">
        <v>65</v>
      </c>
      <c r="Q606" t="s">
        <v>66</v>
      </c>
    </row>
    <row r="607" spans="1:17" x14ac:dyDescent="0.35">
      <c r="A607" t="s">
        <v>189</v>
      </c>
      <c r="B607">
        <v>41</v>
      </c>
      <c r="C607" t="s">
        <v>209</v>
      </c>
      <c r="D607" t="s">
        <v>61</v>
      </c>
      <c r="E607" t="s">
        <v>25</v>
      </c>
      <c r="F607" t="s">
        <v>62</v>
      </c>
      <c r="G607">
        <v>4</v>
      </c>
      <c r="H607">
        <v>0</v>
      </c>
      <c r="I607">
        <v>0</v>
      </c>
      <c r="J607">
        <v>0</v>
      </c>
      <c r="K607">
        <v>0</v>
      </c>
      <c r="L607">
        <v>0.33449600000000002</v>
      </c>
      <c r="M607" t="s">
        <v>27</v>
      </c>
      <c r="N607" t="s">
        <v>63</v>
      </c>
      <c r="O607" t="s">
        <v>64</v>
      </c>
      <c r="P607" t="s">
        <v>65</v>
      </c>
      <c r="Q607" t="s">
        <v>66</v>
      </c>
    </row>
    <row r="608" spans="1:17" x14ac:dyDescent="0.35">
      <c r="A608" t="s">
        <v>189</v>
      </c>
      <c r="B608">
        <v>42</v>
      </c>
      <c r="C608" t="s">
        <v>209</v>
      </c>
      <c r="D608" t="s">
        <v>61</v>
      </c>
      <c r="E608" t="s">
        <v>25</v>
      </c>
      <c r="F608" t="s">
        <v>62</v>
      </c>
      <c r="G608">
        <v>5</v>
      </c>
      <c r="H608">
        <v>0</v>
      </c>
      <c r="I608">
        <v>0</v>
      </c>
      <c r="J608">
        <v>0</v>
      </c>
      <c r="K608">
        <v>0</v>
      </c>
      <c r="L608">
        <v>0.26871899999999999</v>
      </c>
      <c r="M608" t="s">
        <v>27</v>
      </c>
      <c r="N608" t="s">
        <v>63</v>
      </c>
      <c r="O608" t="s">
        <v>64</v>
      </c>
      <c r="P608" t="s">
        <v>65</v>
      </c>
      <c r="Q608" t="s">
        <v>66</v>
      </c>
    </row>
    <row r="609" spans="1:17" x14ac:dyDescent="0.35">
      <c r="A609" t="s">
        <v>189</v>
      </c>
      <c r="B609">
        <v>43</v>
      </c>
      <c r="C609" t="s">
        <v>209</v>
      </c>
      <c r="D609" t="s">
        <v>61</v>
      </c>
      <c r="E609" t="s">
        <v>25</v>
      </c>
      <c r="F609" t="s">
        <v>62</v>
      </c>
      <c r="G609">
        <v>4</v>
      </c>
      <c r="H609">
        <v>0</v>
      </c>
      <c r="I609">
        <v>0</v>
      </c>
      <c r="J609">
        <v>0</v>
      </c>
      <c r="K609">
        <v>0</v>
      </c>
      <c r="L609">
        <v>0.22458700000000001</v>
      </c>
      <c r="M609" t="s">
        <v>27</v>
      </c>
      <c r="N609" t="s">
        <v>63</v>
      </c>
      <c r="O609" t="s">
        <v>64</v>
      </c>
      <c r="P609" t="s">
        <v>65</v>
      </c>
      <c r="Q609" t="s">
        <v>66</v>
      </c>
    </row>
    <row r="610" spans="1:17" x14ac:dyDescent="0.35">
      <c r="A610" t="s">
        <v>189</v>
      </c>
      <c r="B610">
        <v>44</v>
      </c>
      <c r="C610" t="s">
        <v>210</v>
      </c>
      <c r="D610" t="s">
        <v>61</v>
      </c>
      <c r="E610" t="s">
        <v>25</v>
      </c>
      <c r="F610" t="s">
        <v>62</v>
      </c>
      <c r="G610">
        <v>18</v>
      </c>
      <c r="H610">
        <v>0</v>
      </c>
      <c r="I610">
        <v>0</v>
      </c>
      <c r="J610">
        <v>0</v>
      </c>
      <c r="K610">
        <v>0</v>
      </c>
      <c r="L610">
        <v>0.23632700000000001</v>
      </c>
      <c r="M610" t="s">
        <v>27</v>
      </c>
      <c r="N610" t="s">
        <v>63</v>
      </c>
      <c r="O610" t="s">
        <v>64</v>
      </c>
      <c r="P610" t="s">
        <v>65</v>
      </c>
      <c r="Q610" t="s">
        <v>66</v>
      </c>
    </row>
    <row r="611" spans="1:17" x14ac:dyDescent="0.35">
      <c r="A611" t="s">
        <v>189</v>
      </c>
      <c r="B611">
        <v>45</v>
      </c>
      <c r="C611" t="s">
        <v>211</v>
      </c>
      <c r="D611" t="s">
        <v>61</v>
      </c>
      <c r="E611" t="s">
        <v>25</v>
      </c>
      <c r="F611" t="s">
        <v>62</v>
      </c>
      <c r="G611">
        <v>3</v>
      </c>
      <c r="H611">
        <v>0</v>
      </c>
      <c r="I611">
        <v>0</v>
      </c>
      <c r="J611">
        <v>0</v>
      </c>
      <c r="K611">
        <v>0</v>
      </c>
      <c r="L611">
        <v>0.58997900000000003</v>
      </c>
      <c r="M611" t="s">
        <v>27</v>
      </c>
      <c r="N611" t="s">
        <v>63</v>
      </c>
      <c r="O611" t="s">
        <v>64</v>
      </c>
      <c r="P611" t="s">
        <v>65</v>
      </c>
      <c r="Q611" t="s">
        <v>66</v>
      </c>
    </row>
    <row r="612" spans="1:17" x14ac:dyDescent="0.35">
      <c r="A612" t="s">
        <v>189</v>
      </c>
      <c r="B612">
        <v>46</v>
      </c>
      <c r="C612" t="s">
        <v>211</v>
      </c>
      <c r="D612" t="s">
        <v>61</v>
      </c>
      <c r="E612" t="s">
        <v>25</v>
      </c>
      <c r="F612" t="s">
        <v>62</v>
      </c>
      <c r="G612">
        <v>4</v>
      </c>
      <c r="H612">
        <v>0</v>
      </c>
      <c r="I612">
        <v>0</v>
      </c>
      <c r="J612">
        <v>0</v>
      </c>
      <c r="K612">
        <v>0</v>
      </c>
      <c r="L612">
        <v>0.18886600000000001</v>
      </c>
      <c r="M612" t="s">
        <v>27</v>
      </c>
      <c r="N612" t="s">
        <v>63</v>
      </c>
      <c r="O612" t="s">
        <v>64</v>
      </c>
      <c r="P612" t="s">
        <v>65</v>
      </c>
      <c r="Q612" t="s">
        <v>66</v>
      </c>
    </row>
    <row r="613" spans="1:17" x14ac:dyDescent="0.35">
      <c r="A613" t="s">
        <v>189</v>
      </c>
      <c r="B613">
        <v>47</v>
      </c>
      <c r="C613" t="s">
        <v>211</v>
      </c>
      <c r="D613" t="s">
        <v>61</v>
      </c>
      <c r="E613" t="s">
        <v>25</v>
      </c>
      <c r="F613" t="s">
        <v>62</v>
      </c>
      <c r="G613">
        <v>3</v>
      </c>
      <c r="H613">
        <v>0</v>
      </c>
      <c r="I613">
        <v>0</v>
      </c>
      <c r="J613">
        <v>0</v>
      </c>
      <c r="K613">
        <v>0</v>
      </c>
      <c r="L613">
        <v>0.209261</v>
      </c>
      <c r="M613" t="s">
        <v>27</v>
      </c>
      <c r="N613" t="s">
        <v>63</v>
      </c>
      <c r="O613" t="s">
        <v>64</v>
      </c>
      <c r="P613" t="s">
        <v>65</v>
      </c>
      <c r="Q613" t="s">
        <v>66</v>
      </c>
    </row>
    <row r="614" spans="1:17" x14ac:dyDescent="0.35">
      <c r="A614" t="s">
        <v>189</v>
      </c>
      <c r="B614">
        <v>48</v>
      </c>
      <c r="C614" t="s">
        <v>212</v>
      </c>
      <c r="D614" t="s">
        <v>61</v>
      </c>
      <c r="E614" t="s">
        <v>25</v>
      </c>
      <c r="F614" t="s">
        <v>62</v>
      </c>
      <c r="G614">
        <v>4</v>
      </c>
      <c r="H614">
        <v>0</v>
      </c>
      <c r="I614">
        <v>0</v>
      </c>
      <c r="J614">
        <v>0</v>
      </c>
      <c r="K614">
        <v>0</v>
      </c>
      <c r="L614">
        <v>0.20728199999999999</v>
      </c>
      <c r="M614" t="s">
        <v>27</v>
      </c>
      <c r="N614" t="s">
        <v>63</v>
      </c>
      <c r="O614" t="s">
        <v>64</v>
      </c>
      <c r="P614" t="s">
        <v>65</v>
      </c>
      <c r="Q614" t="s">
        <v>66</v>
      </c>
    </row>
    <row r="615" spans="1:17" x14ac:dyDescent="0.35">
      <c r="A615" t="s">
        <v>189</v>
      </c>
      <c r="B615">
        <v>49</v>
      </c>
      <c r="C615" t="s">
        <v>212</v>
      </c>
      <c r="D615" t="s">
        <v>61</v>
      </c>
      <c r="E615" t="s">
        <v>25</v>
      </c>
      <c r="F615" t="s">
        <v>62</v>
      </c>
      <c r="G615">
        <v>5</v>
      </c>
      <c r="H615">
        <v>0</v>
      </c>
      <c r="I615">
        <v>0</v>
      </c>
      <c r="J615">
        <v>0</v>
      </c>
      <c r="K615">
        <v>0</v>
      </c>
      <c r="L615">
        <v>0.23163</v>
      </c>
      <c r="M615" t="s">
        <v>27</v>
      </c>
      <c r="N615" t="s">
        <v>63</v>
      </c>
      <c r="O615" t="s">
        <v>64</v>
      </c>
      <c r="P615" t="s">
        <v>65</v>
      </c>
      <c r="Q615" t="s">
        <v>66</v>
      </c>
    </row>
    <row r="616" spans="1:17" x14ac:dyDescent="0.35">
      <c r="A616" t="s">
        <v>189</v>
      </c>
      <c r="B616">
        <v>50</v>
      </c>
      <c r="C616" t="s">
        <v>213</v>
      </c>
      <c r="D616" t="s">
        <v>61</v>
      </c>
      <c r="E616" t="s">
        <v>25</v>
      </c>
      <c r="F616" t="s">
        <v>62</v>
      </c>
      <c r="G616">
        <v>4</v>
      </c>
      <c r="H616">
        <v>0</v>
      </c>
      <c r="I616">
        <v>0</v>
      </c>
      <c r="J616">
        <v>0</v>
      </c>
      <c r="K616">
        <v>0</v>
      </c>
      <c r="L616">
        <v>0.19070100000000001</v>
      </c>
      <c r="M616" t="s">
        <v>27</v>
      </c>
      <c r="N616" t="s">
        <v>63</v>
      </c>
      <c r="O616" t="s">
        <v>64</v>
      </c>
      <c r="P616" t="s">
        <v>65</v>
      </c>
      <c r="Q616" t="s">
        <v>66</v>
      </c>
    </row>
    <row r="617" spans="1:17" x14ac:dyDescent="0.35">
      <c r="A617" t="s">
        <v>189</v>
      </c>
      <c r="B617">
        <v>51</v>
      </c>
      <c r="C617" t="s">
        <v>213</v>
      </c>
      <c r="D617" t="s">
        <v>61</v>
      </c>
      <c r="E617" t="s">
        <v>25</v>
      </c>
      <c r="F617" t="s">
        <v>62</v>
      </c>
      <c r="G617">
        <v>25</v>
      </c>
      <c r="H617">
        <v>0</v>
      </c>
      <c r="I617">
        <v>0</v>
      </c>
      <c r="J617">
        <v>0</v>
      </c>
      <c r="K617">
        <v>0</v>
      </c>
      <c r="L617">
        <v>0.22250500000000001</v>
      </c>
      <c r="M617" t="s">
        <v>27</v>
      </c>
      <c r="N617" t="s">
        <v>63</v>
      </c>
      <c r="O617" t="s">
        <v>64</v>
      </c>
      <c r="P617" t="s">
        <v>65</v>
      </c>
      <c r="Q617" t="s">
        <v>66</v>
      </c>
    </row>
    <row r="618" spans="1:17" x14ac:dyDescent="0.35">
      <c r="A618" t="s">
        <v>189</v>
      </c>
      <c r="B618">
        <v>52</v>
      </c>
      <c r="C618" t="s">
        <v>214</v>
      </c>
      <c r="D618" t="s">
        <v>82</v>
      </c>
      <c r="E618" t="s">
        <v>25</v>
      </c>
      <c r="F618" t="s">
        <v>62</v>
      </c>
      <c r="G618">
        <v>200</v>
      </c>
      <c r="H618">
        <v>0</v>
      </c>
      <c r="I618">
        <v>0</v>
      </c>
      <c r="J618">
        <v>0</v>
      </c>
      <c r="K618">
        <v>3.9999999999999998E-6</v>
      </c>
      <c r="L618">
        <v>0.36757899999999999</v>
      </c>
      <c r="M618" t="s">
        <v>27</v>
      </c>
      <c r="N618" t="s">
        <v>63</v>
      </c>
      <c r="O618" t="s">
        <v>113</v>
      </c>
      <c r="P618" t="s">
        <v>114</v>
      </c>
      <c r="Q618" t="s">
        <v>115</v>
      </c>
    </row>
    <row r="619" spans="1:17" x14ac:dyDescent="0.35">
      <c r="A619" t="s">
        <v>189</v>
      </c>
      <c r="B619">
        <v>53</v>
      </c>
      <c r="C619" t="s">
        <v>214</v>
      </c>
      <c r="D619" t="s">
        <v>82</v>
      </c>
      <c r="E619" t="s">
        <v>25</v>
      </c>
      <c r="F619" t="s">
        <v>62</v>
      </c>
      <c r="G619">
        <v>206</v>
      </c>
      <c r="H619">
        <v>0</v>
      </c>
      <c r="I619">
        <v>0</v>
      </c>
      <c r="J619">
        <v>0</v>
      </c>
      <c r="K619">
        <v>3.9999999999999998E-6</v>
      </c>
      <c r="L619">
        <v>0.39378400000000002</v>
      </c>
      <c r="M619" t="s">
        <v>27</v>
      </c>
      <c r="N619" t="s">
        <v>63</v>
      </c>
      <c r="O619" t="s">
        <v>113</v>
      </c>
      <c r="P619" t="s">
        <v>114</v>
      </c>
      <c r="Q619" t="s">
        <v>115</v>
      </c>
    </row>
    <row r="620" spans="1:17" x14ac:dyDescent="0.35">
      <c r="A620" t="s">
        <v>189</v>
      </c>
      <c r="B620">
        <v>54</v>
      </c>
      <c r="C620" t="s">
        <v>214</v>
      </c>
      <c r="D620" t="s">
        <v>82</v>
      </c>
      <c r="E620" t="s">
        <v>25</v>
      </c>
      <c r="F620" t="s">
        <v>62</v>
      </c>
      <c r="G620">
        <v>200</v>
      </c>
      <c r="H620">
        <v>0</v>
      </c>
      <c r="I620">
        <v>0</v>
      </c>
      <c r="J620">
        <v>0</v>
      </c>
      <c r="K620">
        <v>3.9999999999999998E-6</v>
      </c>
      <c r="L620">
        <v>0.42369699999999999</v>
      </c>
      <c r="M620" t="s">
        <v>27</v>
      </c>
      <c r="N620" t="s">
        <v>63</v>
      </c>
      <c r="O620" t="s">
        <v>113</v>
      </c>
      <c r="P620" t="s">
        <v>114</v>
      </c>
      <c r="Q620" t="s">
        <v>115</v>
      </c>
    </row>
    <row r="621" spans="1:17" x14ac:dyDescent="0.35">
      <c r="A621" t="s">
        <v>189</v>
      </c>
      <c r="B621">
        <v>55</v>
      </c>
      <c r="C621" t="s">
        <v>215</v>
      </c>
      <c r="D621" t="s">
        <v>82</v>
      </c>
      <c r="E621" t="s">
        <v>25</v>
      </c>
      <c r="F621" t="s">
        <v>26</v>
      </c>
      <c r="G621">
        <v>8595</v>
      </c>
      <c r="H621">
        <v>6016</v>
      </c>
      <c r="I621">
        <v>599</v>
      </c>
      <c r="J621">
        <v>0</v>
      </c>
      <c r="K621">
        <v>1.9956999999999999E-2</v>
      </c>
      <c r="L621">
        <v>5.7164979999999996</v>
      </c>
      <c r="M621" t="s">
        <v>27</v>
      </c>
      <c r="N621" t="s">
        <v>28</v>
      </c>
      <c r="O621" t="s">
        <v>113</v>
      </c>
      <c r="P621" t="s">
        <v>114</v>
      </c>
      <c r="Q621" t="s">
        <v>115</v>
      </c>
    </row>
    <row r="622" spans="1:17" x14ac:dyDescent="0.35">
      <c r="A622" t="s">
        <v>189</v>
      </c>
      <c r="B622">
        <v>56</v>
      </c>
      <c r="C622" t="s">
        <v>215</v>
      </c>
      <c r="D622" t="s">
        <v>82</v>
      </c>
      <c r="E622" t="s">
        <v>25</v>
      </c>
      <c r="F622" t="s">
        <v>26</v>
      </c>
      <c r="G622">
        <v>9549</v>
      </c>
      <c r="H622">
        <v>1920</v>
      </c>
      <c r="I622">
        <v>397</v>
      </c>
      <c r="J622">
        <v>0</v>
      </c>
      <c r="K622">
        <v>2.5441999999999999E-2</v>
      </c>
      <c r="L622">
        <v>6.364344</v>
      </c>
      <c r="M622" t="s">
        <v>27</v>
      </c>
      <c r="N622" t="s">
        <v>28</v>
      </c>
      <c r="O622" t="s">
        <v>113</v>
      </c>
      <c r="P622" t="s">
        <v>114</v>
      </c>
      <c r="Q622" t="s">
        <v>115</v>
      </c>
    </row>
    <row r="623" spans="1:17" x14ac:dyDescent="0.35">
      <c r="A623" t="s">
        <v>189</v>
      </c>
      <c r="B623">
        <v>57</v>
      </c>
      <c r="C623" t="s">
        <v>216</v>
      </c>
      <c r="D623" t="s">
        <v>82</v>
      </c>
      <c r="E623" t="s">
        <v>25</v>
      </c>
      <c r="F623" t="s">
        <v>26</v>
      </c>
      <c r="G623">
        <v>10023</v>
      </c>
      <c r="H623">
        <v>4992</v>
      </c>
      <c r="I623">
        <v>588</v>
      </c>
      <c r="J623">
        <v>0</v>
      </c>
      <c r="K623">
        <v>2.4698000000000001E-2</v>
      </c>
      <c r="L623">
        <v>6.7626369999999998</v>
      </c>
      <c r="M623" t="s">
        <v>27</v>
      </c>
      <c r="N623" t="s">
        <v>28</v>
      </c>
      <c r="O623" t="s">
        <v>113</v>
      </c>
      <c r="P623" t="s">
        <v>114</v>
      </c>
      <c r="Q623" t="s">
        <v>115</v>
      </c>
    </row>
    <row r="624" spans="1:17" x14ac:dyDescent="0.35">
      <c r="A624" t="s">
        <v>189</v>
      </c>
      <c r="B624">
        <v>58</v>
      </c>
      <c r="C624" t="s">
        <v>217</v>
      </c>
      <c r="D624" t="s">
        <v>121</v>
      </c>
      <c r="E624" t="s">
        <v>25</v>
      </c>
      <c r="F624" t="s">
        <v>26</v>
      </c>
      <c r="G624">
        <v>7617</v>
      </c>
      <c r="H624">
        <v>0</v>
      </c>
      <c r="I624">
        <v>562</v>
      </c>
      <c r="J624">
        <v>0</v>
      </c>
      <c r="K624">
        <v>2.4663000000000001E-2</v>
      </c>
      <c r="L624">
        <v>7.9115190000000002</v>
      </c>
      <c r="M624" t="s">
        <v>27</v>
      </c>
      <c r="N624" t="s">
        <v>28</v>
      </c>
      <c r="O624" t="s">
        <v>122</v>
      </c>
      <c r="P624" t="s">
        <v>123</v>
      </c>
      <c r="Q624" t="s">
        <v>124</v>
      </c>
    </row>
    <row r="625" spans="1:17" x14ac:dyDescent="0.35">
      <c r="A625" t="s">
        <v>189</v>
      </c>
      <c r="B625">
        <v>59</v>
      </c>
      <c r="C625" t="s">
        <v>218</v>
      </c>
      <c r="D625" t="s">
        <v>121</v>
      </c>
      <c r="E625" t="s">
        <v>25</v>
      </c>
      <c r="F625" t="s">
        <v>26</v>
      </c>
      <c r="G625">
        <v>7802</v>
      </c>
      <c r="H625">
        <v>0</v>
      </c>
      <c r="I625">
        <v>711</v>
      </c>
      <c r="J625">
        <v>0</v>
      </c>
      <c r="K625">
        <v>2.6615E-2</v>
      </c>
      <c r="L625">
        <v>9.8046830000000007</v>
      </c>
      <c r="M625" t="s">
        <v>27</v>
      </c>
      <c r="N625" t="s">
        <v>28</v>
      </c>
      <c r="O625" t="s">
        <v>122</v>
      </c>
      <c r="P625" t="s">
        <v>123</v>
      </c>
      <c r="Q625" t="s">
        <v>124</v>
      </c>
    </row>
    <row r="626" spans="1:17" x14ac:dyDescent="0.35">
      <c r="A626" t="s">
        <v>189</v>
      </c>
      <c r="B626">
        <v>60</v>
      </c>
      <c r="C626" t="s">
        <v>219</v>
      </c>
      <c r="D626" t="s">
        <v>121</v>
      </c>
      <c r="E626" t="s">
        <v>25</v>
      </c>
      <c r="F626" t="s">
        <v>26</v>
      </c>
      <c r="G626">
        <v>10277</v>
      </c>
      <c r="H626">
        <v>0</v>
      </c>
      <c r="I626">
        <v>1177</v>
      </c>
      <c r="J626">
        <v>0</v>
      </c>
      <c r="K626">
        <v>3.7463000000000003E-2</v>
      </c>
      <c r="L626">
        <v>12.553079</v>
      </c>
      <c r="M626" t="s">
        <v>27</v>
      </c>
      <c r="N626" t="s">
        <v>28</v>
      </c>
      <c r="O626" t="s">
        <v>122</v>
      </c>
      <c r="P626" t="s">
        <v>123</v>
      </c>
      <c r="Q626" t="s">
        <v>124</v>
      </c>
    </row>
    <row r="627" spans="1:17" x14ac:dyDescent="0.35">
      <c r="A627" t="s">
        <v>189</v>
      </c>
      <c r="B627">
        <v>61</v>
      </c>
      <c r="C627" t="s">
        <v>220</v>
      </c>
      <c r="D627" t="s">
        <v>121</v>
      </c>
      <c r="E627" t="s">
        <v>25</v>
      </c>
      <c r="F627" t="s">
        <v>26</v>
      </c>
      <c r="G627">
        <v>8698</v>
      </c>
      <c r="H627">
        <v>0</v>
      </c>
      <c r="I627">
        <v>1350</v>
      </c>
      <c r="J627">
        <v>0</v>
      </c>
      <c r="K627">
        <v>3.5244999999999999E-2</v>
      </c>
      <c r="L627">
        <v>13.968895</v>
      </c>
      <c r="M627" t="s">
        <v>27</v>
      </c>
      <c r="N627" t="s">
        <v>28</v>
      </c>
      <c r="O627" t="s">
        <v>122</v>
      </c>
      <c r="P627" t="s">
        <v>123</v>
      </c>
      <c r="Q627" t="s">
        <v>124</v>
      </c>
    </row>
    <row r="628" spans="1:17" x14ac:dyDescent="0.35">
      <c r="A628" t="s">
        <v>189</v>
      </c>
      <c r="B628">
        <v>62</v>
      </c>
      <c r="C628" t="s">
        <v>220</v>
      </c>
      <c r="D628" t="s">
        <v>121</v>
      </c>
      <c r="E628" t="s">
        <v>25</v>
      </c>
      <c r="F628" t="s">
        <v>26</v>
      </c>
      <c r="G628">
        <v>10639</v>
      </c>
      <c r="H628">
        <v>0</v>
      </c>
      <c r="I628">
        <v>1352</v>
      </c>
      <c r="J628">
        <v>0</v>
      </c>
      <c r="K628">
        <v>4.0118000000000001E-2</v>
      </c>
      <c r="L628">
        <v>13.969673</v>
      </c>
      <c r="M628" t="s">
        <v>27</v>
      </c>
      <c r="N628" t="s">
        <v>28</v>
      </c>
      <c r="O628" t="s">
        <v>122</v>
      </c>
      <c r="P628" t="s">
        <v>123</v>
      </c>
      <c r="Q628" t="s">
        <v>124</v>
      </c>
    </row>
    <row r="629" spans="1:17" x14ac:dyDescent="0.35">
      <c r="A629" t="s">
        <v>189</v>
      </c>
      <c r="B629">
        <v>63</v>
      </c>
      <c r="C629" t="s">
        <v>221</v>
      </c>
      <c r="D629" t="s">
        <v>121</v>
      </c>
      <c r="E629" t="s">
        <v>25</v>
      </c>
      <c r="F629" t="s">
        <v>26</v>
      </c>
      <c r="G629">
        <v>11261</v>
      </c>
      <c r="H629">
        <v>0</v>
      </c>
      <c r="I629">
        <v>1815</v>
      </c>
      <c r="J629">
        <v>0</v>
      </c>
      <c r="K629">
        <v>4.6302999999999997E-2</v>
      </c>
      <c r="L629">
        <v>16.245135000000001</v>
      </c>
      <c r="M629" t="s">
        <v>27</v>
      </c>
      <c r="N629" t="s">
        <v>28</v>
      </c>
      <c r="O629" t="s">
        <v>122</v>
      </c>
      <c r="P629" t="s">
        <v>123</v>
      </c>
      <c r="Q629" t="s">
        <v>124</v>
      </c>
    </row>
    <row r="630" spans="1:17" x14ac:dyDescent="0.35">
      <c r="A630" t="s">
        <v>189</v>
      </c>
      <c r="B630">
        <v>64</v>
      </c>
      <c r="C630" t="s">
        <v>222</v>
      </c>
      <c r="D630" t="s">
        <v>121</v>
      </c>
      <c r="E630" t="s">
        <v>25</v>
      </c>
      <c r="F630" t="s">
        <v>26</v>
      </c>
      <c r="G630">
        <v>13152</v>
      </c>
      <c r="H630">
        <v>12928</v>
      </c>
      <c r="I630">
        <v>1788</v>
      </c>
      <c r="J630">
        <v>0</v>
      </c>
      <c r="K630">
        <v>3.4599999999999999E-2</v>
      </c>
      <c r="L630">
        <v>18.708113999999998</v>
      </c>
      <c r="M630" t="s">
        <v>27</v>
      </c>
      <c r="N630" t="s">
        <v>28</v>
      </c>
      <c r="O630" t="s">
        <v>122</v>
      </c>
      <c r="P630" t="s">
        <v>123</v>
      </c>
      <c r="Q630" t="s">
        <v>124</v>
      </c>
    </row>
    <row r="631" spans="1:17" x14ac:dyDescent="0.35">
      <c r="A631" t="s">
        <v>189</v>
      </c>
      <c r="B631">
        <v>65</v>
      </c>
      <c r="C631" t="s">
        <v>223</v>
      </c>
      <c r="D631" t="s">
        <v>133</v>
      </c>
      <c r="E631" t="s">
        <v>25</v>
      </c>
      <c r="F631" t="s">
        <v>26</v>
      </c>
      <c r="G631">
        <v>2257</v>
      </c>
      <c r="H631">
        <v>0</v>
      </c>
      <c r="I631">
        <v>297</v>
      </c>
      <c r="J631">
        <v>0</v>
      </c>
      <c r="K631">
        <v>8.6130000000000009E-3</v>
      </c>
      <c r="L631">
        <v>3.0038749999999999</v>
      </c>
      <c r="M631" t="s">
        <v>27</v>
      </c>
      <c r="N631" t="s">
        <v>28</v>
      </c>
      <c r="O631" t="s">
        <v>122</v>
      </c>
      <c r="P631" t="s">
        <v>123</v>
      </c>
      <c r="Q631" t="s">
        <v>134</v>
      </c>
    </row>
    <row r="632" spans="1:17" x14ac:dyDescent="0.35">
      <c r="A632" t="s">
        <v>224</v>
      </c>
      <c r="B632">
        <v>1</v>
      </c>
      <c r="C632" t="s">
        <v>225</v>
      </c>
      <c r="D632" t="s">
        <v>24</v>
      </c>
      <c r="E632" t="s">
        <v>25</v>
      </c>
      <c r="F632" t="s">
        <v>26</v>
      </c>
      <c r="G632">
        <v>1174</v>
      </c>
      <c r="H632">
        <v>1024</v>
      </c>
      <c r="I632">
        <v>54</v>
      </c>
      <c r="J632">
        <v>0</v>
      </c>
      <c r="K632">
        <v>2.1949999999999999E-3</v>
      </c>
      <c r="L632">
        <v>1.653699</v>
      </c>
      <c r="M632" t="s">
        <v>27</v>
      </c>
      <c r="N632" t="s">
        <v>28</v>
      </c>
      <c r="O632" t="s">
        <v>29</v>
      </c>
      <c r="P632" t="s">
        <v>30</v>
      </c>
      <c r="Q632" t="s">
        <v>31</v>
      </c>
    </row>
    <row r="633" spans="1:17" x14ac:dyDescent="0.35">
      <c r="A633" t="s">
        <v>224</v>
      </c>
      <c r="B633">
        <v>2</v>
      </c>
      <c r="C633" t="s">
        <v>226</v>
      </c>
      <c r="D633" t="s">
        <v>33</v>
      </c>
      <c r="E633" t="s">
        <v>25</v>
      </c>
      <c r="F633" t="s">
        <v>34</v>
      </c>
      <c r="G633">
        <v>425</v>
      </c>
      <c r="H633">
        <v>0</v>
      </c>
      <c r="I633">
        <v>92</v>
      </c>
      <c r="J633">
        <v>0</v>
      </c>
      <c r="K633">
        <v>1.1900000000000001E-4</v>
      </c>
      <c r="L633">
        <v>2.022494</v>
      </c>
      <c r="M633" t="s">
        <v>27</v>
      </c>
      <c r="N633" t="s">
        <v>28</v>
      </c>
      <c r="O633" t="s">
        <v>35</v>
      </c>
      <c r="P633" t="s">
        <v>36</v>
      </c>
      <c r="Q633" t="s">
        <v>37</v>
      </c>
    </row>
    <row r="634" spans="1:17" x14ac:dyDescent="0.35">
      <c r="A634" t="s">
        <v>224</v>
      </c>
      <c r="B634">
        <v>3</v>
      </c>
      <c r="C634" t="s">
        <v>227</v>
      </c>
      <c r="D634" t="s">
        <v>39</v>
      </c>
      <c r="E634" t="s">
        <v>40</v>
      </c>
      <c r="F634" t="s">
        <v>41</v>
      </c>
      <c r="G634">
        <v>679</v>
      </c>
      <c r="H634">
        <v>0</v>
      </c>
      <c r="I634">
        <v>1860</v>
      </c>
      <c r="J634">
        <v>5.0000000000000001E-3</v>
      </c>
      <c r="K634">
        <v>7.5399999999999998E-3</v>
      </c>
      <c r="L634">
        <v>24.265657000000001</v>
      </c>
      <c r="M634" t="s">
        <v>27</v>
      </c>
      <c r="N634" t="s">
        <v>42</v>
      </c>
      <c r="O634" t="s">
        <v>43</v>
      </c>
      <c r="P634" t="s">
        <v>44</v>
      </c>
      <c r="Q634" t="s">
        <v>45</v>
      </c>
    </row>
    <row r="635" spans="1:17" x14ac:dyDescent="0.35">
      <c r="A635" t="s">
        <v>224</v>
      </c>
      <c r="B635">
        <v>4</v>
      </c>
      <c r="C635" t="s">
        <v>228</v>
      </c>
      <c r="D635" t="s">
        <v>39</v>
      </c>
      <c r="E635" t="s">
        <v>47</v>
      </c>
      <c r="F635" t="s">
        <v>47</v>
      </c>
      <c r="G635">
        <v>0</v>
      </c>
      <c r="H635">
        <v>0</v>
      </c>
      <c r="I635">
        <v>0</v>
      </c>
      <c r="J635">
        <v>1E-3</v>
      </c>
      <c r="K635">
        <v>1E-3</v>
      </c>
      <c r="L635">
        <v>1.2174700000000001</v>
      </c>
      <c r="M635" t="s">
        <v>27</v>
      </c>
      <c r="N635" t="s">
        <v>48</v>
      </c>
      <c r="O635" t="s">
        <v>49</v>
      </c>
      <c r="P635" t="s">
        <v>50</v>
      </c>
      <c r="Q635" t="s">
        <v>51</v>
      </c>
    </row>
    <row r="636" spans="1:17" x14ac:dyDescent="0.35">
      <c r="A636" t="s">
        <v>224</v>
      </c>
      <c r="B636">
        <v>5</v>
      </c>
      <c r="C636" t="s">
        <v>229</v>
      </c>
      <c r="D636" t="s">
        <v>55</v>
      </c>
      <c r="E636" t="s">
        <v>25</v>
      </c>
      <c r="F636" t="s">
        <v>26</v>
      </c>
      <c r="G636">
        <v>11012</v>
      </c>
      <c r="H636">
        <v>0</v>
      </c>
      <c r="I636">
        <v>1403</v>
      </c>
      <c r="J636">
        <v>0</v>
      </c>
      <c r="K636">
        <v>4.156E-2</v>
      </c>
      <c r="L636">
        <v>17.432186999999999</v>
      </c>
      <c r="M636" t="s">
        <v>27</v>
      </c>
      <c r="N636" t="s">
        <v>28</v>
      </c>
      <c r="O636" t="s">
        <v>56</v>
      </c>
      <c r="P636" t="s">
        <v>57</v>
      </c>
      <c r="Q636" t="s">
        <v>58</v>
      </c>
    </row>
    <row r="637" spans="1:17" x14ac:dyDescent="0.35">
      <c r="A637" t="s">
        <v>224</v>
      </c>
      <c r="B637">
        <v>6</v>
      </c>
      <c r="C637" t="s">
        <v>230</v>
      </c>
      <c r="D637" t="s">
        <v>61</v>
      </c>
      <c r="E637" t="s">
        <v>25</v>
      </c>
      <c r="F637" t="s">
        <v>62</v>
      </c>
      <c r="G637">
        <v>5</v>
      </c>
      <c r="H637">
        <v>0</v>
      </c>
      <c r="I637">
        <v>0</v>
      </c>
      <c r="J637">
        <v>0</v>
      </c>
      <c r="K637">
        <v>0</v>
      </c>
      <c r="L637">
        <v>0.72835700000000003</v>
      </c>
      <c r="M637" t="s">
        <v>27</v>
      </c>
      <c r="N637" t="s">
        <v>63</v>
      </c>
      <c r="O637" t="s">
        <v>64</v>
      </c>
      <c r="P637" t="s">
        <v>65</v>
      </c>
      <c r="Q637" t="s">
        <v>66</v>
      </c>
    </row>
    <row r="638" spans="1:17" x14ac:dyDescent="0.35">
      <c r="A638" t="s">
        <v>224</v>
      </c>
      <c r="B638">
        <v>7</v>
      </c>
      <c r="C638" t="s">
        <v>230</v>
      </c>
      <c r="D638" t="s">
        <v>61</v>
      </c>
      <c r="E638" t="s">
        <v>25</v>
      </c>
      <c r="F638" t="s">
        <v>62</v>
      </c>
      <c r="G638">
        <v>7</v>
      </c>
      <c r="H638">
        <v>0</v>
      </c>
      <c r="I638">
        <v>0</v>
      </c>
      <c r="J638">
        <v>0</v>
      </c>
      <c r="K638">
        <v>0</v>
      </c>
      <c r="L638">
        <v>0.42694300000000002</v>
      </c>
      <c r="M638" t="s">
        <v>27</v>
      </c>
      <c r="N638" t="s">
        <v>63</v>
      </c>
      <c r="O638" t="s">
        <v>64</v>
      </c>
      <c r="P638" t="s">
        <v>65</v>
      </c>
      <c r="Q638" t="s">
        <v>66</v>
      </c>
    </row>
    <row r="639" spans="1:17" x14ac:dyDescent="0.35">
      <c r="A639" t="s">
        <v>224</v>
      </c>
      <c r="B639">
        <v>8</v>
      </c>
      <c r="C639" t="s">
        <v>231</v>
      </c>
      <c r="D639" t="s">
        <v>61</v>
      </c>
      <c r="E639" t="s">
        <v>25</v>
      </c>
      <c r="F639" t="s">
        <v>62</v>
      </c>
      <c r="G639">
        <v>5</v>
      </c>
      <c r="H639">
        <v>0</v>
      </c>
      <c r="I639">
        <v>0</v>
      </c>
      <c r="J639">
        <v>0</v>
      </c>
      <c r="K639">
        <v>0</v>
      </c>
      <c r="L639">
        <v>0.19452900000000001</v>
      </c>
      <c r="M639" t="s">
        <v>27</v>
      </c>
      <c r="N639" t="s">
        <v>63</v>
      </c>
      <c r="O639" t="s">
        <v>64</v>
      </c>
      <c r="P639" t="s">
        <v>65</v>
      </c>
      <c r="Q639" t="s">
        <v>66</v>
      </c>
    </row>
    <row r="640" spans="1:17" x14ac:dyDescent="0.35">
      <c r="A640" t="s">
        <v>224</v>
      </c>
      <c r="B640">
        <v>9</v>
      </c>
      <c r="C640" t="s">
        <v>231</v>
      </c>
      <c r="D640" t="s">
        <v>61</v>
      </c>
      <c r="E640" t="s">
        <v>25</v>
      </c>
      <c r="F640" t="s">
        <v>62</v>
      </c>
      <c r="G640">
        <v>8</v>
      </c>
      <c r="H640">
        <v>0</v>
      </c>
      <c r="I640">
        <v>0</v>
      </c>
      <c r="J640">
        <v>0</v>
      </c>
      <c r="K640">
        <v>0</v>
      </c>
      <c r="L640">
        <v>0.21216599999999999</v>
      </c>
      <c r="M640" t="s">
        <v>27</v>
      </c>
      <c r="N640" t="s">
        <v>63</v>
      </c>
      <c r="O640" t="s">
        <v>64</v>
      </c>
      <c r="P640" t="s">
        <v>65</v>
      </c>
      <c r="Q640" t="s">
        <v>66</v>
      </c>
    </row>
    <row r="641" spans="1:17" x14ac:dyDescent="0.35">
      <c r="A641" t="s">
        <v>224</v>
      </c>
      <c r="B641">
        <v>10</v>
      </c>
      <c r="C641" t="s">
        <v>231</v>
      </c>
      <c r="D641" t="s">
        <v>61</v>
      </c>
      <c r="E641" t="s">
        <v>25</v>
      </c>
      <c r="F641" t="s">
        <v>62</v>
      </c>
      <c r="G641">
        <v>3</v>
      </c>
      <c r="H641">
        <v>0</v>
      </c>
      <c r="I641">
        <v>0</v>
      </c>
      <c r="J641">
        <v>0</v>
      </c>
      <c r="K641">
        <v>0</v>
      </c>
      <c r="L641">
        <v>0.21867700000000001</v>
      </c>
      <c r="M641" t="s">
        <v>27</v>
      </c>
      <c r="N641" t="s">
        <v>63</v>
      </c>
      <c r="O641" t="s">
        <v>64</v>
      </c>
      <c r="P641" t="s">
        <v>65</v>
      </c>
      <c r="Q641" t="s">
        <v>66</v>
      </c>
    </row>
    <row r="642" spans="1:17" x14ac:dyDescent="0.35">
      <c r="A642" t="s">
        <v>224</v>
      </c>
      <c r="B642">
        <v>11</v>
      </c>
      <c r="C642" t="s">
        <v>232</v>
      </c>
      <c r="D642" t="s">
        <v>61</v>
      </c>
      <c r="E642" t="s">
        <v>25</v>
      </c>
      <c r="F642" t="s">
        <v>62</v>
      </c>
      <c r="G642">
        <v>6</v>
      </c>
      <c r="H642">
        <v>0</v>
      </c>
      <c r="I642">
        <v>0</v>
      </c>
      <c r="J642">
        <v>0</v>
      </c>
      <c r="K642">
        <v>0</v>
      </c>
      <c r="L642">
        <v>0.204738</v>
      </c>
      <c r="M642" t="s">
        <v>27</v>
      </c>
      <c r="N642" t="s">
        <v>63</v>
      </c>
      <c r="O642" t="s">
        <v>64</v>
      </c>
      <c r="P642" t="s">
        <v>65</v>
      </c>
      <c r="Q642" t="s">
        <v>66</v>
      </c>
    </row>
    <row r="643" spans="1:17" x14ac:dyDescent="0.35">
      <c r="A643" t="s">
        <v>224</v>
      </c>
      <c r="B643">
        <v>12</v>
      </c>
      <c r="C643" t="s">
        <v>232</v>
      </c>
      <c r="D643" t="s">
        <v>61</v>
      </c>
      <c r="E643" t="s">
        <v>25</v>
      </c>
      <c r="F643" t="s">
        <v>62</v>
      </c>
      <c r="G643">
        <v>4</v>
      </c>
      <c r="H643">
        <v>0</v>
      </c>
      <c r="I643">
        <v>0</v>
      </c>
      <c r="J643">
        <v>0</v>
      </c>
      <c r="K643">
        <v>0</v>
      </c>
      <c r="L643">
        <v>0.20911299999999999</v>
      </c>
      <c r="M643" t="s">
        <v>27</v>
      </c>
      <c r="N643" t="s">
        <v>63</v>
      </c>
      <c r="O643" t="s">
        <v>64</v>
      </c>
      <c r="P643" t="s">
        <v>65</v>
      </c>
      <c r="Q643" t="s">
        <v>66</v>
      </c>
    </row>
    <row r="644" spans="1:17" x14ac:dyDescent="0.35">
      <c r="A644" t="s">
        <v>224</v>
      </c>
      <c r="B644">
        <v>13</v>
      </c>
      <c r="C644" t="s">
        <v>232</v>
      </c>
      <c r="D644" t="s">
        <v>61</v>
      </c>
      <c r="E644" t="s">
        <v>25</v>
      </c>
      <c r="F644" t="s">
        <v>62</v>
      </c>
      <c r="G644">
        <v>4</v>
      </c>
      <c r="H644">
        <v>0</v>
      </c>
      <c r="I644">
        <v>0</v>
      </c>
      <c r="J644">
        <v>0</v>
      </c>
      <c r="K644">
        <v>0</v>
      </c>
      <c r="L644">
        <v>0.195155</v>
      </c>
      <c r="M644" t="s">
        <v>27</v>
      </c>
      <c r="N644" t="s">
        <v>63</v>
      </c>
      <c r="O644" t="s">
        <v>64</v>
      </c>
      <c r="P644" t="s">
        <v>65</v>
      </c>
      <c r="Q644" t="s">
        <v>66</v>
      </c>
    </row>
    <row r="645" spans="1:17" x14ac:dyDescent="0.35">
      <c r="A645" t="s">
        <v>224</v>
      </c>
      <c r="B645">
        <v>14</v>
      </c>
      <c r="C645" t="s">
        <v>232</v>
      </c>
      <c r="D645" t="s">
        <v>61</v>
      </c>
      <c r="E645" t="s">
        <v>25</v>
      </c>
      <c r="F645" t="s">
        <v>62</v>
      </c>
      <c r="G645">
        <v>8</v>
      </c>
      <c r="H645">
        <v>0</v>
      </c>
      <c r="I645">
        <v>0</v>
      </c>
      <c r="J645">
        <v>0</v>
      </c>
      <c r="K645">
        <v>0</v>
      </c>
      <c r="L645">
        <v>0.20279900000000001</v>
      </c>
      <c r="M645" t="s">
        <v>27</v>
      </c>
      <c r="N645" t="s">
        <v>63</v>
      </c>
      <c r="O645" t="s">
        <v>64</v>
      </c>
      <c r="P645" t="s">
        <v>65</v>
      </c>
      <c r="Q645" t="s">
        <v>66</v>
      </c>
    </row>
    <row r="646" spans="1:17" x14ac:dyDescent="0.35">
      <c r="A646" t="s">
        <v>224</v>
      </c>
      <c r="B646">
        <v>15</v>
      </c>
      <c r="C646" t="s">
        <v>233</v>
      </c>
      <c r="D646" t="s">
        <v>61</v>
      </c>
      <c r="E646" t="s">
        <v>25</v>
      </c>
      <c r="F646" t="s">
        <v>62</v>
      </c>
      <c r="G646">
        <v>5</v>
      </c>
      <c r="H646">
        <v>0</v>
      </c>
      <c r="I646">
        <v>0</v>
      </c>
      <c r="J646">
        <v>0</v>
      </c>
      <c r="K646">
        <v>0</v>
      </c>
      <c r="L646">
        <v>0.193991</v>
      </c>
      <c r="M646" t="s">
        <v>27</v>
      </c>
      <c r="N646" t="s">
        <v>63</v>
      </c>
      <c r="O646" t="s">
        <v>64</v>
      </c>
      <c r="P646" t="s">
        <v>65</v>
      </c>
      <c r="Q646" t="s">
        <v>66</v>
      </c>
    </row>
    <row r="647" spans="1:17" x14ac:dyDescent="0.35">
      <c r="A647" t="s">
        <v>224</v>
      </c>
      <c r="B647">
        <v>16</v>
      </c>
      <c r="C647" t="s">
        <v>233</v>
      </c>
      <c r="D647" t="s">
        <v>61</v>
      </c>
      <c r="E647" t="s">
        <v>25</v>
      </c>
      <c r="F647" t="s">
        <v>62</v>
      </c>
      <c r="G647">
        <v>5</v>
      </c>
      <c r="H647">
        <v>0</v>
      </c>
      <c r="I647">
        <v>0</v>
      </c>
      <c r="J647">
        <v>0</v>
      </c>
      <c r="K647">
        <v>0</v>
      </c>
      <c r="L647">
        <v>0.20366799999999999</v>
      </c>
      <c r="M647" t="s">
        <v>27</v>
      </c>
      <c r="N647" t="s">
        <v>63</v>
      </c>
      <c r="O647" t="s">
        <v>64</v>
      </c>
      <c r="P647" t="s">
        <v>65</v>
      </c>
      <c r="Q647" t="s">
        <v>66</v>
      </c>
    </row>
    <row r="648" spans="1:17" x14ac:dyDescent="0.35">
      <c r="A648" t="s">
        <v>224</v>
      </c>
      <c r="B648">
        <v>17</v>
      </c>
      <c r="C648" t="s">
        <v>233</v>
      </c>
      <c r="D648" t="s">
        <v>61</v>
      </c>
      <c r="E648" t="s">
        <v>25</v>
      </c>
      <c r="F648" t="s">
        <v>62</v>
      </c>
      <c r="G648">
        <v>4</v>
      </c>
      <c r="H648">
        <v>0</v>
      </c>
      <c r="I648">
        <v>0</v>
      </c>
      <c r="J648">
        <v>0</v>
      </c>
      <c r="K648">
        <v>0</v>
      </c>
      <c r="L648">
        <v>0.21284500000000001</v>
      </c>
      <c r="M648" t="s">
        <v>27</v>
      </c>
      <c r="N648" t="s">
        <v>63</v>
      </c>
      <c r="O648" t="s">
        <v>64</v>
      </c>
      <c r="P648" t="s">
        <v>65</v>
      </c>
      <c r="Q648" t="s">
        <v>66</v>
      </c>
    </row>
    <row r="649" spans="1:17" x14ac:dyDescent="0.35">
      <c r="A649" t="s">
        <v>224</v>
      </c>
      <c r="B649">
        <v>18</v>
      </c>
      <c r="C649" t="s">
        <v>233</v>
      </c>
      <c r="D649" t="s">
        <v>61</v>
      </c>
      <c r="E649" t="s">
        <v>25</v>
      </c>
      <c r="F649" t="s">
        <v>62</v>
      </c>
      <c r="G649">
        <v>4</v>
      </c>
      <c r="H649">
        <v>0</v>
      </c>
      <c r="I649">
        <v>0</v>
      </c>
      <c r="J649">
        <v>0</v>
      </c>
      <c r="K649">
        <v>0</v>
      </c>
      <c r="L649">
        <v>0.21068000000000001</v>
      </c>
      <c r="M649" t="s">
        <v>27</v>
      </c>
      <c r="N649" t="s">
        <v>63</v>
      </c>
      <c r="O649" t="s">
        <v>64</v>
      </c>
      <c r="P649" t="s">
        <v>65</v>
      </c>
      <c r="Q649" t="s">
        <v>66</v>
      </c>
    </row>
    <row r="650" spans="1:17" x14ac:dyDescent="0.35">
      <c r="A650" t="s">
        <v>224</v>
      </c>
      <c r="B650">
        <v>19</v>
      </c>
      <c r="C650" t="s">
        <v>234</v>
      </c>
      <c r="D650" t="s">
        <v>61</v>
      </c>
      <c r="E650" t="s">
        <v>25</v>
      </c>
      <c r="F650" t="s">
        <v>62</v>
      </c>
      <c r="G650">
        <v>20</v>
      </c>
      <c r="H650">
        <v>0</v>
      </c>
      <c r="I650">
        <v>0</v>
      </c>
      <c r="J650">
        <v>0</v>
      </c>
      <c r="K650">
        <v>0</v>
      </c>
      <c r="L650">
        <v>0.276115</v>
      </c>
      <c r="M650" t="s">
        <v>27</v>
      </c>
      <c r="N650" t="s">
        <v>63</v>
      </c>
      <c r="O650" t="s">
        <v>64</v>
      </c>
      <c r="P650" t="s">
        <v>65</v>
      </c>
      <c r="Q650" t="s">
        <v>66</v>
      </c>
    </row>
    <row r="651" spans="1:17" x14ac:dyDescent="0.35">
      <c r="A651" t="s">
        <v>224</v>
      </c>
      <c r="B651">
        <v>20</v>
      </c>
      <c r="C651" t="s">
        <v>234</v>
      </c>
      <c r="D651" t="s">
        <v>61</v>
      </c>
      <c r="E651" t="s">
        <v>25</v>
      </c>
      <c r="F651" t="s">
        <v>62</v>
      </c>
      <c r="G651">
        <v>5</v>
      </c>
      <c r="H651">
        <v>0</v>
      </c>
      <c r="I651">
        <v>0</v>
      </c>
      <c r="J651">
        <v>0</v>
      </c>
      <c r="K651">
        <v>0</v>
      </c>
      <c r="L651">
        <v>0.222219</v>
      </c>
      <c r="M651" t="s">
        <v>27</v>
      </c>
      <c r="N651" t="s">
        <v>63</v>
      </c>
      <c r="O651" t="s">
        <v>64</v>
      </c>
      <c r="P651" t="s">
        <v>65</v>
      </c>
      <c r="Q651" t="s">
        <v>66</v>
      </c>
    </row>
    <row r="652" spans="1:17" x14ac:dyDescent="0.35">
      <c r="A652" t="s">
        <v>224</v>
      </c>
      <c r="B652">
        <v>21</v>
      </c>
      <c r="C652" t="s">
        <v>235</v>
      </c>
      <c r="D652" t="s">
        <v>61</v>
      </c>
      <c r="E652" t="s">
        <v>25</v>
      </c>
      <c r="F652" t="s">
        <v>62</v>
      </c>
      <c r="G652">
        <v>3</v>
      </c>
      <c r="H652">
        <v>0</v>
      </c>
      <c r="I652">
        <v>0</v>
      </c>
      <c r="J652">
        <v>0</v>
      </c>
      <c r="K652">
        <v>0</v>
      </c>
      <c r="L652">
        <v>0.46405400000000002</v>
      </c>
      <c r="M652" t="s">
        <v>27</v>
      </c>
      <c r="N652" t="s">
        <v>63</v>
      </c>
      <c r="O652" t="s">
        <v>64</v>
      </c>
      <c r="P652" t="s">
        <v>65</v>
      </c>
      <c r="Q652" t="s">
        <v>66</v>
      </c>
    </row>
    <row r="653" spans="1:17" x14ac:dyDescent="0.35">
      <c r="A653" t="s">
        <v>224</v>
      </c>
      <c r="B653">
        <v>22</v>
      </c>
      <c r="C653" t="s">
        <v>235</v>
      </c>
      <c r="D653" t="s">
        <v>61</v>
      </c>
      <c r="E653" t="s">
        <v>25</v>
      </c>
      <c r="F653" t="s">
        <v>62</v>
      </c>
      <c r="G653">
        <v>5</v>
      </c>
      <c r="H653">
        <v>0</v>
      </c>
      <c r="I653">
        <v>0</v>
      </c>
      <c r="J653">
        <v>0</v>
      </c>
      <c r="K653">
        <v>0</v>
      </c>
      <c r="L653">
        <v>0.221636</v>
      </c>
      <c r="M653" t="s">
        <v>27</v>
      </c>
      <c r="N653" t="s">
        <v>63</v>
      </c>
      <c r="O653" t="s">
        <v>64</v>
      </c>
      <c r="P653" t="s">
        <v>65</v>
      </c>
      <c r="Q653" t="s">
        <v>66</v>
      </c>
    </row>
    <row r="654" spans="1:17" x14ac:dyDescent="0.35">
      <c r="A654" t="s">
        <v>224</v>
      </c>
      <c r="B654">
        <v>23</v>
      </c>
      <c r="C654" t="s">
        <v>235</v>
      </c>
      <c r="D654" t="s">
        <v>61</v>
      </c>
      <c r="E654" t="s">
        <v>25</v>
      </c>
      <c r="F654" t="s">
        <v>62</v>
      </c>
      <c r="G654">
        <v>4</v>
      </c>
      <c r="H654">
        <v>0</v>
      </c>
      <c r="I654">
        <v>0</v>
      </c>
      <c r="J654">
        <v>0</v>
      </c>
      <c r="K654">
        <v>0</v>
      </c>
      <c r="L654">
        <v>0.32241999999999998</v>
      </c>
      <c r="M654" t="s">
        <v>27</v>
      </c>
      <c r="N654" t="s">
        <v>63</v>
      </c>
      <c r="O654" t="s">
        <v>64</v>
      </c>
      <c r="P654" t="s">
        <v>65</v>
      </c>
      <c r="Q654" t="s">
        <v>66</v>
      </c>
    </row>
    <row r="655" spans="1:17" x14ac:dyDescent="0.35">
      <c r="A655" t="s">
        <v>224</v>
      </c>
      <c r="B655">
        <v>24</v>
      </c>
      <c r="C655" t="s">
        <v>236</v>
      </c>
      <c r="D655" t="s">
        <v>61</v>
      </c>
      <c r="E655" t="s">
        <v>25</v>
      </c>
      <c r="F655" t="s">
        <v>62</v>
      </c>
      <c r="G655">
        <v>5</v>
      </c>
      <c r="H655">
        <v>0</v>
      </c>
      <c r="I655">
        <v>0</v>
      </c>
      <c r="J655">
        <v>0</v>
      </c>
      <c r="K655">
        <v>0</v>
      </c>
      <c r="L655">
        <v>0.225073</v>
      </c>
      <c r="M655" t="s">
        <v>27</v>
      </c>
      <c r="N655" t="s">
        <v>63</v>
      </c>
      <c r="O655" t="s">
        <v>64</v>
      </c>
      <c r="P655" t="s">
        <v>65</v>
      </c>
      <c r="Q655" t="s">
        <v>66</v>
      </c>
    </row>
    <row r="656" spans="1:17" x14ac:dyDescent="0.35">
      <c r="A656" t="s">
        <v>224</v>
      </c>
      <c r="B656">
        <v>25</v>
      </c>
      <c r="C656" t="s">
        <v>236</v>
      </c>
      <c r="D656" t="s">
        <v>61</v>
      </c>
      <c r="E656" t="s">
        <v>25</v>
      </c>
      <c r="F656" t="s">
        <v>62</v>
      </c>
      <c r="G656">
        <v>17</v>
      </c>
      <c r="H656">
        <v>0</v>
      </c>
      <c r="I656">
        <v>0</v>
      </c>
      <c r="J656">
        <v>0</v>
      </c>
      <c r="K656">
        <v>0</v>
      </c>
      <c r="L656">
        <v>0.223242</v>
      </c>
      <c r="M656" t="s">
        <v>27</v>
      </c>
      <c r="N656" t="s">
        <v>63</v>
      </c>
      <c r="O656" t="s">
        <v>64</v>
      </c>
      <c r="P656" t="s">
        <v>65</v>
      </c>
      <c r="Q656" t="s">
        <v>66</v>
      </c>
    </row>
    <row r="657" spans="1:17" x14ac:dyDescent="0.35">
      <c r="A657" t="s">
        <v>224</v>
      </c>
      <c r="B657">
        <v>26</v>
      </c>
      <c r="C657" t="s">
        <v>236</v>
      </c>
      <c r="D657" t="s">
        <v>61</v>
      </c>
      <c r="E657" t="s">
        <v>25</v>
      </c>
      <c r="F657" t="s">
        <v>62</v>
      </c>
      <c r="G657">
        <v>5</v>
      </c>
      <c r="H657">
        <v>0</v>
      </c>
      <c r="I657">
        <v>0</v>
      </c>
      <c r="J657">
        <v>0</v>
      </c>
      <c r="K657">
        <v>0</v>
      </c>
      <c r="L657">
        <v>0.18321899999999999</v>
      </c>
      <c r="M657" t="s">
        <v>27</v>
      </c>
      <c r="N657" t="s">
        <v>63</v>
      </c>
      <c r="O657" t="s">
        <v>64</v>
      </c>
      <c r="P657" t="s">
        <v>65</v>
      </c>
      <c r="Q657" t="s">
        <v>66</v>
      </c>
    </row>
    <row r="658" spans="1:17" x14ac:dyDescent="0.35">
      <c r="A658" t="s">
        <v>224</v>
      </c>
      <c r="B658">
        <v>27</v>
      </c>
      <c r="C658" t="s">
        <v>236</v>
      </c>
      <c r="D658" t="s">
        <v>61</v>
      </c>
      <c r="E658" t="s">
        <v>25</v>
      </c>
      <c r="F658" t="s">
        <v>62</v>
      </c>
      <c r="G658">
        <v>3</v>
      </c>
      <c r="H658">
        <v>0</v>
      </c>
      <c r="I658">
        <v>0</v>
      </c>
      <c r="J658">
        <v>0</v>
      </c>
      <c r="K658">
        <v>0</v>
      </c>
      <c r="L658">
        <v>0.240291</v>
      </c>
      <c r="M658" t="s">
        <v>27</v>
      </c>
      <c r="N658" t="s">
        <v>63</v>
      </c>
      <c r="O658" t="s">
        <v>64</v>
      </c>
      <c r="P658" t="s">
        <v>65</v>
      </c>
      <c r="Q658" t="s">
        <v>66</v>
      </c>
    </row>
    <row r="659" spans="1:17" x14ac:dyDescent="0.35">
      <c r="A659" t="s">
        <v>224</v>
      </c>
      <c r="B659">
        <v>28</v>
      </c>
      <c r="C659" t="s">
        <v>237</v>
      </c>
      <c r="D659" t="s">
        <v>61</v>
      </c>
      <c r="E659" t="s">
        <v>25</v>
      </c>
      <c r="F659" t="s">
        <v>62</v>
      </c>
      <c r="G659">
        <v>6</v>
      </c>
      <c r="H659">
        <v>0</v>
      </c>
      <c r="I659">
        <v>0</v>
      </c>
      <c r="J659">
        <v>0</v>
      </c>
      <c r="K659">
        <v>0</v>
      </c>
      <c r="L659">
        <v>0.20350299999999999</v>
      </c>
      <c r="M659" t="s">
        <v>27</v>
      </c>
      <c r="N659" t="s">
        <v>63</v>
      </c>
      <c r="O659" t="s">
        <v>64</v>
      </c>
      <c r="P659" t="s">
        <v>65</v>
      </c>
      <c r="Q659" t="s">
        <v>66</v>
      </c>
    </row>
    <row r="660" spans="1:17" x14ac:dyDescent="0.35">
      <c r="A660" t="s">
        <v>224</v>
      </c>
      <c r="B660">
        <v>29</v>
      </c>
      <c r="C660" t="s">
        <v>237</v>
      </c>
      <c r="D660" t="s">
        <v>61</v>
      </c>
      <c r="E660" t="s">
        <v>25</v>
      </c>
      <c r="F660" t="s">
        <v>62</v>
      </c>
      <c r="G660">
        <v>5</v>
      </c>
      <c r="H660">
        <v>0</v>
      </c>
      <c r="I660">
        <v>0</v>
      </c>
      <c r="J660">
        <v>0</v>
      </c>
      <c r="K660">
        <v>0</v>
      </c>
      <c r="L660">
        <v>0.18578800000000001</v>
      </c>
      <c r="M660" t="s">
        <v>27</v>
      </c>
      <c r="N660" t="s">
        <v>63</v>
      </c>
      <c r="O660" t="s">
        <v>64</v>
      </c>
      <c r="P660" t="s">
        <v>65</v>
      </c>
      <c r="Q660" t="s">
        <v>66</v>
      </c>
    </row>
    <row r="661" spans="1:17" x14ac:dyDescent="0.35">
      <c r="A661" t="s">
        <v>224</v>
      </c>
      <c r="B661">
        <v>30</v>
      </c>
      <c r="C661" t="s">
        <v>237</v>
      </c>
      <c r="D661" t="s">
        <v>61</v>
      </c>
      <c r="E661" t="s">
        <v>25</v>
      </c>
      <c r="F661" t="s">
        <v>62</v>
      </c>
      <c r="G661">
        <v>22</v>
      </c>
      <c r="H661">
        <v>0</v>
      </c>
      <c r="I661">
        <v>0</v>
      </c>
      <c r="J661">
        <v>0</v>
      </c>
      <c r="K661">
        <v>0</v>
      </c>
      <c r="L661">
        <v>0.21262900000000001</v>
      </c>
      <c r="M661" t="s">
        <v>27</v>
      </c>
      <c r="N661" t="s">
        <v>63</v>
      </c>
      <c r="O661" t="s">
        <v>64</v>
      </c>
      <c r="P661" t="s">
        <v>65</v>
      </c>
      <c r="Q661" t="s">
        <v>66</v>
      </c>
    </row>
    <row r="662" spans="1:17" x14ac:dyDescent="0.35">
      <c r="A662" t="s">
        <v>224</v>
      </c>
      <c r="B662">
        <v>31</v>
      </c>
      <c r="C662" t="s">
        <v>238</v>
      </c>
      <c r="D662" t="s">
        <v>61</v>
      </c>
      <c r="E662" t="s">
        <v>25</v>
      </c>
      <c r="F662" t="s">
        <v>62</v>
      </c>
      <c r="G662">
        <v>4</v>
      </c>
      <c r="H662">
        <v>0</v>
      </c>
      <c r="I662">
        <v>0</v>
      </c>
      <c r="J662">
        <v>0</v>
      </c>
      <c r="K662">
        <v>0</v>
      </c>
      <c r="L662">
        <v>0.19749</v>
      </c>
      <c r="M662" t="s">
        <v>27</v>
      </c>
      <c r="N662" t="s">
        <v>63</v>
      </c>
      <c r="O662" t="s">
        <v>64</v>
      </c>
      <c r="P662" t="s">
        <v>65</v>
      </c>
      <c r="Q662" t="s">
        <v>66</v>
      </c>
    </row>
    <row r="663" spans="1:17" x14ac:dyDescent="0.35">
      <c r="A663" t="s">
        <v>224</v>
      </c>
      <c r="B663">
        <v>32</v>
      </c>
      <c r="C663" t="s">
        <v>238</v>
      </c>
      <c r="D663" t="s">
        <v>61</v>
      </c>
      <c r="E663" t="s">
        <v>25</v>
      </c>
      <c r="F663" t="s">
        <v>62</v>
      </c>
      <c r="G663">
        <v>4</v>
      </c>
      <c r="H663">
        <v>0</v>
      </c>
      <c r="I663">
        <v>0</v>
      </c>
      <c r="J663">
        <v>0</v>
      </c>
      <c r="K663">
        <v>0</v>
      </c>
      <c r="L663">
        <v>0.32932499999999998</v>
      </c>
      <c r="M663" t="s">
        <v>27</v>
      </c>
      <c r="N663" t="s">
        <v>63</v>
      </c>
      <c r="O663" t="s">
        <v>64</v>
      </c>
      <c r="P663" t="s">
        <v>65</v>
      </c>
      <c r="Q663" t="s">
        <v>66</v>
      </c>
    </row>
    <row r="664" spans="1:17" x14ac:dyDescent="0.35">
      <c r="A664" t="s">
        <v>224</v>
      </c>
      <c r="B664">
        <v>33</v>
      </c>
      <c r="C664" t="s">
        <v>238</v>
      </c>
      <c r="D664" t="s">
        <v>61</v>
      </c>
      <c r="E664" t="s">
        <v>25</v>
      </c>
      <c r="F664" t="s">
        <v>62</v>
      </c>
      <c r="G664">
        <v>4</v>
      </c>
      <c r="H664">
        <v>0</v>
      </c>
      <c r="I664">
        <v>0</v>
      </c>
      <c r="J664">
        <v>0</v>
      </c>
      <c r="K664">
        <v>0</v>
      </c>
      <c r="L664">
        <v>0.25426199999999999</v>
      </c>
      <c r="M664" t="s">
        <v>27</v>
      </c>
      <c r="N664" t="s">
        <v>63</v>
      </c>
      <c r="O664" t="s">
        <v>64</v>
      </c>
      <c r="P664" t="s">
        <v>65</v>
      </c>
      <c r="Q664" t="s">
        <v>66</v>
      </c>
    </row>
    <row r="665" spans="1:17" x14ac:dyDescent="0.35">
      <c r="A665" t="s">
        <v>224</v>
      </c>
      <c r="B665">
        <v>34</v>
      </c>
      <c r="C665" t="s">
        <v>239</v>
      </c>
      <c r="D665" t="s">
        <v>61</v>
      </c>
      <c r="E665" t="s">
        <v>25</v>
      </c>
      <c r="F665" t="s">
        <v>62</v>
      </c>
      <c r="G665">
        <v>6</v>
      </c>
      <c r="H665">
        <v>0</v>
      </c>
      <c r="I665">
        <v>0</v>
      </c>
      <c r="J665">
        <v>0</v>
      </c>
      <c r="K665">
        <v>0</v>
      </c>
      <c r="L665">
        <v>0.20757999999999999</v>
      </c>
      <c r="M665" t="s">
        <v>27</v>
      </c>
      <c r="N665" t="s">
        <v>63</v>
      </c>
      <c r="O665" t="s">
        <v>64</v>
      </c>
      <c r="P665" t="s">
        <v>65</v>
      </c>
      <c r="Q665" t="s">
        <v>66</v>
      </c>
    </row>
    <row r="666" spans="1:17" x14ac:dyDescent="0.35">
      <c r="A666" t="s">
        <v>224</v>
      </c>
      <c r="B666">
        <v>35</v>
      </c>
      <c r="C666" t="s">
        <v>239</v>
      </c>
      <c r="D666" t="s">
        <v>61</v>
      </c>
      <c r="E666" t="s">
        <v>25</v>
      </c>
      <c r="F666" t="s">
        <v>62</v>
      </c>
      <c r="G666">
        <v>25</v>
      </c>
      <c r="H666">
        <v>0</v>
      </c>
      <c r="I666">
        <v>0</v>
      </c>
      <c r="J666">
        <v>0</v>
      </c>
      <c r="K666">
        <v>0</v>
      </c>
      <c r="L666">
        <v>0.20114099999999999</v>
      </c>
      <c r="M666" t="s">
        <v>27</v>
      </c>
      <c r="N666" t="s">
        <v>63</v>
      </c>
      <c r="O666" t="s">
        <v>64</v>
      </c>
      <c r="P666" t="s">
        <v>65</v>
      </c>
      <c r="Q666" t="s">
        <v>66</v>
      </c>
    </row>
    <row r="667" spans="1:17" x14ac:dyDescent="0.35">
      <c r="A667" t="s">
        <v>224</v>
      </c>
      <c r="B667">
        <v>36</v>
      </c>
      <c r="C667" t="s">
        <v>240</v>
      </c>
      <c r="D667" t="s">
        <v>82</v>
      </c>
      <c r="E667" t="s">
        <v>25</v>
      </c>
      <c r="F667" t="s">
        <v>62</v>
      </c>
      <c r="G667">
        <v>15582</v>
      </c>
      <c r="H667">
        <v>0</v>
      </c>
      <c r="I667">
        <v>0</v>
      </c>
      <c r="J667">
        <v>0</v>
      </c>
      <c r="K667">
        <v>3.1199999999999999E-4</v>
      </c>
      <c r="L667">
        <v>0.81842000000000004</v>
      </c>
      <c r="M667" t="s">
        <v>27</v>
      </c>
      <c r="N667" t="s">
        <v>63</v>
      </c>
      <c r="O667" t="s">
        <v>109</v>
      </c>
      <c r="P667" t="s">
        <v>110</v>
      </c>
      <c r="Q667" t="s">
        <v>111</v>
      </c>
    </row>
    <row r="668" spans="1:17" x14ac:dyDescent="0.35">
      <c r="A668" t="s">
        <v>224</v>
      </c>
      <c r="B668">
        <v>37</v>
      </c>
      <c r="C668" t="s">
        <v>241</v>
      </c>
      <c r="D668" t="s">
        <v>82</v>
      </c>
      <c r="E668" t="s">
        <v>25</v>
      </c>
      <c r="F668" t="s">
        <v>62</v>
      </c>
      <c r="G668">
        <v>215</v>
      </c>
      <c r="H668">
        <v>0</v>
      </c>
      <c r="I668">
        <v>0</v>
      </c>
      <c r="J668">
        <v>0</v>
      </c>
      <c r="K668">
        <v>3.9999999999999998E-6</v>
      </c>
      <c r="L668">
        <v>0.25960299999999997</v>
      </c>
      <c r="M668" t="s">
        <v>27</v>
      </c>
      <c r="N668" t="s">
        <v>63</v>
      </c>
      <c r="O668" t="s">
        <v>113</v>
      </c>
      <c r="P668" t="s">
        <v>114</v>
      </c>
      <c r="Q668" t="s">
        <v>115</v>
      </c>
    </row>
    <row r="669" spans="1:17" x14ac:dyDescent="0.35">
      <c r="A669" t="s">
        <v>224</v>
      </c>
      <c r="B669">
        <v>38</v>
      </c>
      <c r="C669" t="s">
        <v>242</v>
      </c>
      <c r="D669" t="s">
        <v>82</v>
      </c>
      <c r="E669" t="s">
        <v>25</v>
      </c>
      <c r="F669" t="s">
        <v>62</v>
      </c>
      <c r="G669">
        <v>44486</v>
      </c>
      <c r="H669">
        <v>0</v>
      </c>
      <c r="I669">
        <v>0</v>
      </c>
      <c r="J669">
        <v>0</v>
      </c>
      <c r="K669">
        <v>8.8999999999999995E-4</v>
      </c>
      <c r="L669">
        <v>1.62524</v>
      </c>
      <c r="M669" t="s">
        <v>27</v>
      </c>
      <c r="N669" t="s">
        <v>63</v>
      </c>
      <c r="O669" t="s">
        <v>109</v>
      </c>
      <c r="P669" t="s">
        <v>110</v>
      </c>
      <c r="Q669" t="s">
        <v>111</v>
      </c>
    </row>
    <row r="670" spans="1:17" x14ac:dyDescent="0.35">
      <c r="A670" t="s">
        <v>224</v>
      </c>
      <c r="B670">
        <v>39</v>
      </c>
      <c r="C670" t="s">
        <v>243</v>
      </c>
      <c r="D670" t="s">
        <v>82</v>
      </c>
      <c r="E670" t="s">
        <v>25</v>
      </c>
      <c r="F670" t="s">
        <v>62</v>
      </c>
      <c r="G670">
        <v>209</v>
      </c>
      <c r="H670">
        <v>0</v>
      </c>
      <c r="I670">
        <v>0</v>
      </c>
      <c r="J670">
        <v>0</v>
      </c>
      <c r="K670">
        <v>3.9999999999999998E-6</v>
      </c>
      <c r="L670">
        <v>0.29066399999999998</v>
      </c>
      <c r="M670" t="s">
        <v>27</v>
      </c>
      <c r="N670" t="s">
        <v>63</v>
      </c>
      <c r="O670" t="s">
        <v>113</v>
      </c>
      <c r="P670" t="s">
        <v>114</v>
      </c>
      <c r="Q670" t="s">
        <v>115</v>
      </c>
    </row>
    <row r="671" spans="1:17" x14ac:dyDescent="0.35">
      <c r="A671" t="s">
        <v>224</v>
      </c>
      <c r="B671">
        <v>40</v>
      </c>
      <c r="C671" t="s">
        <v>244</v>
      </c>
      <c r="D671" t="s">
        <v>82</v>
      </c>
      <c r="E671" t="s">
        <v>25</v>
      </c>
      <c r="F671" t="s">
        <v>26</v>
      </c>
      <c r="G671">
        <v>7738</v>
      </c>
      <c r="H671">
        <v>0</v>
      </c>
      <c r="I671">
        <v>596</v>
      </c>
      <c r="J671">
        <v>0</v>
      </c>
      <c r="K671">
        <v>2.5305000000000001E-2</v>
      </c>
      <c r="L671">
        <v>6.6269850000000003</v>
      </c>
      <c r="M671" t="s">
        <v>27</v>
      </c>
      <c r="N671" t="s">
        <v>28</v>
      </c>
      <c r="O671" t="s">
        <v>113</v>
      </c>
      <c r="P671" t="s">
        <v>114</v>
      </c>
      <c r="Q671" t="s">
        <v>115</v>
      </c>
    </row>
    <row r="672" spans="1:17" x14ac:dyDescent="0.35">
      <c r="A672" t="s">
        <v>224</v>
      </c>
      <c r="B672">
        <v>41</v>
      </c>
      <c r="C672" t="s">
        <v>244</v>
      </c>
      <c r="D672" t="s">
        <v>82</v>
      </c>
      <c r="E672" t="s">
        <v>25</v>
      </c>
      <c r="F672" t="s">
        <v>62</v>
      </c>
      <c r="G672">
        <v>77061</v>
      </c>
      <c r="H672">
        <v>0</v>
      </c>
      <c r="I672">
        <v>0</v>
      </c>
      <c r="J672">
        <v>0</v>
      </c>
      <c r="K672">
        <v>1.5410000000000001E-3</v>
      </c>
      <c r="L672">
        <v>1.282402</v>
      </c>
      <c r="M672" t="s">
        <v>27</v>
      </c>
      <c r="N672" t="s">
        <v>63</v>
      </c>
      <c r="O672" t="s">
        <v>109</v>
      </c>
      <c r="P672" t="s">
        <v>110</v>
      </c>
      <c r="Q672" t="s">
        <v>111</v>
      </c>
    </row>
    <row r="673" spans="1:17" x14ac:dyDescent="0.35">
      <c r="A673" t="s">
        <v>224</v>
      </c>
      <c r="B673">
        <v>42</v>
      </c>
      <c r="C673" t="s">
        <v>245</v>
      </c>
      <c r="D673" t="s">
        <v>82</v>
      </c>
      <c r="E673" t="s">
        <v>25</v>
      </c>
      <c r="F673" t="s">
        <v>62</v>
      </c>
      <c r="G673">
        <v>4558</v>
      </c>
      <c r="H673">
        <v>0</v>
      </c>
      <c r="I673">
        <v>0</v>
      </c>
      <c r="J673">
        <v>0</v>
      </c>
      <c r="K673">
        <v>9.1000000000000003E-5</v>
      </c>
      <c r="L673">
        <v>0.27506199999999997</v>
      </c>
      <c r="M673" t="s">
        <v>27</v>
      </c>
      <c r="N673" t="s">
        <v>63</v>
      </c>
      <c r="O673" t="s">
        <v>109</v>
      </c>
      <c r="P673" t="s">
        <v>110</v>
      </c>
      <c r="Q673" t="s">
        <v>111</v>
      </c>
    </row>
    <row r="674" spans="1:17" x14ac:dyDescent="0.35">
      <c r="A674" t="s">
        <v>224</v>
      </c>
      <c r="B674">
        <v>43</v>
      </c>
      <c r="C674" t="s">
        <v>245</v>
      </c>
      <c r="D674" t="s">
        <v>82</v>
      </c>
      <c r="E674" t="s">
        <v>25</v>
      </c>
      <c r="F674" t="s">
        <v>62</v>
      </c>
      <c r="G674">
        <v>209</v>
      </c>
      <c r="H674">
        <v>0</v>
      </c>
      <c r="I674">
        <v>0</v>
      </c>
      <c r="J674">
        <v>0</v>
      </c>
      <c r="K674">
        <v>3.9999999999999998E-6</v>
      </c>
      <c r="L674">
        <v>0.20219300000000001</v>
      </c>
      <c r="M674" t="s">
        <v>27</v>
      </c>
      <c r="N674" t="s">
        <v>63</v>
      </c>
      <c r="O674" t="s">
        <v>113</v>
      </c>
      <c r="P674" t="s">
        <v>114</v>
      </c>
      <c r="Q674" t="s">
        <v>115</v>
      </c>
    </row>
    <row r="675" spans="1:17" x14ac:dyDescent="0.35">
      <c r="A675" t="s">
        <v>224</v>
      </c>
      <c r="B675">
        <v>44</v>
      </c>
      <c r="C675" t="s">
        <v>246</v>
      </c>
      <c r="D675" t="s">
        <v>82</v>
      </c>
      <c r="E675" t="s">
        <v>25</v>
      </c>
      <c r="F675" t="s">
        <v>26</v>
      </c>
      <c r="G675">
        <v>7868</v>
      </c>
      <c r="H675">
        <v>0</v>
      </c>
      <c r="I675">
        <v>640</v>
      </c>
      <c r="J675">
        <v>0</v>
      </c>
      <c r="K675">
        <v>2.6069999999999999E-2</v>
      </c>
      <c r="L675">
        <v>8.1403219999999994</v>
      </c>
      <c r="M675" t="s">
        <v>27</v>
      </c>
      <c r="N675" t="s">
        <v>28</v>
      </c>
      <c r="O675" t="s">
        <v>113</v>
      </c>
      <c r="P675" t="s">
        <v>114</v>
      </c>
      <c r="Q675" t="s">
        <v>115</v>
      </c>
    </row>
    <row r="676" spans="1:17" x14ac:dyDescent="0.35">
      <c r="A676" t="s">
        <v>224</v>
      </c>
      <c r="B676">
        <v>45</v>
      </c>
      <c r="C676" t="s">
        <v>247</v>
      </c>
      <c r="D676" t="s">
        <v>82</v>
      </c>
      <c r="E676" t="s">
        <v>25</v>
      </c>
      <c r="F676" t="s">
        <v>26</v>
      </c>
      <c r="G676">
        <v>8625</v>
      </c>
      <c r="H676">
        <v>0</v>
      </c>
      <c r="I676">
        <v>492</v>
      </c>
      <c r="J676">
        <v>0</v>
      </c>
      <c r="K676">
        <v>2.6481999999999999E-2</v>
      </c>
      <c r="L676">
        <v>8.6460670000000004</v>
      </c>
      <c r="M676" t="s">
        <v>27</v>
      </c>
      <c r="N676" t="s">
        <v>28</v>
      </c>
      <c r="O676" t="s">
        <v>113</v>
      </c>
      <c r="P676" t="s">
        <v>114</v>
      </c>
      <c r="Q676" t="s">
        <v>115</v>
      </c>
    </row>
    <row r="677" spans="1:17" x14ac:dyDescent="0.35">
      <c r="A677" t="s">
        <v>224</v>
      </c>
      <c r="B677">
        <v>46</v>
      </c>
      <c r="C677" t="s">
        <v>248</v>
      </c>
      <c r="D677" t="s">
        <v>121</v>
      </c>
      <c r="E677" t="s">
        <v>25</v>
      </c>
      <c r="F677" t="s">
        <v>26</v>
      </c>
      <c r="G677">
        <v>6548</v>
      </c>
      <c r="H677">
        <v>0</v>
      </c>
      <c r="I677">
        <v>536</v>
      </c>
      <c r="J677">
        <v>0</v>
      </c>
      <c r="K677">
        <v>2.1729999999999999E-2</v>
      </c>
      <c r="L677">
        <v>6.3326609999999999</v>
      </c>
      <c r="M677" t="s">
        <v>27</v>
      </c>
      <c r="N677" t="s">
        <v>28</v>
      </c>
      <c r="O677" t="s">
        <v>122</v>
      </c>
      <c r="P677" t="s">
        <v>123</v>
      </c>
      <c r="Q677" t="s">
        <v>124</v>
      </c>
    </row>
    <row r="678" spans="1:17" x14ac:dyDescent="0.35">
      <c r="A678" t="s">
        <v>224</v>
      </c>
      <c r="B678">
        <v>47</v>
      </c>
      <c r="C678" t="s">
        <v>249</v>
      </c>
      <c r="D678" t="s">
        <v>121</v>
      </c>
      <c r="E678" t="s">
        <v>25</v>
      </c>
      <c r="F678" t="s">
        <v>26</v>
      </c>
      <c r="G678">
        <v>6215</v>
      </c>
      <c r="H678">
        <v>0</v>
      </c>
      <c r="I678">
        <v>559</v>
      </c>
      <c r="J678">
        <v>0</v>
      </c>
      <c r="K678">
        <v>2.1128000000000001E-2</v>
      </c>
      <c r="L678">
        <v>6.8417729999999999</v>
      </c>
      <c r="M678" t="s">
        <v>27</v>
      </c>
      <c r="N678" t="s">
        <v>28</v>
      </c>
      <c r="O678" t="s">
        <v>122</v>
      </c>
      <c r="P678" t="s">
        <v>123</v>
      </c>
      <c r="Q678" t="s">
        <v>124</v>
      </c>
    </row>
    <row r="679" spans="1:17" x14ac:dyDescent="0.35">
      <c r="A679" t="s">
        <v>224</v>
      </c>
      <c r="B679">
        <v>48</v>
      </c>
      <c r="C679" t="s">
        <v>250</v>
      </c>
      <c r="D679" t="s">
        <v>121</v>
      </c>
      <c r="E679" t="s">
        <v>25</v>
      </c>
      <c r="F679" t="s">
        <v>26</v>
      </c>
      <c r="G679">
        <v>7966</v>
      </c>
      <c r="H679">
        <v>0</v>
      </c>
      <c r="I679">
        <v>1084</v>
      </c>
      <c r="J679">
        <v>0</v>
      </c>
      <c r="K679">
        <v>3.0755000000000001E-2</v>
      </c>
      <c r="L679">
        <v>13.394437</v>
      </c>
      <c r="M679" t="s">
        <v>27</v>
      </c>
      <c r="N679" t="s">
        <v>28</v>
      </c>
      <c r="O679" t="s">
        <v>122</v>
      </c>
      <c r="P679" t="s">
        <v>123</v>
      </c>
      <c r="Q679" t="s">
        <v>124</v>
      </c>
    </row>
    <row r="680" spans="1:17" x14ac:dyDescent="0.35">
      <c r="A680" t="s">
        <v>224</v>
      </c>
      <c r="B680">
        <v>49</v>
      </c>
      <c r="C680" t="s">
        <v>250</v>
      </c>
      <c r="D680" t="s">
        <v>121</v>
      </c>
      <c r="E680" t="s">
        <v>25</v>
      </c>
      <c r="F680" t="s">
        <v>26</v>
      </c>
      <c r="G680">
        <v>6215</v>
      </c>
      <c r="H680">
        <v>0</v>
      </c>
      <c r="I680">
        <v>1138</v>
      </c>
      <c r="J680">
        <v>0</v>
      </c>
      <c r="K680">
        <v>2.6918000000000001E-2</v>
      </c>
      <c r="L680">
        <v>13.430795</v>
      </c>
      <c r="M680" t="s">
        <v>27</v>
      </c>
      <c r="N680" t="s">
        <v>28</v>
      </c>
      <c r="O680" t="s">
        <v>122</v>
      </c>
      <c r="P680" t="s">
        <v>123</v>
      </c>
      <c r="Q680" t="s">
        <v>124</v>
      </c>
    </row>
    <row r="681" spans="1:17" x14ac:dyDescent="0.35">
      <c r="A681" t="s">
        <v>224</v>
      </c>
      <c r="B681">
        <v>50</v>
      </c>
      <c r="C681" t="s">
        <v>251</v>
      </c>
      <c r="D681" t="s">
        <v>121</v>
      </c>
      <c r="E681" t="s">
        <v>25</v>
      </c>
      <c r="F681" t="s">
        <v>26</v>
      </c>
      <c r="G681">
        <v>8192</v>
      </c>
      <c r="H681">
        <v>0</v>
      </c>
      <c r="I681">
        <v>1098</v>
      </c>
      <c r="J681">
        <v>0</v>
      </c>
      <c r="K681">
        <v>3.1460000000000002E-2</v>
      </c>
      <c r="L681">
        <v>14.651584</v>
      </c>
      <c r="M681" t="s">
        <v>27</v>
      </c>
      <c r="N681" t="s">
        <v>28</v>
      </c>
      <c r="O681" t="s">
        <v>122</v>
      </c>
      <c r="P681" t="s">
        <v>123</v>
      </c>
      <c r="Q681" t="s">
        <v>124</v>
      </c>
    </row>
    <row r="682" spans="1:17" x14ac:dyDescent="0.35">
      <c r="A682" t="s">
        <v>224</v>
      </c>
      <c r="B682">
        <v>51</v>
      </c>
      <c r="C682" t="s">
        <v>252</v>
      </c>
      <c r="D682" t="s">
        <v>121</v>
      </c>
      <c r="E682" t="s">
        <v>25</v>
      </c>
      <c r="F682" t="s">
        <v>26</v>
      </c>
      <c r="G682">
        <v>10171</v>
      </c>
      <c r="H682">
        <v>0</v>
      </c>
      <c r="I682">
        <v>1554</v>
      </c>
      <c r="J682">
        <v>0</v>
      </c>
      <c r="K682">
        <v>4.0967000000000003E-2</v>
      </c>
      <c r="L682">
        <v>15.855116000000001</v>
      </c>
      <c r="M682" t="s">
        <v>27</v>
      </c>
      <c r="N682" t="s">
        <v>28</v>
      </c>
      <c r="O682" t="s">
        <v>122</v>
      </c>
      <c r="P682" t="s">
        <v>123</v>
      </c>
      <c r="Q682" t="s">
        <v>124</v>
      </c>
    </row>
    <row r="683" spans="1:17" x14ac:dyDescent="0.35">
      <c r="A683" t="s">
        <v>224</v>
      </c>
      <c r="B683">
        <v>52</v>
      </c>
      <c r="C683" t="s">
        <v>253</v>
      </c>
      <c r="D683" t="s">
        <v>133</v>
      </c>
      <c r="E683" t="s">
        <v>25</v>
      </c>
      <c r="F683" t="s">
        <v>26</v>
      </c>
      <c r="G683">
        <v>2302</v>
      </c>
      <c r="H683">
        <v>0</v>
      </c>
      <c r="I683">
        <v>358</v>
      </c>
      <c r="J683">
        <v>0</v>
      </c>
      <c r="K683">
        <v>9.3349999999999995E-3</v>
      </c>
      <c r="L683">
        <v>4.4094879999999996</v>
      </c>
      <c r="M683" t="s">
        <v>27</v>
      </c>
      <c r="N683" t="s">
        <v>28</v>
      </c>
      <c r="O683" t="s">
        <v>122</v>
      </c>
      <c r="P683" t="s">
        <v>123</v>
      </c>
      <c r="Q683" t="s">
        <v>134</v>
      </c>
    </row>
    <row r="684" spans="1:17" x14ac:dyDescent="0.35">
      <c r="A684" t="s">
        <v>254</v>
      </c>
      <c r="B684">
        <v>1</v>
      </c>
      <c r="C684" t="s">
        <v>255</v>
      </c>
      <c r="D684" t="s">
        <v>24</v>
      </c>
      <c r="E684" t="s">
        <v>25</v>
      </c>
      <c r="F684" t="s">
        <v>26</v>
      </c>
      <c r="G684">
        <v>1180</v>
      </c>
      <c r="H684">
        <v>1024</v>
      </c>
      <c r="I684">
        <v>59</v>
      </c>
      <c r="J684">
        <v>0</v>
      </c>
      <c r="K684">
        <v>2.2599999999999999E-3</v>
      </c>
      <c r="L684">
        <v>1.989169</v>
      </c>
      <c r="M684" t="s">
        <v>27</v>
      </c>
      <c r="N684" t="s">
        <v>28</v>
      </c>
      <c r="O684" t="s">
        <v>29</v>
      </c>
      <c r="P684" t="s">
        <v>30</v>
      </c>
      <c r="Q684" t="s">
        <v>31</v>
      </c>
    </row>
    <row r="685" spans="1:17" x14ac:dyDescent="0.35">
      <c r="A685" t="s">
        <v>254</v>
      </c>
      <c r="B685">
        <v>2</v>
      </c>
      <c r="C685" t="s">
        <v>256</v>
      </c>
      <c r="D685" t="s">
        <v>33</v>
      </c>
      <c r="E685" t="s">
        <v>25</v>
      </c>
      <c r="F685" t="s">
        <v>34</v>
      </c>
      <c r="G685">
        <v>431</v>
      </c>
      <c r="H685">
        <v>0</v>
      </c>
      <c r="I685">
        <v>83</v>
      </c>
      <c r="J685">
        <v>0</v>
      </c>
      <c r="K685">
        <v>1.1400000000000001E-4</v>
      </c>
      <c r="L685">
        <v>1.5741400000000001</v>
      </c>
      <c r="M685" t="s">
        <v>27</v>
      </c>
      <c r="N685" t="s">
        <v>28</v>
      </c>
      <c r="O685" t="s">
        <v>35</v>
      </c>
      <c r="P685" t="s">
        <v>36</v>
      </c>
      <c r="Q685" t="s">
        <v>37</v>
      </c>
    </row>
    <row r="686" spans="1:17" x14ac:dyDescent="0.35">
      <c r="A686" t="s">
        <v>254</v>
      </c>
      <c r="B686">
        <v>3</v>
      </c>
      <c r="C686" t="s">
        <v>257</v>
      </c>
      <c r="D686" t="s">
        <v>39</v>
      </c>
      <c r="E686" t="s">
        <v>40</v>
      </c>
      <c r="F686" t="s">
        <v>41</v>
      </c>
      <c r="G686">
        <v>681</v>
      </c>
      <c r="H686">
        <v>0</v>
      </c>
      <c r="I686">
        <v>1309</v>
      </c>
      <c r="J686">
        <v>5.0000000000000001E-3</v>
      </c>
      <c r="K686">
        <v>6.9899999999999997E-3</v>
      </c>
      <c r="L686">
        <v>15.542883</v>
      </c>
      <c r="M686" t="s">
        <v>27</v>
      </c>
      <c r="N686" t="s">
        <v>42</v>
      </c>
      <c r="O686" t="s">
        <v>43</v>
      </c>
      <c r="P686" t="s">
        <v>44</v>
      </c>
      <c r="Q686" t="s">
        <v>45</v>
      </c>
    </row>
    <row r="687" spans="1:17" x14ac:dyDescent="0.35">
      <c r="A687" t="s">
        <v>254</v>
      </c>
      <c r="B687">
        <v>4</v>
      </c>
      <c r="C687" t="s">
        <v>258</v>
      </c>
      <c r="D687" t="s">
        <v>55</v>
      </c>
      <c r="E687" t="s">
        <v>25</v>
      </c>
      <c r="F687" t="s">
        <v>26</v>
      </c>
      <c r="G687">
        <v>11008</v>
      </c>
      <c r="H687">
        <v>0</v>
      </c>
      <c r="I687">
        <v>1787</v>
      </c>
      <c r="J687">
        <v>0</v>
      </c>
      <c r="K687">
        <v>4.539E-2</v>
      </c>
      <c r="L687">
        <v>23.771246999999999</v>
      </c>
      <c r="M687" t="s">
        <v>27</v>
      </c>
      <c r="N687" t="s">
        <v>28</v>
      </c>
      <c r="O687" t="s">
        <v>56</v>
      </c>
      <c r="P687" t="s">
        <v>57</v>
      </c>
      <c r="Q687" t="s">
        <v>58</v>
      </c>
    </row>
    <row r="688" spans="1:17" x14ac:dyDescent="0.35">
      <c r="A688" t="s">
        <v>254</v>
      </c>
      <c r="B688">
        <v>5</v>
      </c>
      <c r="C688" t="s">
        <v>259</v>
      </c>
      <c r="D688" t="s">
        <v>61</v>
      </c>
      <c r="E688" t="s">
        <v>25</v>
      </c>
      <c r="F688" t="s">
        <v>62</v>
      </c>
      <c r="G688">
        <v>4</v>
      </c>
      <c r="H688">
        <v>0</v>
      </c>
      <c r="I688">
        <v>0</v>
      </c>
      <c r="J688">
        <v>0</v>
      </c>
      <c r="K688">
        <v>0</v>
      </c>
      <c r="L688">
        <v>0.49798900000000001</v>
      </c>
      <c r="M688" t="s">
        <v>27</v>
      </c>
      <c r="N688" t="s">
        <v>63</v>
      </c>
      <c r="O688" t="s">
        <v>64</v>
      </c>
      <c r="P688" t="s">
        <v>65</v>
      </c>
      <c r="Q688" t="s">
        <v>66</v>
      </c>
    </row>
    <row r="689" spans="1:17" x14ac:dyDescent="0.35">
      <c r="A689" t="s">
        <v>254</v>
      </c>
      <c r="B689">
        <v>6</v>
      </c>
      <c r="C689" t="s">
        <v>259</v>
      </c>
      <c r="D689" t="s">
        <v>61</v>
      </c>
      <c r="E689" t="s">
        <v>25</v>
      </c>
      <c r="F689" t="s">
        <v>62</v>
      </c>
      <c r="G689">
        <v>3</v>
      </c>
      <c r="H689">
        <v>0</v>
      </c>
      <c r="I689">
        <v>0</v>
      </c>
      <c r="J689">
        <v>0</v>
      </c>
      <c r="K689">
        <v>0</v>
      </c>
      <c r="L689">
        <v>0.217309</v>
      </c>
      <c r="M689" t="s">
        <v>27</v>
      </c>
      <c r="N689" t="s">
        <v>63</v>
      </c>
      <c r="O689" t="s">
        <v>64</v>
      </c>
      <c r="P689" t="s">
        <v>65</v>
      </c>
      <c r="Q689" t="s">
        <v>66</v>
      </c>
    </row>
    <row r="690" spans="1:17" x14ac:dyDescent="0.35">
      <c r="A690" t="s">
        <v>254</v>
      </c>
      <c r="B690">
        <v>7</v>
      </c>
      <c r="C690" t="s">
        <v>259</v>
      </c>
      <c r="D690" t="s">
        <v>61</v>
      </c>
      <c r="E690" t="s">
        <v>25</v>
      </c>
      <c r="F690" t="s">
        <v>62</v>
      </c>
      <c r="G690">
        <v>5</v>
      </c>
      <c r="H690">
        <v>0</v>
      </c>
      <c r="I690">
        <v>0</v>
      </c>
      <c r="J690">
        <v>0</v>
      </c>
      <c r="K690">
        <v>0</v>
      </c>
      <c r="L690">
        <v>0.354408</v>
      </c>
      <c r="M690" t="s">
        <v>27</v>
      </c>
      <c r="N690" t="s">
        <v>63</v>
      </c>
      <c r="O690" t="s">
        <v>64</v>
      </c>
      <c r="P690" t="s">
        <v>65</v>
      </c>
      <c r="Q690" t="s">
        <v>66</v>
      </c>
    </row>
    <row r="691" spans="1:17" x14ac:dyDescent="0.35">
      <c r="A691" t="s">
        <v>254</v>
      </c>
      <c r="B691">
        <v>8</v>
      </c>
      <c r="C691" t="s">
        <v>260</v>
      </c>
      <c r="D691" t="s">
        <v>61</v>
      </c>
      <c r="E691" t="s">
        <v>25</v>
      </c>
      <c r="F691" t="s">
        <v>62</v>
      </c>
      <c r="G691">
        <v>6</v>
      </c>
      <c r="H691">
        <v>0</v>
      </c>
      <c r="I691">
        <v>0</v>
      </c>
      <c r="J691">
        <v>0</v>
      </c>
      <c r="K691">
        <v>0</v>
      </c>
      <c r="L691">
        <v>0.21810599999999999</v>
      </c>
      <c r="M691" t="s">
        <v>27</v>
      </c>
      <c r="N691" t="s">
        <v>63</v>
      </c>
      <c r="O691" t="s">
        <v>64</v>
      </c>
      <c r="P691" t="s">
        <v>65</v>
      </c>
      <c r="Q691" t="s">
        <v>66</v>
      </c>
    </row>
    <row r="692" spans="1:17" x14ac:dyDescent="0.35">
      <c r="A692" t="s">
        <v>254</v>
      </c>
      <c r="B692">
        <v>9</v>
      </c>
      <c r="C692" t="s">
        <v>260</v>
      </c>
      <c r="D692" t="s">
        <v>61</v>
      </c>
      <c r="E692" t="s">
        <v>25</v>
      </c>
      <c r="F692" t="s">
        <v>62</v>
      </c>
      <c r="G692">
        <v>5</v>
      </c>
      <c r="H692">
        <v>0</v>
      </c>
      <c r="I692">
        <v>0</v>
      </c>
      <c r="J692">
        <v>0</v>
      </c>
      <c r="K692">
        <v>0</v>
      </c>
      <c r="L692">
        <v>0.203593</v>
      </c>
      <c r="M692" t="s">
        <v>27</v>
      </c>
      <c r="N692" t="s">
        <v>63</v>
      </c>
      <c r="O692" t="s">
        <v>64</v>
      </c>
      <c r="P692" t="s">
        <v>65</v>
      </c>
      <c r="Q692" t="s">
        <v>66</v>
      </c>
    </row>
    <row r="693" spans="1:17" x14ac:dyDescent="0.35">
      <c r="A693" t="s">
        <v>254</v>
      </c>
      <c r="B693">
        <v>10</v>
      </c>
      <c r="C693" t="s">
        <v>261</v>
      </c>
      <c r="D693" t="s">
        <v>61</v>
      </c>
      <c r="E693" t="s">
        <v>25</v>
      </c>
      <c r="F693" t="s">
        <v>62</v>
      </c>
      <c r="G693">
        <v>7</v>
      </c>
      <c r="H693">
        <v>0</v>
      </c>
      <c r="I693">
        <v>0</v>
      </c>
      <c r="J693">
        <v>0</v>
      </c>
      <c r="K693">
        <v>0</v>
      </c>
      <c r="L693">
        <v>0.353439</v>
      </c>
      <c r="M693" t="s">
        <v>27</v>
      </c>
      <c r="N693" t="s">
        <v>63</v>
      </c>
      <c r="O693" t="s">
        <v>64</v>
      </c>
      <c r="P693" t="s">
        <v>65</v>
      </c>
      <c r="Q693" t="s">
        <v>66</v>
      </c>
    </row>
    <row r="694" spans="1:17" x14ac:dyDescent="0.35">
      <c r="A694" t="s">
        <v>254</v>
      </c>
      <c r="B694">
        <v>11</v>
      </c>
      <c r="C694" t="s">
        <v>261</v>
      </c>
      <c r="D694" t="s">
        <v>61</v>
      </c>
      <c r="E694" t="s">
        <v>25</v>
      </c>
      <c r="F694" t="s">
        <v>62</v>
      </c>
      <c r="G694">
        <v>3</v>
      </c>
      <c r="H694">
        <v>0</v>
      </c>
      <c r="I694">
        <v>0</v>
      </c>
      <c r="J694">
        <v>0</v>
      </c>
      <c r="K694">
        <v>0</v>
      </c>
      <c r="L694">
        <v>0.273621</v>
      </c>
      <c r="M694" t="s">
        <v>27</v>
      </c>
      <c r="N694" t="s">
        <v>63</v>
      </c>
      <c r="O694" t="s">
        <v>64</v>
      </c>
      <c r="P694" t="s">
        <v>65</v>
      </c>
      <c r="Q694" t="s">
        <v>66</v>
      </c>
    </row>
    <row r="695" spans="1:17" x14ac:dyDescent="0.35">
      <c r="A695" t="s">
        <v>254</v>
      </c>
      <c r="B695">
        <v>12</v>
      </c>
      <c r="C695" t="s">
        <v>261</v>
      </c>
      <c r="D695" t="s">
        <v>61</v>
      </c>
      <c r="E695" t="s">
        <v>25</v>
      </c>
      <c r="F695" t="s">
        <v>62</v>
      </c>
      <c r="G695">
        <v>6</v>
      </c>
      <c r="H695">
        <v>0</v>
      </c>
      <c r="I695">
        <v>0</v>
      </c>
      <c r="J695">
        <v>0</v>
      </c>
      <c r="K695">
        <v>0</v>
      </c>
      <c r="L695">
        <v>0.32266299999999998</v>
      </c>
      <c r="M695" t="s">
        <v>27</v>
      </c>
      <c r="N695" t="s">
        <v>63</v>
      </c>
      <c r="O695" t="s">
        <v>64</v>
      </c>
      <c r="P695" t="s">
        <v>65</v>
      </c>
      <c r="Q695" t="s">
        <v>66</v>
      </c>
    </row>
    <row r="696" spans="1:17" x14ac:dyDescent="0.35">
      <c r="A696" t="s">
        <v>254</v>
      </c>
      <c r="B696">
        <v>13</v>
      </c>
      <c r="C696" t="s">
        <v>262</v>
      </c>
      <c r="D696" t="s">
        <v>61</v>
      </c>
      <c r="E696" t="s">
        <v>25</v>
      </c>
      <c r="F696" t="s">
        <v>62</v>
      </c>
      <c r="G696">
        <v>3</v>
      </c>
      <c r="H696">
        <v>0</v>
      </c>
      <c r="I696">
        <v>0</v>
      </c>
      <c r="J696">
        <v>0</v>
      </c>
      <c r="K696">
        <v>0</v>
      </c>
      <c r="L696">
        <v>0.29129500000000003</v>
      </c>
      <c r="M696" t="s">
        <v>27</v>
      </c>
      <c r="N696" t="s">
        <v>63</v>
      </c>
      <c r="O696" t="s">
        <v>64</v>
      </c>
      <c r="P696" t="s">
        <v>65</v>
      </c>
      <c r="Q696" t="s">
        <v>66</v>
      </c>
    </row>
    <row r="697" spans="1:17" x14ac:dyDescent="0.35">
      <c r="A697" t="s">
        <v>254</v>
      </c>
      <c r="B697">
        <v>14</v>
      </c>
      <c r="C697" t="s">
        <v>262</v>
      </c>
      <c r="D697" t="s">
        <v>61</v>
      </c>
      <c r="E697" t="s">
        <v>25</v>
      </c>
      <c r="F697" t="s">
        <v>62</v>
      </c>
      <c r="G697">
        <v>5</v>
      </c>
      <c r="H697">
        <v>0</v>
      </c>
      <c r="I697">
        <v>0</v>
      </c>
      <c r="J697">
        <v>0</v>
      </c>
      <c r="K697">
        <v>0</v>
      </c>
      <c r="L697">
        <v>0.21446299999999999</v>
      </c>
      <c r="M697" t="s">
        <v>27</v>
      </c>
      <c r="N697" t="s">
        <v>63</v>
      </c>
      <c r="O697" t="s">
        <v>64</v>
      </c>
      <c r="P697" t="s">
        <v>65</v>
      </c>
      <c r="Q697" t="s">
        <v>66</v>
      </c>
    </row>
    <row r="698" spans="1:17" x14ac:dyDescent="0.35">
      <c r="A698" t="s">
        <v>254</v>
      </c>
      <c r="B698">
        <v>15</v>
      </c>
      <c r="C698" t="s">
        <v>263</v>
      </c>
      <c r="D698" t="s">
        <v>61</v>
      </c>
      <c r="E698" t="s">
        <v>25</v>
      </c>
      <c r="F698" t="s">
        <v>62</v>
      </c>
      <c r="G698">
        <v>8</v>
      </c>
      <c r="H698">
        <v>0</v>
      </c>
      <c r="I698">
        <v>0</v>
      </c>
      <c r="J698">
        <v>0</v>
      </c>
      <c r="K698">
        <v>0</v>
      </c>
      <c r="L698">
        <v>0.200932</v>
      </c>
      <c r="M698" t="s">
        <v>27</v>
      </c>
      <c r="N698" t="s">
        <v>63</v>
      </c>
      <c r="O698" t="s">
        <v>64</v>
      </c>
      <c r="P698" t="s">
        <v>65</v>
      </c>
      <c r="Q698" t="s">
        <v>66</v>
      </c>
    </row>
    <row r="699" spans="1:17" x14ac:dyDescent="0.35">
      <c r="A699" t="s">
        <v>254</v>
      </c>
      <c r="B699">
        <v>16</v>
      </c>
      <c r="C699" t="s">
        <v>263</v>
      </c>
      <c r="D699" t="s">
        <v>61</v>
      </c>
      <c r="E699" t="s">
        <v>25</v>
      </c>
      <c r="F699" t="s">
        <v>62</v>
      </c>
      <c r="G699">
        <v>2</v>
      </c>
      <c r="H699">
        <v>0</v>
      </c>
      <c r="I699">
        <v>0</v>
      </c>
      <c r="J699">
        <v>0</v>
      </c>
      <c r="K699">
        <v>0</v>
      </c>
      <c r="L699">
        <v>0.22203899999999999</v>
      </c>
      <c r="M699" t="s">
        <v>27</v>
      </c>
      <c r="N699" t="s">
        <v>63</v>
      </c>
      <c r="O699" t="s">
        <v>64</v>
      </c>
      <c r="P699" t="s">
        <v>65</v>
      </c>
      <c r="Q699" t="s">
        <v>66</v>
      </c>
    </row>
    <row r="700" spans="1:17" x14ac:dyDescent="0.35">
      <c r="A700" t="s">
        <v>254</v>
      </c>
      <c r="B700">
        <v>17</v>
      </c>
      <c r="C700" t="s">
        <v>263</v>
      </c>
      <c r="D700" t="s">
        <v>61</v>
      </c>
      <c r="E700" t="s">
        <v>25</v>
      </c>
      <c r="F700" t="s">
        <v>62</v>
      </c>
      <c r="G700">
        <v>3</v>
      </c>
      <c r="H700">
        <v>0</v>
      </c>
      <c r="I700">
        <v>0</v>
      </c>
      <c r="J700">
        <v>0</v>
      </c>
      <c r="K700">
        <v>0</v>
      </c>
      <c r="L700">
        <v>0.191245</v>
      </c>
      <c r="M700" t="s">
        <v>27</v>
      </c>
      <c r="N700" t="s">
        <v>63</v>
      </c>
      <c r="O700" t="s">
        <v>64</v>
      </c>
      <c r="P700" t="s">
        <v>65</v>
      </c>
      <c r="Q700" t="s">
        <v>66</v>
      </c>
    </row>
    <row r="701" spans="1:17" x14ac:dyDescent="0.35">
      <c r="A701" t="s">
        <v>254</v>
      </c>
      <c r="B701">
        <v>18</v>
      </c>
      <c r="C701" t="s">
        <v>264</v>
      </c>
      <c r="D701" t="s">
        <v>61</v>
      </c>
      <c r="E701" t="s">
        <v>25</v>
      </c>
      <c r="F701" t="s">
        <v>62</v>
      </c>
      <c r="G701">
        <v>4</v>
      </c>
      <c r="H701">
        <v>0</v>
      </c>
      <c r="I701">
        <v>0</v>
      </c>
      <c r="J701">
        <v>0</v>
      </c>
      <c r="K701">
        <v>0</v>
      </c>
      <c r="L701">
        <v>0.216225</v>
      </c>
      <c r="M701" t="s">
        <v>27</v>
      </c>
      <c r="N701" t="s">
        <v>63</v>
      </c>
      <c r="O701" t="s">
        <v>64</v>
      </c>
      <c r="P701" t="s">
        <v>65</v>
      </c>
      <c r="Q701" t="s">
        <v>66</v>
      </c>
    </row>
    <row r="702" spans="1:17" x14ac:dyDescent="0.35">
      <c r="A702" t="s">
        <v>254</v>
      </c>
      <c r="B702">
        <v>19</v>
      </c>
      <c r="C702" t="s">
        <v>264</v>
      </c>
      <c r="D702" t="s">
        <v>61</v>
      </c>
      <c r="E702" t="s">
        <v>25</v>
      </c>
      <c r="F702" t="s">
        <v>62</v>
      </c>
      <c r="G702">
        <v>3</v>
      </c>
      <c r="H702">
        <v>0</v>
      </c>
      <c r="I702">
        <v>0</v>
      </c>
      <c r="J702">
        <v>0</v>
      </c>
      <c r="K702">
        <v>0</v>
      </c>
      <c r="L702">
        <v>0.20329</v>
      </c>
      <c r="M702" t="s">
        <v>27</v>
      </c>
      <c r="N702" t="s">
        <v>63</v>
      </c>
      <c r="O702" t="s">
        <v>64</v>
      </c>
      <c r="P702" t="s">
        <v>65</v>
      </c>
      <c r="Q702" t="s">
        <v>66</v>
      </c>
    </row>
    <row r="703" spans="1:17" x14ac:dyDescent="0.35">
      <c r="A703" t="s">
        <v>254</v>
      </c>
      <c r="B703">
        <v>20</v>
      </c>
      <c r="C703" t="s">
        <v>264</v>
      </c>
      <c r="D703" t="s">
        <v>61</v>
      </c>
      <c r="E703" t="s">
        <v>25</v>
      </c>
      <c r="F703" t="s">
        <v>62</v>
      </c>
      <c r="G703">
        <v>19</v>
      </c>
      <c r="H703">
        <v>0</v>
      </c>
      <c r="I703">
        <v>0</v>
      </c>
      <c r="J703">
        <v>0</v>
      </c>
      <c r="K703">
        <v>0</v>
      </c>
      <c r="L703">
        <v>0.220944</v>
      </c>
      <c r="M703" t="s">
        <v>27</v>
      </c>
      <c r="N703" t="s">
        <v>63</v>
      </c>
      <c r="O703" t="s">
        <v>64</v>
      </c>
      <c r="P703" t="s">
        <v>65</v>
      </c>
      <c r="Q703" t="s">
        <v>66</v>
      </c>
    </row>
    <row r="704" spans="1:17" x14ac:dyDescent="0.35">
      <c r="A704" t="s">
        <v>254</v>
      </c>
      <c r="B704">
        <v>21</v>
      </c>
      <c r="C704" t="s">
        <v>265</v>
      </c>
      <c r="D704" t="s">
        <v>61</v>
      </c>
      <c r="E704" t="s">
        <v>25</v>
      </c>
      <c r="F704" t="s">
        <v>62</v>
      </c>
      <c r="G704">
        <v>2</v>
      </c>
      <c r="H704">
        <v>0</v>
      </c>
      <c r="I704">
        <v>0</v>
      </c>
      <c r="J704">
        <v>0</v>
      </c>
      <c r="K704">
        <v>0</v>
      </c>
      <c r="L704">
        <v>0.20491400000000001</v>
      </c>
      <c r="M704" t="s">
        <v>27</v>
      </c>
      <c r="N704" t="s">
        <v>63</v>
      </c>
      <c r="O704" t="s">
        <v>64</v>
      </c>
      <c r="P704" t="s">
        <v>65</v>
      </c>
      <c r="Q704" t="s">
        <v>66</v>
      </c>
    </row>
    <row r="705" spans="1:17" x14ac:dyDescent="0.35">
      <c r="A705" t="s">
        <v>254</v>
      </c>
      <c r="B705">
        <v>22</v>
      </c>
      <c r="C705" t="s">
        <v>265</v>
      </c>
      <c r="D705" t="s">
        <v>61</v>
      </c>
      <c r="E705" t="s">
        <v>25</v>
      </c>
      <c r="F705" t="s">
        <v>62</v>
      </c>
      <c r="G705">
        <v>4</v>
      </c>
      <c r="H705">
        <v>0</v>
      </c>
      <c r="I705">
        <v>0</v>
      </c>
      <c r="J705">
        <v>0</v>
      </c>
      <c r="K705">
        <v>0</v>
      </c>
      <c r="L705">
        <v>0.21639700000000001</v>
      </c>
      <c r="M705" t="s">
        <v>27</v>
      </c>
      <c r="N705" t="s">
        <v>63</v>
      </c>
      <c r="O705" t="s">
        <v>64</v>
      </c>
      <c r="P705" t="s">
        <v>65</v>
      </c>
      <c r="Q705" t="s">
        <v>66</v>
      </c>
    </row>
    <row r="706" spans="1:17" x14ac:dyDescent="0.35">
      <c r="A706" t="s">
        <v>254</v>
      </c>
      <c r="B706">
        <v>23</v>
      </c>
      <c r="C706" t="s">
        <v>265</v>
      </c>
      <c r="D706" t="s">
        <v>61</v>
      </c>
      <c r="E706" t="s">
        <v>25</v>
      </c>
      <c r="F706" t="s">
        <v>62</v>
      </c>
      <c r="G706">
        <v>5</v>
      </c>
      <c r="H706">
        <v>0</v>
      </c>
      <c r="I706">
        <v>0</v>
      </c>
      <c r="J706">
        <v>0</v>
      </c>
      <c r="K706">
        <v>0</v>
      </c>
      <c r="L706">
        <v>0.191383</v>
      </c>
      <c r="M706" t="s">
        <v>27</v>
      </c>
      <c r="N706" t="s">
        <v>63</v>
      </c>
      <c r="O706" t="s">
        <v>64</v>
      </c>
      <c r="P706" t="s">
        <v>65</v>
      </c>
      <c r="Q706" t="s">
        <v>66</v>
      </c>
    </row>
    <row r="707" spans="1:17" x14ac:dyDescent="0.35">
      <c r="A707" t="s">
        <v>254</v>
      </c>
      <c r="B707">
        <v>24</v>
      </c>
      <c r="C707" t="s">
        <v>266</v>
      </c>
      <c r="D707" t="s">
        <v>61</v>
      </c>
      <c r="E707" t="s">
        <v>25</v>
      </c>
      <c r="F707" t="s">
        <v>62</v>
      </c>
      <c r="G707">
        <v>6</v>
      </c>
      <c r="H707">
        <v>0</v>
      </c>
      <c r="I707">
        <v>0</v>
      </c>
      <c r="J707">
        <v>0</v>
      </c>
      <c r="K707">
        <v>0</v>
      </c>
      <c r="L707">
        <v>0.239121</v>
      </c>
      <c r="M707" t="s">
        <v>27</v>
      </c>
      <c r="N707" t="s">
        <v>63</v>
      </c>
      <c r="O707" t="s">
        <v>64</v>
      </c>
      <c r="P707" t="s">
        <v>65</v>
      </c>
      <c r="Q707" t="s">
        <v>66</v>
      </c>
    </row>
    <row r="708" spans="1:17" x14ac:dyDescent="0.35">
      <c r="A708" t="s">
        <v>254</v>
      </c>
      <c r="B708">
        <v>25</v>
      </c>
      <c r="C708" t="s">
        <v>266</v>
      </c>
      <c r="D708" t="s">
        <v>61</v>
      </c>
      <c r="E708" t="s">
        <v>25</v>
      </c>
      <c r="F708" t="s">
        <v>62</v>
      </c>
      <c r="G708">
        <v>22</v>
      </c>
      <c r="H708">
        <v>0</v>
      </c>
      <c r="I708">
        <v>0</v>
      </c>
      <c r="J708">
        <v>0</v>
      </c>
      <c r="K708">
        <v>0</v>
      </c>
      <c r="L708">
        <v>0.191384</v>
      </c>
      <c r="M708" t="s">
        <v>27</v>
      </c>
      <c r="N708" t="s">
        <v>63</v>
      </c>
      <c r="O708" t="s">
        <v>64</v>
      </c>
      <c r="P708" t="s">
        <v>65</v>
      </c>
      <c r="Q708" t="s">
        <v>66</v>
      </c>
    </row>
    <row r="709" spans="1:17" x14ac:dyDescent="0.35">
      <c r="A709" t="s">
        <v>254</v>
      </c>
      <c r="B709">
        <v>26</v>
      </c>
      <c r="C709" t="s">
        <v>267</v>
      </c>
      <c r="D709" t="s">
        <v>61</v>
      </c>
      <c r="E709" t="s">
        <v>25</v>
      </c>
      <c r="F709" t="s">
        <v>62</v>
      </c>
      <c r="G709">
        <v>5</v>
      </c>
      <c r="H709">
        <v>0</v>
      </c>
      <c r="I709">
        <v>0</v>
      </c>
      <c r="J709">
        <v>0</v>
      </c>
      <c r="K709">
        <v>0</v>
      </c>
      <c r="L709">
        <v>0.18552299999999999</v>
      </c>
      <c r="M709" t="s">
        <v>27</v>
      </c>
      <c r="N709" t="s">
        <v>63</v>
      </c>
      <c r="O709" t="s">
        <v>64</v>
      </c>
      <c r="P709" t="s">
        <v>65</v>
      </c>
      <c r="Q709" t="s">
        <v>66</v>
      </c>
    </row>
    <row r="710" spans="1:17" x14ac:dyDescent="0.35">
      <c r="A710" t="s">
        <v>254</v>
      </c>
      <c r="B710">
        <v>27</v>
      </c>
      <c r="C710" t="s">
        <v>267</v>
      </c>
      <c r="D710" t="s">
        <v>61</v>
      </c>
      <c r="E710" t="s">
        <v>25</v>
      </c>
      <c r="F710" t="s">
        <v>62</v>
      </c>
      <c r="G710">
        <v>3</v>
      </c>
      <c r="H710">
        <v>0</v>
      </c>
      <c r="I710">
        <v>0</v>
      </c>
      <c r="J710">
        <v>0</v>
      </c>
      <c r="K710">
        <v>0</v>
      </c>
      <c r="L710">
        <v>0.236571</v>
      </c>
      <c r="M710" t="s">
        <v>27</v>
      </c>
      <c r="N710" t="s">
        <v>63</v>
      </c>
      <c r="O710" t="s">
        <v>64</v>
      </c>
      <c r="P710" t="s">
        <v>65</v>
      </c>
      <c r="Q710" t="s">
        <v>66</v>
      </c>
    </row>
    <row r="711" spans="1:17" x14ac:dyDescent="0.35">
      <c r="A711" t="s">
        <v>254</v>
      </c>
      <c r="B711">
        <v>28</v>
      </c>
      <c r="C711" t="s">
        <v>267</v>
      </c>
      <c r="D711" t="s">
        <v>61</v>
      </c>
      <c r="E711" t="s">
        <v>25</v>
      </c>
      <c r="F711" t="s">
        <v>62</v>
      </c>
      <c r="G711">
        <v>6</v>
      </c>
      <c r="H711">
        <v>0</v>
      </c>
      <c r="I711">
        <v>0</v>
      </c>
      <c r="J711">
        <v>0</v>
      </c>
      <c r="K711">
        <v>0</v>
      </c>
      <c r="L711">
        <v>0.22494700000000001</v>
      </c>
      <c r="M711" t="s">
        <v>27</v>
      </c>
      <c r="N711" t="s">
        <v>63</v>
      </c>
      <c r="O711" t="s">
        <v>64</v>
      </c>
      <c r="P711" t="s">
        <v>65</v>
      </c>
      <c r="Q711" t="s">
        <v>66</v>
      </c>
    </row>
    <row r="712" spans="1:17" x14ac:dyDescent="0.35">
      <c r="A712" t="s">
        <v>254</v>
      </c>
      <c r="B712">
        <v>29</v>
      </c>
      <c r="C712" t="s">
        <v>268</v>
      </c>
      <c r="D712" t="s">
        <v>61</v>
      </c>
      <c r="E712" t="s">
        <v>25</v>
      </c>
      <c r="F712" t="s">
        <v>62</v>
      </c>
      <c r="G712">
        <v>11</v>
      </c>
      <c r="H712">
        <v>0</v>
      </c>
      <c r="I712">
        <v>0</v>
      </c>
      <c r="J712">
        <v>0</v>
      </c>
      <c r="K712">
        <v>0</v>
      </c>
      <c r="L712">
        <v>0.23958399999999999</v>
      </c>
      <c r="M712" t="s">
        <v>27</v>
      </c>
      <c r="N712" t="s">
        <v>63</v>
      </c>
      <c r="O712" t="s">
        <v>64</v>
      </c>
      <c r="P712" t="s">
        <v>65</v>
      </c>
      <c r="Q712" t="s">
        <v>66</v>
      </c>
    </row>
    <row r="713" spans="1:17" x14ac:dyDescent="0.35">
      <c r="A713" t="s">
        <v>254</v>
      </c>
      <c r="B713">
        <v>30</v>
      </c>
      <c r="C713" t="s">
        <v>268</v>
      </c>
      <c r="D713" t="s">
        <v>61</v>
      </c>
      <c r="E713" t="s">
        <v>25</v>
      </c>
      <c r="F713" t="s">
        <v>62</v>
      </c>
      <c r="G713">
        <v>21</v>
      </c>
      <c r="H713">
        <v>0</v>
      </c>
      <c r="I713">
        <v>0</v>
      </c>
      <c r="J713">
        <v>0</v>
      </c>
      <c r="K713">
        <v>0</v>
      </c>
      <c r="L713">
        <v>0.19509799999999999</v>
      </c>
      <c r="M713" t="s">
        <v>27</v>
      </c>
      <c r="N713" t="s">
        <v>63</v>
      </c>
      <c r="O713" t="s">
        <v>64</v>
      </c>
      <c r="P713" t="s">
        <v>65</v>
      </c>
      <c r="Q713" t="s">
        <v>66</v>
      </c>
    </row>
    <row r="714" spans="1:17" x14ac:dyDescent="0.35">
      <c r="A714" t="s">
        <v>254</v>
      </c>
      <c r="B714">
        <v>31</v>
      </c>
      <c r="C714" t="s">
        <v>269</v>
      </c>
      <c r="D714" t="s">
        <v>61</v>
      </c>
      <c r="E714" t="s">
        <v>25</v>
      </c>
      <c r="F714" t="s">
        <v>62</v>
      </c>
      <c r="G714">
        <v>4</v>
      </c>
      <c r="H714">
        <v>0</v>
      </c>
      <c r="I714">
        <v>0</v>
      </c>
      <c r="J714">
        <v>0</v>
      </c>
      <c r="K714">
        <v>0</v>
      </c>
      <c r="L714">
        <v>0.199521</v>
      </c>
      <c r="M714" t="s">
        <v>27</v>
      </c>
      <c r="N714" t="s">
        <v>63</v>
      </c>
      <c r="O714" t="s">
        <v>64</v>
      </c>
      <c r="P714" t="s">
        <v>65</v>
      </c>
      <c r="Q714" t="s">
        <v>66</v>
      </c>
    </row>
    <row r="715" spans="1:17" x14ac:dyDescent="0.35">
      <c r="A715" t="s">
        <v>254</v>
      </c>
      <c r="B715">
        <v>32</v>
      </c>
      <c r="C715" t="s">
        <v>269</v>
      </c>
      <c r="D715" t="s">
        <v>61</v>
      </c>
      <c r="E715" t="s">
        <v>25</v>
      </c>
      <c r="F715" t="s">
        <v>62</v>
      </c>
      <c r="G715">
        <v>6</v>
      </c>
      <c r="H715">
        <v>0</v>
      </c>
      <c r="I715">
        <v>0</v>
      </c>
      <c r="J715">
        <v>0</v>
      </c>
      <c r="K715">
        <v>0</v>
      </c>
      <c r="L715">
        <v>0.19652900000000001</v>
      </c>
      <c r="M715" t="s">
        <v>27</v>
      </c>
      <c r="N715" t="s">
        <v>63</v>
      </c>
      <c r="O715" t="s">
        <v>64</v>
      </c>
      <c r="P715" t="s">
        <v>65</v>
      </c>
      <c r="Q715" t="s">
        <v>66</v>
      </c>
    </row>
    <row r="716" spans="1:17" x14ac:dyDescent="0.35">
      <c r="A716" t="s">
        <v>254</v>
      </c>
      <c r="B716">
        <v>33</v>
      </c>
      <c r="C716" t="s">
        <v>269</v>
      </c>
      <c r="D716" t="s">
        <v>61</v>
      </c>
      <c r="E716" t="s">
        <v>25</v>
      </c>
      <c r="F716" t="s">
        <v>62</v>
      </c>
      <c r="G716">
        <v>4</v>
      </c>
      <c r="H716">
        <v>0</v>
      </c>
      <c r="I716">
        <v>0</v>
      </c>
      <c r="J716">
        <v>0</v>
      </c>
      <c r="K716">
        <v>0</v>
      </c>
      <c r="L716">
        <v>0.20288500000000001</v>
      </c>
      <c r="M716" t="s">
        <v>27</v>
      </c>
      <c r="N716" t="s">
        <v>63</v>
      </c>
      <c r="O716" t="s">
        <v>64</v>
      </c>
      <c r="P716" t="s">
        <v>65</v>
      </c>
      <c r="Q716" t="s">
        <v>66</v>
      </c>
    </row>
    <row r="717" spans="1:17" x14ac:dyDescent="0.35">
      <c r="A717" t="s">
        <v>254</v>
      </c>
      <c r="B717">
        <v>34</v>
      </c>
      <c r="C717" t="s">
        <v>270</v>
      </c>
      <c r="D717" t="s">
        <v>61</v>
      </c>
      <c r="E717" t="s">
        <v>25</v>
      </c>
      <c r="F717" t="s">
        <v>62</v>
      </c>
      <c r="G717">
        <v>8</v>
      </c>
      <c r="H717">
        <v>0</v>
      </c>
      <c r="I717">
        <v>0</v>
      </c>
      <c r="J717">
        <v>0</v>
      </c>
      <c r="K717">
        <v>0</v>
      </c>
      <c r="L717">
        <v>0.198966</v>
      </c>
      <c r="M717" t="s">
        <v>27</v>
      </c>
      <c r="N717" t="s">
        <v>63</v>
      </c>
      <c r="O717" t="s">
        <v>64</v>
      </c>
      <c r="P717" t="s">
        <v>65</v>
      </c>
      <c r="Q717" t="s">
        <v>66</v>
      </c>
    </row>
    <row r="718" spans="1:17" x14ac:dyDescent="0.35">
      <c r="A718" t="s">
        <v>254</v>
      </c>
      <c r="B718">
        <v>35</v>
      </c>
      <c r="C718" t="s">
        <v>270</v>
      </c>
      <c r="D718" t="s">
        <v>61</v>
      </c>
      <c r="E718" t="s">
        <v>25</v>
      </c>
      <c r="F718" t="s">
        <v>62</v>
      </c>
      <c r="G718">
        <v>13</v>
      </c>
      <c r="H718">
        <v>0</v>
      </c>
      <c r="I718">
        <v>0</v>
      </c>
      <c r="J718">
        <v>0</v>
      </c>
      <c r="K718">
        <v>0</v>
      </c>
      <c r="L718">
        <v>0.22004599999999999</v>
      </c>
      <c r="M718" t="s">
        <v>27</v>
      </c>
      <c r="N718" t="s">
        <v>63</v>
      </c>
      <c r="O718" t="s">
        <v>64</v>
      </c>
      <c r="P718" t="s">
        <v>65</v>
      </c>
      <c r="Q718" t="s">
        <v>66</v>
      </c>
    </row>
    <row r="719" spans="1:17" x14ac:dyDescent="0.35">
      <c r="A719" t="s">
        <v>254</v>
      </c>
      <c r="B719">
        <v>36</v>
      </c>
      <c r="C719" t="s">
        <v>271</v>
      </c>
      <c r="D719" t="s">
        <v>61</v>
      </c>
      <c r="E719" t="s">
        <v>25</v>
      </c>
      <c r="F719" t="s">
        <v>62</v>
      </c>
      <c r="G719">
        <v>4</v>
      </c>
      <c r="H719">
        <v>0</v>
      </c>
      <c r="I719">
        <v>0</v>
      </c>
      <c r="J719">
        <v>0</v>
      </c>
      <c r="K719">
        <v>0</v>
      </c>
      <c r="L719">
        <v>0.333922</v>
      </c>
      <c r="M719" t="s">
        <v>27</v>
      </c>
      <c r="N719" t="s">
        <v>63</v>
      </c>
      <c r="O719" t="s">
        <v>64</v>
      </c>
      <c r="P719" t="s">
        <v>65</v>
      </c>
      <c r="Q719" t="s">
        <v>66</v>
      </c>
    </row>
    <row r="720" spans="1:17" x14ac:dyDescent="0.35">
      <c r="A720" t="s">
        <v>254</v>
      </c>
      <c r="B720">
        <v>37</v>
      </c>
      <c r="C720" t="s">
        <v>271</v>
      </c>
      <c r="D720" t="s">
        <v>61</v>
      </c>
      <c r="E720" t="s">
        <v>25</v>
      </c>
      <c r="F720" t="s">
        <v>62</v>
      </c>
      <c r="G720">
        <v>3</v>
      </c>
      <c r="H720">
        <v>0</v>
      </c>
      <c r="I720">
        <v>0</v>
      </c>
      <c r="J720">
        <v>0</v>
      </c>
      <c r="K720">
        <v>0</v>
      </c>
      <c r="L720">
        <v>0.18719</v>
      </c>
      <c r="M720" t="s">
        <v>27</v>
      </c>
      <c r="N720" t="s">
        <v>63</v>
      </c>
      <c r="O720" t="s">
        <v>64</v>
      </c>
      <c r="P720" t="s">
        <v>65</v>
      </c>
      <c r="Q720" t="s">
        <v>66</v>
      </c>
    </row>
    <row r="721" spans="1:17" x14ac:dyDescent="0.35">
      <c r="A721" t="s">
        <v>254</v>
      </c>
      <c r="B721">
        <v>38</v>
      </c>
      <c r="C721" t="s">
        <v>272</v>
      </c>
      <c r="D721" t="s">
        <v>61</v>
      </c>
      <c r="E721" t="s">
        <v>25</v>
      </c>
      <c r="F721" t="s">
        <v>62</v>
      </c>
      <c r="G721">
        <v>4</v>
      </c>
      <c r="H721">
        <v>0</v>
      </c>
      <c r="I721">
        <v>0</v>
      </c>
      <c r="J721">
        <v>0</v>
      </c>
      <c r="K721">
        <v>0</v>
      </c>
      <c r="L721">
        <v>0.19051999999999999</v>
      </c>
      <c r="M721" t="s">
        <v>27</v>
      </c>
      <c r="N721" t="s">
        <v>63</v>
      </c>
      <c r="O721" t="s">
        <v>64</v>
      </c>
      <c r="P721" t="s">
        <v>65</v>
      </c>
      <c r="Q721" t="s">
        <v>66</v>
      </c>
    </row>
    <row r="722" spans="1:17" x14ac:dyDescent="0.35">
      <c r="A722" t="s">
        <v>254</v>
      </c>
      <c r="B722">
        <v>39</v>
      </c>
      <c r="C722" t="s">
        <v>272</v>
      </c>
      <c r="D722" t="s">
        <v>61</v>
      </c>
      <c r="E722" t="s">
        <v>25</v>
      </c>
      <c r="F722" t="s">
        <v>62</v>
      </c>
      <c r="G722">
        <v>4</v>
      </c>
      <c r="H722">
        <v>0</v>
      </c>
      <c r="I722">
        <v>0</v>
      </c>
      <c r="J722">
        <v>0</v>
      </c>
      <c r="K722">
        <v>0</v>
      </c>
      <c r="L722">
        <v>0.315888</v>
      </c>
      <c r="M722" t="s">
        <v>27</v>
      </c>
      <c r="N722" t="s">
        <v>63</v>
      </c>
      <c r="O722" t="s">
        <v>64</v>
      </c>
      <c r="P722" t="s">
        <v>65</v>
      </c>
      <c r="Q722" t="s">
        <v>66</v>
      </c>
    </row>
    <row r="723" spans="1:17" x14ac:dyDescent="0.35">
      <c r="A723" t="s">
        <v>254</v>
      </c>
      <c r="B723">
        <v>40</v>
      </c>
      <c r="C723" t="s">
        <v>272</v>
      </c>
      <c r="D723" t="s">
        <v>61</v>
      </c>
      <c r="E723" t="s">
        <v>25</v>
      </c>
      <c r="F723" t="s">
        <v>62</v>
      </c>
      <c r="G723">
        <v>13</v>
      </c>
      <c r="H723">
        <v>0</v>
      </c>
      <c r="I723">
        <v>0</v>
      </c>
      <c r="J723">
        <v>0</v>
      </c>
      <c r="K723">
        <v>0</v>
      </c>
      <c r="L723">
        <v>0.234704</v>
      </c>
      <c r="M723" t="s">
        <v>27</v>
      </c>
      <c r="N723" t="s">
        <v>63</v>
      </c>
      <c r="O723" t="s">
        <v>64</v>
      </c>
      <c r="P723" t="s">
        <v>65</v>
      </c>
      <c r="Q723" t="s">
        <v>66</v>
      </c>
    </row>
    <row r="724" spans="1:17" x14ac:dyDescent="0.35">
      <c r="A724" t="s">
        <v>254</v>
      </c>
      <c r="B724">
        <v>41</v>
      </c>
      <c r="C724" t="s">
        <v>273</v>
      </c>
      <c r="D724" t="s">
        <v>61</v>
      </c>
      <c r="E724" t="s">
        <v>25</v>
      </c>
      <c r="F724" t="s">
        <v>62</v>
      </c>
      <c r="G724">
        <v>4</v>
      </c>
      <c r="H724">
        <v>0</v>
      </c>
      <c r="I724">
        <v>0</v>
      </c>
      <c r="J724">
        <v>0</v>
      </c>
      <c r="K724">
        <v>0</v>
      </c>
      <c r="L724">
        <v>0.28743400000000002</v>
      </c>
      <c r="M724" t="s">
        <v>27</v>
      </c>
      <c r="N724" t="s">
        <v>63</v>
      </c>
      <c r="O724" t="s">
        <v>64</v>
      </c>
      <c r="P724" t="s">
        <v>65</v>
      </c>
      <c r="Q724" t="s">
        <v>66</v>
      </c>
    </row>
    <row r="725" spans="1:17" x14ac:dyDescent="0.35">
      <c r="A725" t="s">
        <v>254</v>
      </c>
      <c r="B725">
        <v>42</v>
      </c>
      <c r="C725" t="s">
        <v>273</v>
      </c>
      <c r="D725" t="s">
        <v>61</v>
      </c>
      <c r="E725" t="s">
        <v>25</v>
      </c>
      <c r="F725" t="s">
        <v>62</v>
      </c>
      <c r="G725">
        <v>3</v>
      </c>
      <c r="H725">
        <v>0</v>
      </c>
      <c r="I725">
        <v>0</v>
      </c>
      <c r="J725">
        <v>0</v>
      </c>
      <c r="K725">
        <v>0</v>
      </c>
      <c r="L725">
        <v>0.18753500000000001</v>
      </c>
      <c r="M725" t="s">
        <v>27</v>
      </c>
      <c r="N725" t="s">
        <v>63</v>
      </c>
      <c r="O725" t="s">
        <v>64</v>
      </c>
      <c r="P725" t="s">
        <v>65</v>
      </c>
      <c r="Q725" t="s">
        <v>66</v>
      </c>
    </row>
    <row r="726" spans="1:17" x14ac:dyDescent="0.35">
      <c r="A726" t="s">
        <v>254</v>
      </c>
      <c r="B726">
        <v>43</v>
      </c>
      <c r="C726" t="s">
        <v>274</v>
      </c>
      <c r="D726" t="s">
        <v>61</v>
      </c>
      <c r="E726" t="s">
        <v>25</v>
      </c>
      <c r="F726" t="s">
        <v>62</v>
      </c>
      <c r="G726">
        <v>4</v>
      </c>
      <c r="H726">
        <v>0</v>
      </c>
      <c r="I726">
        <v>0</v>
      </c>
      <c r="J726">
        <v>0</v>
      </c>
      <c r="K726">
        <v>0</v>
      </c>
      <c r="L726">
        <v>0.29484500000000002</v>
      </c>
      <c r="M726" t="s">
        <v>27</v>
      </c>
      <c r="N726" t="s">
        <v>63</v>
      </c>
      <c r="O726" t="s">
        <v>64</v>
      </c>
      <c r="P726" t="s">
        <v>65</v>
      </c>
      <c r="Q726" t="s">
        <v>66</v>
      </c>
    </row>
    <row r="727" spans="1:17" x14ac:dyDescent="0.35">
      <c r="A727" t="s">
        <v>254</v>
      </c>
      <c r="B727">
        <v>44</v>
      </c>
      <c r="C727" t="s">
        <v>274</v>
      </c>
      <c r="D727" t="s">
        <v>61</v>
      </c>
      <c r="E727" t="s">
        <v>25</v>
      </c>
      <c r="F727" t="s">
        <v>62</v>
      </c>
      <c r="G727">
        <v>4</v>
      </c>
      <c r="H727">
        <v>0</v>
      </c>
      <c r="I727">
        <v>0</v>
      </c>
      <c r="J727">
        <v>0</v>
      </c>
      <c r="K727">
        <v>0</v>
      </c>
      <c r="L727">
        <v>0.220362</v>
      </c>
      <c r="M727" t="s">
        <v>27</v>
      </c>
      <c r="N727" t="s">
        <v>63</v>
      </c>
      <c r="O727" t="s">
        <v>64</v>
      </c>
      <c r="P727" t="s">
        <v>65</v>
      </c>
      <c r="Q727" t="s">
        <v>66</v>
      </c>
    </row>
    <row r="728" spans="1:17" x14ac:dyDescent="0.35">
      <c r="A728" t="s">
        <v>254</v>
      </c>
      <c r="B728">
        <v>45</v>
      </c>
      <c r="C728" t="s">
        <v>274</v>
      </c>
      <c r="D728" t="s">
        <v>61</v>
      </c>
      <c r="E728" t="s">
        <v>25</v>
      </c>
      <c r="F728" t="s">
        <v>62</v>
      </c>
      <c r="G728">
        <v>25</v>
      </c>
      <c r="H728">
        <v>0</v>
      </c>
      <c r="I728">
        <v>0</v>
      </c>
      <c r="J728">
        <v>0</v>
      </c>
      <c r="K728">
        <v>0</v>
      </c>
      <c r="L728">
        <v>0.206931</v>
      </c>
      <c r="M728" t="s">
        <v>27</v>
      </c>
      <c r="N728" t="s">
        <v>63</v>
      </c>
      <c r="O728" t="s">
        <v>64</v>
      </c>
      <c r="P728" t="s">
        <v>65</v>
      </c>
      <c r="Q728" t="s">
        <v>66</v>
      </c>
    </row>
    <row r="729" spans="1:17" x14ac:dyDescent="0.35">
      <c r="A729" t="s">
        <v>254</v>
      </c>
      <c r="B729">
        <v>46</v>
      </c>
      <c r="C729" t="s">
        <v>275</v>
      </c>
      <c r="D729" t="s">
        <v>82</v>
      </c>
      <c r="E729" t="s">
        <v>25</v>
      </c>
      <c r="F729" t="s">
        <v>62</v>
      </c>
      <c r="G729">
        <v>226</v>
      </c>
      <c r="H729">
        <v>0</v>
      </c>
      <c r="I729">
        <v>0</v>
      </c>
      <c r="J729">
        <v>0</v>
      </c>
      <c r="K729">
        <v>5.0000000000000004E-6</v>
      </c>
      <c r="L729">
        <v>0.46220499999999998</v>
      </c>
      <c r="M729" t="s">
        <v>27</v>
      </c>
      <c r="N729" t="s">
        <v>63</v>
      </c>
      <c r="O729" t="s">
        <v>113</v>
      </c>
      <c r="P729" t="s">
        <v>114</v>
      </c>
      <c r="Q729" t="s">
        <v>115</v>
      </c>
    </row>
    <row r="730" spans="1:17" x14ac:dyDescent="0.35">
      <c r="A730" t="s">
        <v>254</v>
      </c>
      <c r="B730">
        <v>47</v>
      </c>
      <c r="C730" t="s">
        <v>275</v>
      </c>
      <c r="D730" t="s">
        <v>82</v>
      </c>
      <c r="E730" t="s">
        <v>25</v>
      </c>
      <c r="F730" t="s">
        <v>62</v>
      </c>
      <c r="G730">
        <v>226</v>
      </c>
      <c r="H730">
        <v>0</v>
      </c>
      <c r="I730">
        <v>0</v>
      </c>
      <c r="J730">
        <v>0</v>
      </c>
      <c r="K730">
        <v>5.0000000000000004E-6</v>
      </c>
      <c r="L730">
        <v>0.46416099999999999</v>
      </c>
      <c r="M730" t="s">
        <v>27</v>
      </c>
      <c r="N730" t="s">
        <v>63</v>
      </c>
      <c r="O730" t="s">
        <v>113</v>
      </c>
      <c r="P730" t="s">
        <v>114</v>
      </c>
      <c r="Q730" t="s">
        <v>115</v>
      </c>
    </row>
    <row r="731" spans="1:17" x14ac:dyDescent="0.35">
      <c r="A731" t="s">
        <v>254</v>
      </c>
      <c r="B731">
        <v>48</v>
      </c>
      <c r="C731" t="s">
        <v>275</v>
      </c>
      <c r="D731" t="s">
        <v>82</v>
      </c>
      <c r="E731" t="s">
        <v>25</v>
      </c>
      <c r="F731" t="s">
        <v>62</v>
      </c>
      <c r="G731">
        <v>225</v>
      </c>
      <c r="H731">
        <v>0</v>
      </c>
      <c r="I731">
        <v>0</v>
      </c>
      <c r="J731">
        <v>0</v>
      </c>
      <c r="K731">
        <v>5.0000000000000004E-6</v>
      </c>
      <c r="L731">
        <v>0.50943099999999997</v>
      </c>
      <c r="M731" t="s">
        <v>27</v>
      </c>
      <c r="N731" t="s">
        <v>63</v>
      </c>
      <c r="O731" t="s">
        <v>113</v>
      </c>
      <c r="P731" t="s">
        <v>114</v>
      </c>
      <c r="Q731" t="s">
        <v>115</v>
      </c>
    </row>
    <row r="732" spans="1:17" x14ac:dyDescent="0.35">
      <c r="A732" t="s">
        <v>254</v>
      </c>
      <c r="B732">
        <v>49</v>
      </c>
      <c r="C732" t="s">
        <v>276</v>
      </c>
      <c r="D732" t="s">
        <v>82</v>
      </c>
      <c r="E732" t="s">
        <v>25</v>
      </c>
      <c r="F732" t="s">
        <v>26</v>
      </c>
      <c r="G732">
        <v>6550</v>
      </c>
      <c r="H732">
        <v>0</v>
      </c>
      <c r="I732">
        <v>609</v>
      </c>
      <c r="J732">
        <v>0</v>
      </c>
      <c r="K732">
        <v>2.2464999999999999E-2</v>
      </c>
      <c r="L732">
        <v>8.0510149999999996</v>
      </c>
      <c r="M732" t="s">
        <v>27</v>
      </c>
      <c r="N732" t="s">
        <v>28</v>
      </c>
      <c r="O732" t="s">
        <v>113</v>
      </c>
      <c r="P732" t="s">
        <v>114</v>
      </c>
      <c r="Q732" t="s">
        <v>115</v>
      </c>
    </row>
    <row r="733" spans="1:17" x14ac:dyDescent="0.35">
      <c r="A733" t="s">
        <v>254</v>
      </c>
      <c r="B733">
        <v>50</v>
      </c>
      <c r="C733" t="s">
        <v>277</v>
      </c>
      <c r="D733" t="s">
        <v>82</v>
      </c>
      <c r="E733" t="s">
        <v>25</v>
      </c>
      <c r="F733" t="s">
        <v>26</v>
      </c>
      <c r="G733">
        <v>7624</v>
      </c>
      <c r="H733">
        <v>0</v>
      </c>
      <c r="I733">
        <v>581</v>
      </c>
      <c r="J733">
        <v>0</v>
      </c>
      <c r="K733">
        <v>2.487E-2</v>
      </c>
      <c r="L733">
        <v>8.8459380000000003</v>
      </c>
      <c r="M733" t="s">
        <v>27</v>
      </c>
      <c r="N733" t="s">
        <v>28</v>
      </c>
      <c r="O733" t="s">
        <v>113</v>
      </c>
      <c r="P733" t="s">
        <v>114</v>
      </c>
      <c r="Q733" t="s">
        <v>115</v>
      </c>
    </row>
    <row r="734" spans="1:17" x14ac:dyDescent="0.35">
      <c r="A734" t="s">
        <v>254</v>
      </c>
      <c r="B734">
        <v>51</v>
      </c>
      <c r="C734" t="s">
        <v>278</v>
      </c>
      <c r="D734" t="s">
        <v>82</v>
      </c>
      <c r="E734" t="s">
        <v>25</v>
      </c>
      <c r="F734" t="s">
        <v>26</v>
      </c>
      <c r="G734">
        <v>6785</v>
      </c>
      <c r="H734">
        <v>0</v>
      </c>
      <c r="I734">
        <v>583</v>
      </c>
      <c r="J734">
        <v>0</v>
      </c>
      <c r="K734">
        <v>2.2793000000000001E-2</v>
      </c>
      <c r="L734">
        <v>18.18103</v>
      </c>
      <c r="M734" t="s">
        <v>27</v>
      </c>
      <c r="N734" t="s">
        <v>28</v>
      </c>
      <c r="O734" t="s">
        <v>113</v>
      </c>
      <c r="P734" t="s">
        <v>114</v>
      </c>
      <c r="Q734" t="s">
        <v>115</v>
      </c>
    </row>
    <row r="735" spans="1:17" x14ac:dyDescent="0.35">
      <c r="A735" t="s">
        <v>254</v>
      </c>
      <c r="B735">
        <v>52</v>
      </c>
      <c r="C735" t="s">
        <v>279</v>
      </c>
      <c r="D735" t="s">
        <v>121</v>
      </c>
      <c r="E735" t="s">
        <v>25</v>
      </c>
      <c r="F735" t="s">
        <v>26</v>
      </c>
      <c r="G735">
        <v>6740</v>
      </c>
      <c r="H735">
        <v>0</v>
      </c>
      <c r="I735">
        <v>642</v>
      </c>
      <c r="J735">
        <v>0</v>
      </c>
      <c r="K735">
        <v>2.3269999999999999E-2</v>
      </c>
      <c r="L735">
        <v>11.561731</v>
      </c>
      <c r="M735" t="s">
        <v>27</v>
      </c>
      <c r="N735" t="s">
        <v>28</v>
      </c>
      <c r="O735" t="s">
        <v>122</v>
      </c>
      <c r="P735" t="s">
        <v>123</v>
      </c>
      <c r="Q735" t="s">
        <v>124</v>
      </c>
    </row>
    <row r="736" spans="1:17" x14ac:dyDescent="0.35">
      <c r="A736" t="s">
        <v>254</v>
      </c>
      <c r="B736">
        <v>53</v>
      </c>
      <c r="C736" t="s">
        <v>280</v>
      </c>
      <c r="D736" t="s">
        <v>121</v>
      </c>
      <c r="E736" t="s">
        <v>25</v>
      </c>
      <c r="F736" t="s">
        <v>26</v>
      </c>
      <c r="G736">
        <v>6935</v>
      </c>
      <c r="H736">
        <v>0</v>
      </c>
      <c r="I736">
        <v>653</v>
      </c>
      <c r="J736">
        <v>0</v>
      </c>
      <c r="K736">
        <v>2.3866999999999999E-2</v>
      </c>
      <c r="L736">
        <v>13.419442999999999</v>
      </c>
      <c r="M736" t="s">
        <v>27</v>
      </c>
      <c r="N736" t="s">
        <v>28</v>
      </c>
      <c r="O736" t="s">
        <v>122</v>
      </c>
      <c r="P736" t="s">
        <v>123</v>
      </c>
      <c r="Q736" t="s">
        <v>124</v>
      </c>
    </row>
    <row r="737" spans="1:17" x14ac:dyDescent="0.35">
      <c r="A737" t="s">
        <v>254</v>
      </c>
      <c r="B737">
        <v>54</v>
      </c>
      <c r="C737" t="s">
        <v>281</v>
      </c>
      <c r="D737" t="s">
        <v>121</v>
      </c>
      <c r="E737" t="s">
        <v>25</v>
      </c>
      <c r="F737" t="s">
        <v>26</v>
      </c>
      <c r="G737">
        <v>8416</v>
      </c>
      <c r="H737">
        <v>0</v>
      </c>
      <c r="I737">
        <v>991</v>
      </c>
      <c r="J737">
        <v>0</v>
      </c>
      <c r="K737">
        <v>3.0949999999999998E-2</v>
      </c>
      <c r="L737">
        <v>14.071842</v>
      </c>
      <c r="M737" t="s">
        <v>27</v>
      </c>
      <c r="N737" t="s">
        <v>28</v>
      </c>
      <c r="O737" t="s">
        <v>122</v>
      </c>
      <c r="P737" t="s">
        <v>123</v>
      </c>
      <c r="Q737" t="s">
        <v>124</v>
      </c>
    </row>
    <row r="738" spans="1:17" x14ac:dyDescent="0.35">
      <c r="A738" t="s">
        <v>254</v>
      </c>
      <c r="B738">
        <v>55</v>
      </c>
      <c r="C738" t="s">
        <v>281</v>
      </c>
      <c r="D738" t="s">
        <v>121</v>
      </c>
      <c r="E738" t="s">
        <v>25</v>
      </c>
      <c r="F738" t="s">
        <v>26</v>
      </c>
      <c r="G738">
        <v>9040</v>
      </c>
      <c r="H738">
        <v>0</v>
      </c>
      <c r="I738">
        <v>1028</v>
      </c>
      <c r="J738">
        <v>0</v>
      </c>
      <c r="K738">
        <v>3.288E-2</v>
      </c>
      <c r="L738">
        <v>14.108475</v>
      </c>
      <c r="M738" t="s">
        <v>27</v>
      </c>
      <c r="N738" t="s">
        <v>28</v>
      </c>
      <c r="O738" t="s">
        <v>122</v>
      </c>
      <c r="P738" t="s">
        <v>123</v>
      </c>
      <c r="Q738" t="s">
        <v>124</v>
      </c>
    </row>
    <row r="739" spans="1:17" x14ac:dyDescent="0.35">
      <c r="A739" t="s">
        <v>254</v>
      </c>
      <c r="B739">
        <v>56</v>
      </c>
      <c r="C739" t="s">
        <v>281</v>
      </c>
      <c r="D739" t="s">
        <v>121</v>
      </c>
      <c r="E739" t="s">
        <v>25</v>
      </c>
      <c r="F739" t="s">
        <v>26</v>
      </c>
      <c r="G739">
        <v>8958</v>
      </c>
      <c r="H739">
        <v>0</v>
      </c>
      <c r="I739">
        <v>891</v>
      </c>
      <c r="J739">
        <v>0</v>
      </c>
      <c r="K739">
        <v>3.1304999999999999E-2</v>
      </c>
      <c r="L739">
        <v>14.200424999999999</v>
      </c>
      <c r="M739" t="s">
        <v>27</v>
      </c>
      <c r="N739" t="s">
        <v>28</v>
      </c>
      <c r="O739" t="s">
        <v>122</v>
      </c>
      <c r="P739" t="s">
        <v>123</v>
      </c>
      <c r="Q739" t="s">
        <v>124</v>
      </c>
    </row>
    <row r="740" spans="1:17" x14ac:dyDescent="0.35">
      <c r="A740" t="s">
        <v>254</v>
      </c>
      <c r="B740">
        <v>57</v>
      </c>
      <c r="C740" t="s">
        <v>282</v>
      </c>
      <c r="D740" t="s">
        <v>121</v>
      </c>
      <c r="E740" t="s">
        <v>25</v>
      </c>
      <c r="F740" t="s">
        <v>26</v>
      </c>
      <c r="G740">
        <v>9372</v>
      </c>
      <c r="H740">
        <v>0</v>
      </c>
      <c r="I740">
        <v>1302</v>
      </c>
      <c r="J740">
        <v>0</v>
      </c>
      <c r="K740">
        <v>3.6450000000000003E-2</v>
      </c>
      <c r="L740">
        <v>17.040723</v>
      </c>
      <c r="M740" t="s">
        <v>27</v>
      </c>
      <c r="N740" t="s">
        <v>28</v>
      </c>
      <c r="O740" t="s">
        <v>122</v>
      </c>
      <c r="P740" t="s">
        <v>123</v>
      </c>
      <c r="Q740" t="s">
        <v>124</v>
      </c>
    </row>
    <row r="741" spans="1:17" x14ac:dyDescent="0.35">
      <c r="A741" t="s">
        <v>254</v>
      </c>
      <c r="B741">
        <v>58</v>
      </c>
      <c r="C741" t="s">
        <v>283</v>
      </c>
      <c r="D741" t="s">
        <v>121</v>
      </c>
      <c r="E741" t="s">
        <v>25</v>
      </c>
      <c r="F741" t="s">
        <v>26</v>
      </c>
      <c r="G741">
        <v>8634</v>
      </c>
      <c r="H741">
        <v>0</v>
      </c>
      <c r="I741">
        <v>975</v>
      </c>
      <c r="J741">
        <v>0</v>
      </c>
      <c r="K741">
        <v>3.1335000000000002E-2</v>
      </c>
      <c r="L741">
        <v>12.426213000000001</v>
      </c>
      <c r="M741" t="s">
        <v>27</v>
      </c>
      <c r="N741" t="s">
        <v>28</v>
      </c>
      <c r="O741" t="s">
        <v>122</v>
      </c>
      <c r="P741" t="s">
        <v>123</v>
      </c>
      <c r="Q741" t="s">
        <v>124</v>
      </c>
    </row>
    <row r="742" spans="1:17" x14ac:dyDescent="0.35">
      <c r="A742" t="s">
        <v>254</v>
      </c>
      <c r="B742">
        <v>59</v>
      </c>
      <c r="C742" t="s">
        <v>284</v>
      </c>
      <c r="D742" t="s">
        <v>121</v>
      </c>
      <c r="E742" t="s">
        <v>25</v>
      </c>
      <c r="F742" t="s">
        <v>26</v>
      </c>
      <c r="G742">
        <v>11012</v>
      </c>
      <c r="H742">
        <v>0</v>
      </c>
      <c r="I742">
        <v>1970</v>
      </c>
      <c r="J742">
        <v>0</v>
      </c>
      <c r="K742">
        <v>4.7230000000000001E-2</v>
      </c>
      <c r="L742">
        <v>29.836447</v>
      </c>
      <c r="M742" t="s">
        <v>27</v>
      </c>
      <c r="N742" t="s">
        <v>28</v>
      </c>
      <c r="O742" t="s">
        <v>122</v>
      </c>
      <c r="P742" t="s">
        <v>123</v>
      </c>
      <c r="Q742" t="s">
        <v>124</v>
      </c>
    </row>
    <row r="743" spans="1:17" x14ac:dyDescent="0.35">
      <c r="A743" t="s">
        <v>254</v>
      </c>
      <c r="B743">
        <v>60</v>
      </c>
      <c r="C743" t="s">
        <v>285</v>
      </c>
      <c r="D743" t="s">
        <v>133</v>
      </c>
      <c r="E743" t="s">
        <v>25</v>
      </c>
      <c r="F743" t="s">
        <v>26</v>
      </c>
      <c r="G743">
        <v>3042</v>
      </c>
      <c r="H743">
        <v>0</v>
      </c>
      <c r="I743">
        <v>390</v>
      </c>
      <c r="J743">
        <v>0</v>
      </c>
      <c r="K743">
        <v>1.1505E-2</v>
      </c>
      <c r="L743">
        <v>4.747007</v>
      </c>
      <c r="M743" t="s">
        <v>27</v>
      </c>
      <c r="N743" t="s">
        <v>28</v>
      </c>
      <c r="O743" t="s">
        <v>122</v>
      </c>
      <c r="P743" t="s">
        <v>123</v>
      </c>
      <c r="Q743" t="s">
        <v>134</v>
      </c>
    </row>
    <row r="744" spans="1:17" x14ac:dyDescent="0.35">
      <c r="A744" t="s">
        <v>286</v>
      </c>
      <c r="B744">
        <v>1</v>
      </c>
      <c r="C744" t="s">
        <v>287</v>
      </c>
      <c r="D744" t="s">
        <v>24</v>
      </c>
      <c r="E744" t="s">
        <v>25</v>
      </c>
      <c r="F744" t="s">
        <v>26</v>
      </c>
      <c r="G744">
        <v>1176</v>
      </c>
      <c r="H744">
        <v>1024</v>
      </c>
      <c r="I744">
        <v>322</v>
      </c>
      <c r="J744">
        <v>0</v>
      </c>
      <c r="K744">
        <v>4.8799999999999998E-3</v>
      </c>
      <c r="L744">
        <v>5.1643280000000003</v>
      </c>
      <c r="M744" t="s">
        <v>27</v>
      </c>
      <c r="N744" t="s">
        <v>28</v>
      </c>
      <c r="O744" t="s">
        <v>29</v>
      </c>
      <c r="P744" t="s">
        <v>30</v>
      </c>
      <c r="Q744" t="s">
        <v>31</v>
      </c>
    </row>
    <row r="745" spans="1:17" x14ac:dyDescent="0.35">
      <c r="A745" t="s">
        <v>286</v>
      </c>
      <c r="B745">
        <v>2</v>
      </c>
      <c r="C745" t="s">
        <v>288</v>
      </c>
      <c r="D745" t="s">
        <v>33</v>
      </c>
      <c r="E745" t="s">
        <v>25</v>
      </c>
      <c r="F745" t="s">
        <v>34</v>
      </c>
      <c r="G745">
        <v>427</v>
      </c>
      <c r="H745">
        <v>0</v>
      </c>
      <c r="I745">
        <v>82</v>
      </c>
      <c r="J745">
        <v>0</v>
      </c>
      <c r="K745">
        <v>1.13E-4</v>
      </c>
      <c r="L745">
        <v>2.0533269999999999</v>
      </c>
      <c r="M745" t="s">
        <v>27</v>
      </c>
      <c r="N745" t="s">
        <v>28</v>
      </c>
      <c r="O745" t="s">
        <v>35</v>
      </c>
      <c r="P745" t="s">
        <v>36</v>
      </c>
      <c r="Q745" t="s">
        <v>37</v>
      </c>
    </row>
    <row r="746" spans="1:17" x14ac:dyDescent="0.35">
      <c r="A746" t="s">
        <v>286</v>
      </c>
      <c r="B746">
        <v>3</v>
      </c>
      <c r="C746" t="s">
        <v>289</v>
      </c>
      <c r="D746" t="s">
        <v>39</v>
      </c>
      <c r="E746" t="s">
        <v>40</v>
      </c>
      <c r="F746" t="s">
        <v>41</v>
      </c>
      <c r="G746">
        <v>657</v>
      </c>
      <c r="H746">
        <v>0</v>
      </c>
      <c r="I746">
        <v>1505</v>
      </c>
      <c r="J746">
        <v>5.0000000000000001E-3</v>
      </c>
      <c r="K746">
        <v>7.1599999999999997E-3</v>
      </c>
      <c r="L746">
        <v>18.209299000000001</v>
      </c>
      <c r="M746" t="s">
        <v>27</v>
      </c>
      <c r="N746" t="s">
        <v>42</v>
      </c>
      <c r="O746" t="s">
        <v>43</v>
      </c>
      <c r="P746" t="s">
        <v>44</v>
      </c>
      <c r="Q746" t="s">
        <v>45</v>
      </c>
    </row>
    <row r="747" spans="1:17" x14ac:dyDescent="0.35">
      <c r="A747" t="s">
        <v>286</v>
      </c>
      <c r="B747">
        <v>4</v>
      </c>
      <c r="C747" t="s">
        <v>290</v>
      </c>
      <c r="D747" t="s">
        <v>39</v>
      </c>
      <c r="E747" t="s">
        <v>47</v>
      </c>
      <c r="F747" t="s">
        <v>47</v>
      </c>
      <c r="G747">
        <v>0</v>
      </c>
      <c r="H747">
        <v>0</v>
      </c>
      <c r="I747">
        <v>0</v>
      </c>
      <c r="J747">
        <v>1E-3</v>
      </c>
      <c r="K747">
        <v>1E-3</v>
      </c>
      <c r="L747">
        <v>0.955538</v>
      </c>
      <c r="M747" t="s">
        <v>27</v>
      </c>
      <c r="N747" t="s">
        <v>48</v>
      </c>
      <c r="O747" t="s">
        <v>49</v>
      </c>
      <c r="P747" t="s">
        <v>50</v>
      </c>
      <c r="Q747" t="s">
        <v>51</v>
      </c>
    </row>
    <row r="748" spans="1:17" x14ac:dyDescent="0.35">
      <c r="A748" t="s">
        <v>286</v>
      </c>
      <c r="B748">
        <v>5</v>
      </c>
      <c r="C748" t="s">
        <v>291</v>
      </c>
      <c r="D748" t="s">
        <v>55</v>
      </c>
      <c r="E748" t="s">
        <v>25</v>
      </c>
      <c r="F748" t="s">
        <v>26</v>
      </c>
      <c r="G748">
        <v>11003</v>
      </c>
      <c r="H748">
        <v>0</v>
      </c>
      <c r="I748">
        <v>1383</v>
      </c>
      <c r="J748">
        <v>0</v>
      </c>
      <c r="K748">
        <v>4.1336999999999999E-2</v>
      </c>
      <c r="L748">
        <v>16.440712999999999</v>
      </c>
      <c r="M748" t="s">
        <v>27</v>
      </c>
      <c r="N748" t="s">
        <v>28</v>
      </c>
      <c r="O748" t="s">
        <v>56</v>
      </c>
      <c r="P748" t="s">
        <v>57</v>
      </c>
      <c r="Q748" t="s">
        <v>58</v>
      </c>
    </row>
    <row r="749" spans="1:17" x14ac:dyDescent="0.35">
      <c r="A749" t="s">
        <v>286</v>
      </c>
      <c r="B749">
        <v>6</v>
      </c>
      <c r="C749" t="s">
        <v>292</v>
      </c>
      <c r="D749" t="s">
        <v>55</v>
      </c>
      <c r="E749" t="s">
        <v>25</v>
      </c>
      <c r="F749" t="s">
        <v>26</v>
      </c>
      <c r="G749">
        <v>12487</v>
      </c>
      <c r="H749">
        <v>12160</v>
      </c>
      <c r="I749">
        <v>1787</v>
      </c>
      <c r="J749">
        <v>0</v>
      </c>
      <c r="K749">
        <v>3.3888000000000001E-2</v>
      </c>
      <c r="L749">
        <v>19.980892999999998</v>
      </c>
      <c r="M749" t="s">
        <v>27</v>
      </c>
      <c r="N749" t="s">
        <v>28</v>
      </c>
      <c r="O749" t="s">
        <v>56</v>
      </c>
      <c r="P749" t="s">
        <v>57</v>
      </c>
      <c r="Q749" t="s">
        <v>58</v>
      </c>
    </row>
    <row r="750" spans="1:17" x14ac:dyDescent="0.35">
      <c r="A750" t="s">
        <v>286</v>
      </c>
      <c r="B750">
        <v>7</v>
      </c>
      <c r="C750" t="s">
        <v>292</v>
      </c>
      <c r="D750" t="s">
        <v>61</v>
      </c>
      <c r="E750" t="s">
        <v>25</v>
      </c>
      <c r="F750" t="s">
        <v>62</v>
      </c>
      <c r="G750">
        <v>3</v>
      </c>
      <c r="H750">
        <v>0</v>
      </c>
      <c r="I750">
        <v>0</v>
      </c>
      <c r="J750">
        <v>0</v>
      </c>
      <c r="K750">
        <v>0</v>
      </c>
      <c r="L750">
        <v>0.83793200000000001</v>
      </c>
      <c r="M750" t="s">
        <v>27</v>
      </c>
      <c r="N750" t="s">
        <v>63</v>
      </c>
      <c r="O750" t="s">
        <v>64</v>
      </c>
      <c r="P750" t="s">
        <v>65</v>
      </c>
      <c r="Q750" t="s">
        <v>66</v>
      </c>
    </row>
    <row r="751" spans="1:17" x14ac:dyDescent="0.35">
      <c r="A751" t="s">
        <v>286</v>
      </c>
      <c r="B751">
        <v>8</v>
      </c>
      <c r="C751" t="s">
        <v>293</v>
      </c>
      <c r="D751" t="s">
        <v>61</v>
      </c>
      <c r="E751" t="s">
        <v>25</v>
      </c>
      <c r="F751" t="s">
        <v>62</v>
      </c>
      <c r="G751">
        <v>3</v>
      </c>
      <c r="H751">
        <v>0</v>
      </c>
      <c r="I751">
        <v>0</v>
      </c>
      <c r="J751">
        <v>0</v>
      </c>
      <c r="K751">
        <v>0</v>
      </c>
      <c r="L751">
        <v>0.45924700000000002</v>
      </c>
      <c r="M751" t="s">
        <v>27</v>
      </c>
      <c r="N751" t="s">
        <v>63</v>
      </c>
      <c r="O751" t="s">
        <v>64</v>
      </c>
      <c r="P751" t="s">
        <v>65</v>
      </c>
      <c r="Q751" t="s">
        <v>66</v>
      </c>
    </row>
    <row r="752" spans="1:17" x14ac:dyDescent="0.35">
      <c r="A752" t="s">
        <v>286</v>
      </c>
      <c r="B752">
        <v>9</v>
      </c>
      <c r="C752" t="s">
        <v>293</v>
      </c>
      <c r="D752" t="s">
        <v>61</v>
      </c>
      <c r="E752" t="s">
        <v>25</v>
      </c>
      <c r="F752" t="s">
        <v>62</v>
      </c>
      <c r="G752">
        <v>5</v>
      </c>
      <c r="H752">
        <v>0</v>
      </c>
      <c r="I752">
        <v>0</v>
      </c>
      <c r="J752">
        <v>0</v>
      </c>
      <c r="K752">
        <v>0</v>
      </c>
      <c r="L752">
        <v>0.178754</v>
      </c>
      <c r="M752" t="s">
        <v>27</v>
      </c>
      <c r="N752" t="s">
        <v>63</v>
      </c>
      <c r="O752" t="s">
        <v>64</v>
      </c>
      <c r="P752" t="s">
        <v>65</v>
      </c>
      <c r="Q752" t="s">
        <v>66</v>
      </c>
    </row>
    <row r="753" spans="1:17" x14ac:dyDescent="0.35">
      <c r="A753" t="s">
        <v>286</v>
      </c>
      <c r="B753">
        <v>10</v>
      </c>
      <c r="C753" t="s">
        <v>294</v>
      </c>
      <c r="D753" t="s">
        <v>61</v>
      </c>
      <c r="E753" t="s">
        <v>25</v>
      </c>
      <c r="F753" t="s">
        <v>62</v>
      </c>
      <c r="G753">
        <v>5</v>
      </c>
      <c r="H753">
        <v>0</v>
      </c>
      <c r="I753">
        <v>0</v>
      </c>
      <c r="J753">
        <v>0</v>
      </c>
      <c r="K753">
        <v>0</v>
      </c>
      <c r="L753">
        <v>0.21227399999999999</v>
      </c>
      <c r="M753" t="s">
        <v>27</v>
      </c>
      <c r="N753" t="s">
        <v>63</v>
      </c>
      <c r="O753" t="s">
        <v>64</v>
      </c>
      <c r="P753" t="s">
        <v>65</v>
      </c>
      <c r="Q753" t="s">
        <v>66</v>
      </c>
    </row>
    <row r="754" spans="1:17" x14ac:dyDescent="0.35">
      <c r="A754" t="s">
        <v>286</v>
      </c>
      <c r="B754">
        <v>11</v>
      </c>
      <c r="C754" t="s">
        <v>294</v>
      </c>
      <c r="D754" t="s">
        <v>61</v>
      </c>
      <c r="E754" t="s">
        <v>25</v>
      </c>
      <c r="F754" t="s">
        <v>62</v>
      </c>
      <c r="G754">
        <v>4</v>
      </c>
      <c r="H754">
        <v>0</v>
      </c>
      <c r="I754">
        <v>0</v>
      </c>
      <c r="J754">
        <v>0</v>
      </c>
      <c r="K754">
        <v>0</v>
      </c>
      <c r="L754">
        <v>0.21593499999999999</v>
      </c>
      <c r="M754" t="s">
        <v>27</v>
      </c>
      <c r="N754" t="s">
        <v>63</v>
      </c>
      <c r="O754" t="s">
        <v>64</v>
      </c>
      <c r="P754" t="s">
        <v>65</v>
      </c>
      <c r="Q754" t="s">
        <v>66</v>
      </c>
    </row>
    <row r="755" spans="1:17" x14ac:dyDescent="0.35">
      <c r="A755" t="s">
        <v>286</v>
      </c>
      <c r="B755">
        <v>12</v>
      </c>
      <c r="C755" t="s">
        <v>294</v>
      </c>
      <c r="D755" t="s">
        <v>61</v>
      </c>
      <c r="E755" t="s">
        <v>25</v>
      </c>
      <c r="F755" t="s">
        <v>62</v>
      </c>
      <c r="G755">
        <v>4</v>
      </c>
      <c r="H755">
        <v>0</v>
      </c>
      <c r="I755">
        <v>0</v>
      </c>
      <c r="J755">
        <v>0</v>
      </c>
      <c r="K755">
        <v>0</v>
      </c>
      <c r="L755">
        <v>0.19864699999999999</v>
      </c>
      <c r="M755" t="s">
        <v>27</v>
      </c>
      <c r="N755" t="s">
        <v>63</v>
      </c>
      <c r="O755" t="s">
        <v>64</v>
      </c>
      <c r="P755" t="s">
        <v>65</v>
      </c>
      <c r="Q755" t="s">
        <v>66</v>
      </c>
    </row>
    <row r="756" spans="1:17" x14ac:dyDescent="0.35">
      <c r="A756" t="s">
        <v>286</v>
      </c>
      <c r="B756">
        <v>13</v>
      </c>
      <c r="C756" t="s">
        <v>295</v>
      </c>
      <c r="D756" t="s">
        <v>61</v>
      </c>
      <c r="E756" t="s">
        <v>25</v>
      </c>
      <c r="F756" t="s">
        <v>62</v>
      </c>
      <c r="G756">
        <v>5</v>
      </c>
      <c r="H756">
        <v>0</v>
      </c>
      <c r="I756">
        <v>0</v>
      </c>
      <c r="J756">
        <v>0</v>
      </c>
      <c r="K756">
        <v>0</v>
      </c>
      <c r="L756">
        <v>0.207957</v>
      </c>
      <c r="M756" t="s">
        <v>27</v>
      </c>
      <c r="N756" t="s">
        <v>63</v>
      </c>
      <c r="O756" t="s">
        <v>64</v>
      </c>
      <c r="P756" t="s">
        <v>65</v>
      </c>
      <c r="Q756" t="s">
        <v>66</v>
      </c>
    </row>
    <row r="757" spans="1:17" x14ac:dyDescent="0.35">
      <c r="A757" t="s">
        <v>286</v>
      </c>
      <c r="B757">
        <v>14</v>
      </c>
      <c r="C757" t="s">
        <v>295</v>
      </c>
      <c r="D757" t="s">
        <v>61</v>
      </c>
      <c r="E757" t="s">
        <v>25</v>
      </c>
      <c r="F757" t="s">
        <v>62</v>
      </c>
      <c r="G757">
        <v>5</v>
      </c>
      <c r="H757">
        <v>0</v>
      </c>
      <c r="I757">
        <v>0</v>
      </c>
      <c r="J757">
        <v>0</v>
      </c>
      <c r="K757">
        <v>0</v>
      </c>
      <c r="L757">
        <v>0.219418</v>
      </c>
      <c r="M757" t="s">
        <v>27</v>
      </c>
      <c r="N757" t="s">
        <v>63</v>
      </c>
      <c r="O757" t="s">
        <v>64</v>
      </c>
      <c r="P757" t="s">
        <v>65</v>
      </c>
      <c r="Q757" t="s">
        <v>66</v>
      </c>
    </row>
    <row r="758" spans="1:17" x14ac:dyDescent="0.35">
      <c r="A758" t="s">
        <v>286</v>
      </c>
      <c r="B758">
        <v>15</v>
      </c>
      <c r="C758" t="s">
        <v>296</v>
      </c>
      <c r="D758" t="s">
        <v>61</v>
      </c>
      <c r="E758" t="s">
        <v>25</v>
      </c>
      <c r="F758" t="s">
        <v>62</v>
      </c>
      <c r="G758">
        <v>3</v>
      </c>
      <c r="H758">
        <v>0</v>
      </c>
      <c r="I758">
        <v>0</v>
      </c>
      <c r="J758">
        <v>0</v>
      </c>
      <c r="K758">
        <v>0</v>
      </c>
      <c r="L758">
        <v>0.21953800000000001</v>
      </c>
      <c r="M758" t="s">
        <v>27</v>
      </c>
      <c r="N758" t="s">
        <v>63</v>
      </c>
      <c r="O758" t="s">
        <v>64</v>
      </c>
      <c r="P758" t="s">
        <v>65</v>
      </c>
      <c r="Q758" t="s">
        <v>66</v>
      </c>
    </row>
    <row r="759" spans="1:17" x14ac:dyDescent="0.35">
      <c r="A759" t="s">
        <v>286</v>
      </c>
      <c r="B759">
        <v>16</v>
      </c>
      <c r="C759" t="s">
        <v>296</v>
      </c>
      <c r="D759" t="s">
        <v>61</v>
      </c>
      <c r="E759" t="s">
        <v>25</v>
      </c>
      <c r="F759" t="s">
        <v>62</v>
      </c>
      <c r="G759">
        <v>4</v>
      </c>
      <c r="H759">
        <v>0</v>
      </c>
      <c r="I759">
        <v>0</v>
      </c>
      <c r="J759">
        <v>0</v>
      </c>
      <c r="K759">
        <v>0</v>
      </c>
      <c r="L759">
        <v>0.214452</v>
      </c>
      <c r="M759" t="s">
        <v>27</v>
      </c>
      <c r="N759" t="s">
        <v>63</v>
      </c>
      <c r="O759" t="s">
        <v>64</v>
      </c>
      <c r="P759" t="s">
        <v>65</v>
      </c>
      <c r="Q759" t="s">
        <v>66</v>
      </c>
    </row>
    <row r="760" spans="1:17" x14ac:dyDescent="0.35">
      <c r="A760" t="s">
        <v>286</v>
      </c>
      <c r="B760">
        <v>17</v>
      </c>
      <c r="C760" t="s">
        <v>296</v>
      </c>
      <c r="D760" t="s">
        <v>61</v>
      </c>
      <c r="E760" t="s">
        <v>25</v>
      </c>
      <c r="F760" t="s">
        <v>62</v>
      </c>
      <c r="G760">
        <v>4</v>
      </c>
      <c r="H760">
        <v>0</v>
      </c>
      <c r="I760">
        <v>0</v>
      </c>
      <c r="J760">
        <v>0</v>
      </c>
      <c r="K760">
        <v>0</v>
      </c>
      <c r="L760">
        <v>0.19690099999999999</v>
      </c>
      <c r="M760" t="s">
        <v>27</v>
      </c>
      <c r="N760" t="s">
        <v>63</v>
      </c>
      <c r="O760" t="s">
        <v>64</v>
      </c>
      <c r="P760" t="s">
        <v>65</v>
      </c>
      <c r="Q760" t="s">
        <v>66</v>
      </c>
    </row>
    <row r="761" spans="1:17" x14ac:dyDescent="0.35">
      <c r="A761" t="s">
        <v>286</v>
      </c>
      <c r="B761">
        <v>18</v>
      </c>
      <c r="C761" t="s">
        <v>297</v>
      </c>
      <c r="D761" t="s">
        <v>61</v>
      </c>
      <c r="E761" t="s">
        <v>25</v>
      </c>
      <c r="F761" t="s">
        <v>62</v>
      </c>
      <c r="G761">
        <v>6</v>
      </c>
      <c r="H761">
        <v>0</v>
      </c>
      <c r="I761">
        <v>0</v>
      </c>
      <c r="J761">
        <v>0</v>
      </c>
      <c r="K761">
        <v>0</v>
      </c>
      <c r="L761">
        <v>0.18907299999999999</v>
      </c>
      <c r="M761" t="s">
        <v>27</v>
      </c>
      <c r="N761" t="s">
        <v>63</v>
      </c>
      <c r="O761" t="s">
        <v>64</v>
      </c>
      <c r="P761" t="s">
        <v>65</v>
      </c>
      <c r="Q761" t="s">
        <v>66</v>
      </c>
    </row>
    <row r="762" spans="1:17" x14ac:dyDescent="0.35">
      <c r="A762" t="s">
        <v>286</v>
      </c>
      <c r="B762">
        <v>19</v>
      </c>
      <c r="C762" t="s">
        <v>297</v>
      </c>
      <c r="D762" t="s">
        <v>61</v>
      </c>
      <c r="E762" t="s">
        <v>25</v>
      </c>
      <c r="F762" t="s">
        <v>62</v>
      </c>
      <c r="G762">
        <v>3</v>
      </c>
      <c r="H762">
        <v>0</v>
      </c>
      <c r="I762">
        <v>0</v>
      </c>
      <c r="J762">
        <v>0</v>
      </c>
      <c r="K762">
        <v>0</v>
      </c>
      <c r="L762">
        <v>0.18946099999999999</v>
      </c>
      <c r="M762" t="s">
        <v>27</v>
      </c>
      <c r="N762" t="s">
        <v>63</v>
      </c>
      <c r="O762" t="s">
        <v>64</v>
      </c>
      <c r="P762" t="s">
        <v>65</v>
      </c>
      <c r="Q762" t="s">
        <v>66</v>
      </c>
    </row>
    <row r="763" spans="1:17" x14ac:dyDescent="0.35">
      <c r="A763" t="s">
        <v>286</v>
      </c>
      <c r="B763">
        <v>20</v>
      </c>
      <c r="C763" t="s">
        <v>297</v>
      </c>
      <c r="D763" t="s">
        <v>61</v>
      </c>
      <c r="E763" t="s">
        <v>25</v>
      </c>
      <c r="F763" t="s">
        <v>62</v>
      </c>
      <c r="G763">
        <v>6</v>
      </c>
      <c r="H763">
        <v>0</v>
      </c>
      <c r="I763">
        <v>0</v>
      </c>
      <c r="J763">
        <v>0</v>
      </c>
      <c r="K763">
        <v>0</v>
      </c>
      <c r="L763">
        <v>0.21771499999999999</v>
      </c>
      <c r="M763" t="s">
        <v>27</v>
      </c>
      <c r="N763" t="s">
        <v>63</v>
      </c>
      <c r="O763" t="s">
        <v>64</v>
      </c>
      <c r="P763" t="s">
        <v>65</v>
      </c>
      <c r="Q763" t="s">
        <v>66</v>
      </c>
    </row>
    <row r="764" spans="1:17" x14ac:dyDescent="0.35">
      <c r="A764" t="s">
        <v>286</v>
      </c>
      <c r="B764">
        <v>21</v>
      </c>
      <c r="C764" t="s">
        <v>298</v>
      </c>
      <c r="D764" t="s">
        <v>61</v>
      </c>
      <c r="E764" t="s">
        <v>25</v>
      </c>
      <c r="F764" t="s">
        <v>62</v>
      </c>
      <c r="G764">
        <v>3</v>
      </c>
      <c r="H764">
        <v>0</v>
      </c>
      <c r="I764">
        <v>0</v>
      </c>
      <c r="J764">
        <v>0</v>
      </c>
      <c r="K764">
        <v>0</v>
      </c>
      <c r="L764">
        <v>0.24118100000000001</v>
      </c>
      <c r="M764" t="s">
        <v>27</v>
      </c>
      <c r="N764" t="s">
        <v>63</v>
      </c>
      <c r="O764" t="s">
        <v>64</v>
      </c>
      <c r="P764" t="s">
        <v>65</v>
      </c>
      <c r="Q764" t="s">
        <v>66</v>
      </c>
    </row>
    <row r="765" spans="1:17" x14ac:dyDescent="0.35">
      <c r="A765" t="s">
        <v>286</v>
      </c>
      <c r="B765">
        <v>22</v>
      </c>
      <c r="C765" t="s">
        <v>298</v>
      </c>
      <c r="D765" t="s">
        <v>61</v>
      </c>
      <c r="E765" t="s">
        <v>25</v>
      </c>
      <c r="F765" t="s">
        <v>62</v>
      </c>
      <c r="G765">
        <v>4</v>
      </c>
      <c r="H765">
        <v>0</v>
      </c>
      <c r="I765">
        <v>0</v>
      </c>
      <c r="J765">
        <v>0</v>
      </c>
      <c r="K765">
        <v>0</v>
      </c>
      <c r="L765">
        <v>0.34850700000000001</v>
      </c>
      <c r="M765" t="s">
        <v>27</v>
      </c>
      <c r="N765" t="s">
        <v>63</v>
      </c>
      <c r="O765" t="s">
        <v>64</v>
      </c>
      <c r="P765" t="s">
        <v>65</v>
      </c>
      <c r="Q765" t="s">
        <v>66</v>
      </c>
    </row>
    <row r="766" spans="1:17" x14ac:dyDescent="0.35">
      <c r="A766" t="s">
        <v>286</v>
      </c>
      <c r="B766">
        <v>23</v>
      </c>
      <c r="C766" t="s">
        <v>298</v>
      </c>
      <c r="D766" t="s">
        <v>61</v>
      </c>
      <c r="E766" t="s">
        <v>25</v>
      </c>
      <c r="F766" t="s">
        <v>62</v>
      </c>
      <c r="G766">
        <v>5</v>
      </c>
      <c r="H766">
        <v>0</v>
      </c>
      <c r="I766">
        <v>0</v>
      </c>
      <c r="J766">
        <v>0</v>
      </c>
      <c r="K766">
        <v>0</v>
      </c>
      <c r="L766">
        <v>0.210005</v>
      </c>
      <c r="M766" t="s">
        <v>27</v>
      </c>
      <c r="N766" t="s">
        <v>63</v>
      </c>
      <c r="O766" t="s">
        <v>64</v>
      </c>
      <c r="P766" t="s">
        <v>65</v>
      </c>
      <c r="Q766" t="s">
        <v>66</v>
      </c>
    </row>
    <row r="767" spans="1:17" x14ac:dyDescent="0.35">
      <c r="A767" t="s">
        <v>286</v>
      </c>
      <c r="B767">
        <v>24</v>
      </c>
      <c r="C767" t="s">
        <v>299</v>
      </c>
      <c r="D767" t="s">
        <v>61</v>
      </c>
      <c r="E767" t="s">
        <v>25</v>
      </c>
      <c r="F767" t="s">
        <v>62</v>
      </c>
      <c r="G767">
        <v>6</v>
      </c>
      <c r="H767">
        <v>0</v>
      </c>
      <c r="I767">
        <v>0</v>
      </c>
      <c r="J767">
        <v>0</v>
      </c>
      <c r="K767">
        <v>0</v>
      </c>
      <c r="L767">
        <v>0.22125500000000001</v>
      </c>
      <c r="M767" t="s">
        <v>27</v>
      </c>
      <c r="N767" t="s">
        <v>63</v>
      </c>
      <c r="O767" t="s">
        <v>64</v>
      </c>
      <c r="P767" t="s">
        <v>65</v>
      </c>
      <c r="Q767" t="s">
        <v>66</v>
      </c>
    </row>
    <row r="768" spans="1:17" x14ac:dyDescent="0.35">
      <c r="A768" t="s">
        <v>286</v>
      </c>
      <c r="B768">
        <v>25</v>
      </c>
      <c r="C768" t="s">
        <v>299</v>
      </c>
      <c r="D768" t="s">
        <v>61</v>
      </c>
      <c r="E768" t="s">
        <v>25</v>
      </c>
      <c r="F768" t="s">
        <v>62</v>
      </c>
      <c r="G768">
        <v>19</v>
      </c>
      <c r="H768">
        <v>0</v>
      </c>
      <c r="I768">
        <v>0</v>
      </c>
      <c r="J768">
        <v>0</v>
      </c>
      <c r="K768">
        <v>0</v>
      </c>
      <c r="L768">
        <v>0.22561100000000001</v>
      </c>
      <c r="M768" t="s">
        <v>27</v>
      </c>
      <c r="N768" t="s">
        <v>63</v>
      </c>
      <c r="O768" t="s">
        <v>64</v>
      </c>
      <c r="P768" t="s">
        <v>65</v>
      </c>
      <c r="Q768" t="s">
        <v>66</v>
      </c>
    </row>
    <row r="769" spans="1:17" x14ac:dyDescent="0.35">
      <c r="A769" t="s">
        <v>286</v>
      </c>
      <c r="B769">
        <v>26</v>
      </c>
      <c r="C769" t="s">
        <v>300</v>
      </c>
      <c r="D769" t="s">
        <v>61</v>
      </c>
      <c r="E769" t="s">
        <v>25</v>
      </c>
      <c r="F769" t="s">
        <v>62</v>
      </c>
      <c r="G769">
        <v>5</v>
      </c>
      <c r="H769">
        <v>0</v>
      </c>
      <c r="I769">
        <v>0</v>
      </c>
      <c r="J769">
        <v>0</v>
      </c>
      <c r="K769">
        <v>0</v>
      </c>
      <c r="L769">
        <v>0.23741000000000001</v>
      </c>
      <c r="M769" t="s">
        <v>27</v>
      </c>
      <c r="N769" t="s">
        <v>63</v>
      </c>
      <c r="O769" t="s">
        <v>64</v>
      </c>
      <c r="P769" t="s">
        <v>65</v>
      </c>
      <c r="Q769" t="s">
        <v>66</v>
      </c>
    </row>
    <row r="770" spans="1:17" x14ac:dyDescent="0.35">
      <c r="A770" t="s">
        <v>286</v>
      </c>
      <c r="B770">
        <v>27</v>
      </c>
      <c r="C770" t="s">
        <v>301</v>
      </c>
      <c r="D770" t="s">
        <v>61</v>
      </c>
      <c r="E770" t="s">
        <v>25</v>
      </c>
      <c r="F770" t="s">
        <v>62</v>
      </c>
      <c r="G770">
        <v>3</v>
      </c>
      <c r="H770">
        <v>0</v>
      </c>
      <c r="I770">
        <v>0</v>
      </c>
      <c r="J770">
        <v>0</v>
      </c>
      <c r="K770">
        <v>0</v>
      </c>
      <c r="L770">
        <v>0.207647</v>
      </c>
      <c r="M770" t="s">
        <v>27</v>
      </c>
      <c r="N770" t="s">
        <v>63</v>
      </c>
      <c r="O770" t="s">
        <v>64</v>
      </c>
      <c r="P770" t="s">
        <v>65</v>
      </c>
      <c r="Q770" t="s">
        <v>66</v>
      </c>
    </row>
    <row r="771" spans="1:17" x14ac:dyDescent="0.35">
      <c r="A771" t="s">
        <v>286</v>
      </c>
      <c r="B771">
        <v>28</v>
      </c>
      <c r="C771" t="s">
        <v>301</v>
      </c>
      <c r="D771" t="s">
        <v>61</v>
      </c>
      <c r="E771" t="s">
        <v>25</v>
      </c>
      <c r="F771" t="s">
        <v>62</v>
      </c>
      <c r="G771">
        <v>6</v>
      </c>
      <c r="H771">
        <v>0</v>
      </c>
      <c r="I771">
        <v>0</v>
      </c>
      <c r="J771">
        <v>0</v>
      </c>
      <c r="K771">
        <v>0</v>
      </c>
      <c r="L771">
        <v>0.21196100000000001</v>
      </c>
      <c r="M771" t="s">
        <v>27</v>
      </c>
      <c r="N771" t="s">
        <v>63</v>
      </c>
      <c r="O771" t="s">
        <v>64</v>
      </c>
      <c r="P771" t="s">
        <v>65</v>
      </c>
      <c r="Q771" t="s">
        <v>66</v>
      </c>
    </row>
    <row r="772" spans="1:17" x14ac:dyDescent="0.35">
      <c r="A772" t="s">
        <v>286</v>
      </c>
      <c r="B772">
        <v>29</v>
      </c>
      <c r="C772" t="s">
        <v>301</v>
      </c>
      <c r="D772" t="s">
        <v>61</v>
      </c>
      <c r="E772" t="s">
        <v>25</v>
      </c>
      <c r="F772" t="s">
        <v>62</v>
      </c>
      <c r="G772">
        <v>4</v>
      </c>
      <c r="H772">
        <v>0</v>
      </c>
      <c r="I772">
        <v>0</v>
      </c>
      <c r="J772">
        <v>0</v>
      </c>
      <c r="K772">
        <v>0</v>
      </c>
      <c r="L772">
        <v>0.21438599999999999</v>
      </c>
      <c r="M772" t="s">
        <v>27</v>
      </c>
      <c r="N772" t="s">
        <v>63</v>
      </c>
      <c r="O772" t="s">
        <v>64</v>
      </c>
      <c r="P772" t="s">
        <v>65</v>
      </c>
      <c r="Q772" t="s">
        <v>66</v>
      </c>
    </row>
    <row r="773" spans="1:17" x14ac:dyDescent="0.35">
      <c r="A773" t="s">
        <v>286</v>
      </c>
      <c r="B773">
        <v>30</v>
      </c>
      <c r="C773" t="s">
        <v>302</v>
      </c>
      <c r="D773" t="s">
        <v>61</v>
      </c>
      <c r="E773" t="s">
        <v>25</v>
      </c>
      <c r="F773" t="s">
        <v>62</v>
      </c>
      <c r="G773">
        <v>4</v>
      </c>
      <c r="H773">
        <v>0</v>
      </c>
      <c r="I773">
        <v>0</v>
      </c>
      <c r="J773">
        <v>0</v>
      </c>
      <c r="K773">
        <v>0</v>
      </c>
      <c r="L773">
        <v>0.20934900000000001</v>
      </c>
      <c r="M773" t="s">
        <v>27</v>
      </c>
      <c r="N773" t="s">
        <v>63</v>
      </c>
      <c r="O773" t="s">
        <v>64</v>
      </c>
      <c r="P773" t="s">
        <v>65</v>
      </c>
      <c r="Q773" t="s">
        <v>66</v>
      </c>
    </row>
    <row r="774" spans="1:17" x14ac:dyDescent="0.35">
      <c r="A774" t="s">
        <v>286</v>
      </c>
      <c r="B774">
        <v>31</v>
      </c>
      <c r="C774" t="s">
        <v>302</v>
      </c>
      <c r="D774" t="s">
        <v>61</v>
      </c>
      <c r="E774" t="s">
        <v>25</v>
      </c>
      <c r="F774" t="s">
        <v>62</v>
      </c>
      <c r="G774">
        <v>17</v>
      </c>
      <c r="H774">
        <v>0</v>
      </c>
      <c r="I774">
        <v>0</v>
      </c>
      <c r="J774">
        <v>0</v>
      </c>
      <c r="K774">
        <v>0</v>
      </c>
      <c r="L774">
        <v>0.33656000000000003</v>
      </c>
      <c r="M774" t="s">
        <v>27</v>
      </c>
      <c r="N774" t="s">
        <v>63</v>
      </c>
      <c r="O774" t="s">
        <v>64</v>
      </c>
      <c r="P774" t="s">
        <v>65</v>
      </c>
      <c r="Q774" t="s">
        <v>66</v>
      </c>
    </row>
    <row r="775" spans="1:17" x14ac:dyDescent="0.35">
      <c r="A775" t="s">
        <v>286</v>
      </c>
      <c r="B775">
        <v>32</v>
      </c>
      <c r="C775" t="s">
        <v>303</v>
      </c>
      <c r="D775" t="s">
        <v>61</v>
      </c>
      <c r="E775" t="s">
        <v>25</v>
      </c>
      <c r="F775" t="s">
        <v>62</v>
      </c>
      <c r="G775">
        <v>3</v>
      </c>
      <c r="H775">
        <v>0</v>
      </c>
      <c r="I775">
        <v>0</v>
      </c>
      <c r="J775">
        <v>0</v>
      </c>
      <c r="K775">
        <v>0</v>
      </c>
      <c r="L775">
        <v>0.389488</v>
      </c>
      <c r="M775" t="s">
        <v>27</v>
      </c>
      <c r="N775" t="s">
        <v>63</v>
      </c>
      <c r="O775" t="s">
        <v>64</v>
      </c>
      <c r="P775" t="s">
        <v>65</v>
      </c>
      <c r="Q775" t="s">
        <v>66</v>
      </c>
    </row>
    <row r="776" spans="1:17" x14ac:dyDescent="0.35">
      <c r="A776" t="s">
        <v>286</v>
      </c>
      <c r="B776">
        <v>33</v>
      </c>
      <c r="C776" t="s">
        <v>304</v>
      </c>
      <c r="D776" t="s">
        <v>61</v>
      </c>
      <c r="E776" t="s">
        <v>25</v>
      </c>
      <c r="F776" t="s">
        <v>62</v>
      </c>
      <c r="G776">
        <v>3</v>
      </c>
      <c r="H776">
        <v>0</v>
      </c>
      <c r="I776">
        <v>0</v>
      </c>
      <c r="J776">
        <v>0</v>
      </c>
      <c r="K776">
        <v>0</v>
      </c>
      <c r="L776">
        <v>0.222606</v>
      </c>
      <c r="M776" t="s">
        <v>27</v>
      </c>
      <c r="N776" t="s">
        <v>63</v>
      </c>
      <c r="O776" t="s">
        <v>64</v>
      </c>
      <c r="P776" t="s">
        <v>65</v>
      </c>
      <c r="Q776" t="s">
        <v>66</v>
      </c>
    </row>
    <row r="777" spans="1:17" x14ac:dyDescent="0.35">
      <c r="A777" t="s">
        <v>286</v>
      </c>
      <c r="B777">
        <v>34</v>
      </c>
      <c r="C777" t="s">
        <v>304</v>
      </c>
      <c r="D777" t="s">
        <v>61</v>
      </c>
      <c r="E777" t="s">
        <v>25</v>
      </c>
      <c r="F777" t="s">
        <v>62</v>
      </c>
      <c r="G777">
        <v>5</v>
      </c>
      <c r="H777">
        <v>0</v>
      </c>
      <c r="I777">
        <v>0</v>
      </c>
      <c r="J777">
        <v>0</v>
      </c>
      <c r="K777">
        <v>0</v>
      </c>
      <c r="L777">
        <v>0.27386500000000003</v>
      </c>
      <c r="M777" t="s">
        <v>27</v>
      </c>
      <c r="N777" t="s">
        <v>63</v>
      </c>
      <c r="O777" t="s">
        <v>64</v>
      </c>
      <c r="P777" t="s">
        <v>65</v>
      </c>
      <c r="Q777" t="s">
        <v>66</v>
      </c>
    </row>
    <row r="778" spans="1:17" x14ac:dyDescent="0.35">
      <c r="A778" t="s">
        <v>286</v>
      </c>
      <c r="B778">
        <v>35</v>
      </c>
      <c r="C778" t="s">
        <v>305</v>
      </c>
      <c r="D778" t="s">
        <v>61</v>
      </c>
      <c r="E778" t="s">
        <v>25</v>
      </c>
      <c r="F778" t="s">
        <v>62</v>
      </c>
      <c r="G778">
        <v>4</v>
      </c>
      <c r="H778">
        <v>0</v>
      </c>
      <c r="I778">
        <v>0</v>
      </c>
      <c r="J778">
        <v>0</v>
      </c>
      <c r="K778">
        <v>0</v>
      </c>
      <c r="L778">
        <v>0.23748</v>
      </c>
      <c r="M778" t="s">
        <v>27</v>
      </c>
      <c r="N778" t="s">
        <v>63</v>
      </c>
      <c r="O778" t="s">
        <v>64</v>
      </c>
      <c r="P778" t="s">
        <v>65</v>
      </c>
      <c r="Q778" t="s">
        <v>66</v>
      </c>
    </row>
    <row r="779" spans="1:17" x14ac:dyDescent="0.35">
      <c r="A779" t="s">
        <v>286</v>
      </c>
      <c r="B779">
        <v>36</v>
      </c>
      <c r="C779" t="s">
        <v>305</v>
      </c>
      <c r="D779" t="s">
        <v>61</v>
      </c>
      <c r="E779" t="s">
        <v>25</v>
      </c>
      <c r="F779" t="s">
        <v>62</v>
      </c>
      <c r="G779">
        <v>6</v>
      </c>
      <c r="H779">
        <v>0</v>
      </c>
      <c r="I779">
        <v>0</v>
      </c>
      <c r="J779">
        <v>0</v>
      </c>
      <c r="K779">
        <v>0</v>
      </c>
      <c r="L779">
        <v>0.21348800000000001</v>
      </c>
      <c r="M779" t="s">
        <v>27</v>
      </c>
      <c r="N779" t="s">
        <v>63</v>
      </c>
      <c r="O779" t="s">
        <v>64</v>
      </c>
      <c r="P779" t="s">
        <v>65</v>
      </c>
      <c r="Q779" t="s">
        <v>66</v>
      </c>
    </row>
    <row r="780" spans="1:17" x14ac:dyDescent="0.35">
      <c r="A780" t="s">
        <v>286</v>
      </c>
      <c r="B780">
        <v>37</v>
      </c>
      <c r="C780" t="s">
        <v>305</v>
      </c>
      <c r="D780" t="s">
        <v>61</v>
      </c>
      <c r="E780" t="s">
        <v>25</v>
      </c>
      <c r="F780" t="s">
        <v>62</v>
      </c>
      <c r="G780">
        <v>16</v>
      </c>
      <c r="H780">
        <v>0</v>
      </c>
      <c r="I780">
        <v>0</v>
      </c>
      <c r="J780">
        <v>0</v>
      </c>
      <c r="K780">
        <v>0</v>
      </c>
      <c r="L780">
        <v>0.257913</v>
      </c>
      <c r="M780" t="s">
        <v>27</v>
      </c>
      <c r="N780" t="s">
        <v>63</v>
      </c>
      <c r="O780" t="s">
        <v>64</v>
      </c>
      <c r="P780" t="s">
        <v>65</v>
      </c>
      <c r="Q780" t="s">
        <v>66</v>
      </c>
    </row>
    <row r="781" spans="1:17" x14ac:dyDescent="0.35">
      <c r="A781" t="s">
        <v>286</v>
      </c>
      <c r="B781">
        <v>38</v>
      </c>
      <c r="C781" t="s">
        <v>306</v>
      </c>
      <c r="D781" t="s">
        <v>61</v>
      </c>
      <c r="E781" t="s">
        <v>25</v>
      </c>
      <c r="F781" t="s">
        <v>62</v>
      </c>
      <c r="G781">
        <v>3</v>
      </c>
      <c r="H781">
        <v>0</v>
      </c>
      <c r="I781">
        <v>0</v>
      </c>
      <c r="J781">
        <v>0</v>
      </c>
      <c r="K781">
        <v>0</v>
      </c>
      <c r="L781">
        <v>0.206458</v>
      </c>
      <c r="M781" t="s">
        <v>27</v>
      </c>
      <c r="N781" t="s">
        <v>63</v>
      </c>
      <c r="O781" t="s">
        <v>64</v>
      </c>
      <c r="P781" t="s">
        <v>65</v>
      </c>
      <c r="Q781" t="s">
        <v>66</v>
      </c>
    </row>
    <row r="782" spans="1:17" x14ac:dyDescent="0.35">
      <c r="A782" t="s">
        <v>286</v>
      </c>
      <c r="B782">
        <v>39</v>
      </c>
      <c r="C782" t="s">
        <v>306</v>
      </c>
      <c r="D782" t="s">
        <v>61</v>
      </c>
      <c r="E782" t="s">
        <v>25</v>
      </c>
      <c r="F782" t="s">
        <v>62</v>
      </c>
      <c r="G782">
        <v>5</v>
      </c>
      <c r="H782">
        <v>0</v>
      </c>
      <c r="I782">
        <v>0</v>
      </c>
      <c r="J782">
        <v>0</v>
      </c>
      <c r="K782">
        <v>0</v>
      </c>
      <c r="L782">
        <v>0.24920700000000001</v>
      </c>
      <c r="M782" t="s">
        <v>27</v>
      </c>
      <c r="N782" t="s">
        <v>63</v>
      </c>
      <c r="O782" t="s">
        <v>64</v>
      </c>
      <c r="P782" t="s">
        <v>65</v>
      </c>
      <c r="Q782" t="s">
        <v>66</v>
      </c>
    </row>
    <row r="783" spans="1:17" x14ac:dyDescent="0.35">
      <c r="A783" t="s">
        <v>286</v>
      </c>
      <c r="B783">
        <v>40</v>
      </c>
      <c r="C783" t="s">
        <v>307</v>
      </c>
      <c r="D783" t="s">
        <v>61</v>
      </c>
      <c r="E783" t="s">
        <v>25</v>
      </c>
      <c r="F783" t="s">
        <v>62</v>
      </c>
      <c r="G783">
        <v>4</v>
      </c>
      <c r="H783">
        <v>0</v>
      </c>
      <c r="I783">
        <v>0</v>
      </c>
      <c r="J783">
        <v>0</v>
      </c>
      <c r="K783">
        <v>0</v>
      </c>
      <c r="L783">
        <v>0.40618399999999999</v>
      </c>
      <c r="M783" t="s">
        <v>27</v>
      </c>
      <c r="N783" t="s">
        <v>63</v>
      </c>
      <c r="O783" t="s">
        <v>64</v>
      </c>
      <c r="P783" t="s">
        <v>65</v>
      </c>
      <c r="Q783" t="s">
        <v>66</v>
      </c>
    </row>
    <row r="784" spans="1:17" x14ac:dyDescent="0.35">
      <c r="A784" t="s">
        <v>286</v>
      </c>
      <c r="B784">
        <v>41</v>
      </c>
      <c r="C784" t="s">
        <v>307</v>
      </c>
      <c r="D784" t="s">
        <v>61</v>
      </c>
      <c r="E784" t="s">
        <v>25</v>
      </c>
      <c r="F784" t="s">
        <v>62</v>
      </c>
      <c r="G784">
        <v>6</v>
      </c>
      <c r="H784">
        <v>0</v>
      </c>
      <c r="I784">
        <v>0</v>
      </c>
      <c r="J784">
        <v>0</v>
      </c>
      <c r="K784">
        <v>0</v>
      </c>
      <c r="L784">
        <v>0.25645499999999999</v>
      </c>
      <c r="M784" t="s">
        <v>27</v>
      </c>
      <c r="N784" t="s">
        <v>63</v>
      </c>
      <c r="O784" t="s">
        <v>64</v>
      </c>
      <c r="P784" t="s">
        <v>65</v>
      </c>
      <c r="Q784" t="s">
        <v>66</v>
      </c>
    </row>
    <row r="785" spans="1:17" x14ac:dyDescent="0.35">
      <c r="A785" t="s">
        <v>286</v>
      </c>
      <c r="B785">
        <v>42</v>
      </c>
      <c r="C785" t="s">
        <v>307</v>
      </c>
      <c r="D785" t="s">
        <v>61</v>
      </c>
      <c r="E785" t="s">
        <v>25</v>
      </c>
      <c r="F785" t="s">
        <v>62</v>
      </c>
      <c r="G785">
        <v>4</v>
      </c>
      <c r="H785">
        <v>0</v>
      </c>
      <c r="I785">
        <v>0</v>
      </c>
      <c r="J785">
        <v>0</v>
      </c>
      <c r="K785">
        <v>0</v>
      </c>
      <c r="L785">
        <v>0.25085600000000002</v>
      </c>
      <c r="M785" t="s">
        <v>27</v>
      </c>
      <c r="N785" t="s">
        <v>63</v>
      </c>
      <c r="O785" t="s">
        <v>64</v>
      </c>
      <c r="P785" t="s">
        <v>65</v>
      </c>
      <c r="Q785" t="s">
        <v>66</v>
      </c>
    </row>
    <row r="786" spans="1:17" x14ac:dyDescent="0.35">
      <c r="A786" t="s">
        <v>286</v>
      </c>
      <c r="B786">
        <v>43</v>
      </c>
      <c r="C786" t="s">
        <v>308</v>
      </c>
      <c r="D786" t="s">
        <v>61</v>
      </c>
      <c r="E786" t="s">
        <v>25</v>
      </c>
      <c r="F786" t="s">
        <v>62</v>
      </c>
      <c r="G786">
        <v>19</v>
      </c>
      <c r="H786">
        <v>0</v>
      </c>
      <c r="I786">
        <v>0</v>
      </c>
      <c r="J786">
        <v>0</v>
      </c>
      <c r="K786">
        <v>0</v>
      </c>
      <c r="L786">
        <v>0.19776199999999999</v>
      </c>
      <c r="M786" t="s">
        <v>27</v>
      </c>
      <c r="N786" t="s">
        <v>63</v>
      </c>
      <c r="O786" t="s">
        <v>64</v>
      </c>
      <c r="P786" t="s">
        <v>65</v>
      </c>
      <c r="Q786" t="s">
        <v>66</v>
      </c>
    </row>
    <row r="787" spans="1:17" x14ac:dyDescent="0.35">
      <c r="A787" t="s">
        <v>286</v>
      </c>
      <c r="B787">
        <v>44</v>
      </c>
      <c r="C787" t="s">
        <v>309</v>
      </c>
      <c r="D787" t="s">
        <v>82</v>
      </c>
      <c r="E787" t="s">
        <v>25</v>
      </c>
      <c r="F787" t="s">
        <v>62</v>
      </c>
      <c r="G787">
        <v>145</v>
      </c>
      <c r="H787">
        <v>0</v>
      </c>
      <c r="I787">
        <v>0</v>
      </c>
      <c r="J787">
        <v>0</v>
      </c>
      <c r="K787">
        <v>3.0000000000000001E-6</v>
      </c>
      <c r="L787">
        <v>0.355327</v>
      </c>
      <c r="M787" t="s">
        <v>27</v>
      </c>
      <c r="N787" t="s">
        <v>63</v>
      </c>
      <c r="O787" t="s">
        <v>83</v>
      </c>
      <c r="P787" t="s">
        <v>84</v>
      </c>
      <c r="Q787" t="s">
        <v>85</v>
      </c>
    </row>
    <row r="788" spans="1:17" x14ac:dyDescent="0.35">
      <c r="A788" t="s">
        <v>286</v>
      </c>
      <c r="B788">
        <v>45</v>
      </c>
      <c r="C788" t="s">
        <v>310</v>
      </c>
      <c r="D788" t="s">
        <v>82</v>
      </c>
      <c r="E788" t="s">
        <v>25</v>
      </c>
      <c r="F788" t="s">
        <v>26</v>
      </c>
      <c r="G788">
        <v>5137</v>
      </c>
      <c r="H788">
        <v>0</v>
      </c>
      <c r="I788">
        <v>400</v>
      </c>
      <c r="J788">
        <v>0</v>
      </c>
      <c r="K788">
        <v>1.6841999999999999E-2</v>
      </c>
      <c r="L788">
        <v>6.3431709999999999</v>
      </c>
      <c r="M788" t="s">
        <v>27</v>
      </c>
      <c r="N788" t="s">
        <v>28</v>
      </c>
      <c r="O788" t="s">
        <v>83</v>
      </c>
      <c r="P788" t="s">
        <v>84</v>
      </c>
      <c r="Q788" t="s">
        <v>85</v>
      </c>
    </row>
    <row r="789" spans="1:17" x14ac:dyDescent="0.35">
      <c r="A789" t="s">
        <v>286</v>
      </c>
      <c r="B789">
        <v>46</v>
      </c>
      <c r="C789" t="s">
        <v>311</v>
      </c>
      <c r="D789" t="s">
        <v>61</v>
      </c>
      <c r="E789" t="s">
        <v>25</v>
      </c>
      <c r="F789" t="s">
        <v>62</v>
      </c>
      <c r="G789">
        <v>3</v>
      </c>
      <c r="H789">
        <v>0</v>
      </c>
      <c r="I789">
        <v>0</v>
      </c>
      <c r="J789">
        <v>0</v>
      </c>
      <c r="K789">
        <v>0</v>
      </c>
      <c r="L789">
        <v>0.55330699999999999</v>
      </c>
      <c r="M789" t="s">
        <v>27</v>
      </c>
      <c r="N789" t="s">
        <v>63</v>
      </c>
      <c r="O789" t="s">
        <v>64</v>
      </c>
      <c r="P789" t="s">
        <v>65</v>
      </c>
      <c r="Q789" t="s">
        <v>66</v>
      </c>
    </row>
    <row r="790" spans="1:17" x14ac:dyDescent="0.35">
      <c r="A790" t="s">
        <v>286</v>
      </c>
      <c r="B790">
        <v>47</v>
      </c>
      <c r="C790" t="s">
        <v>311</v>
      </c>
      <c r="D790" t="s">
        <v>61</v>
      </c>
      <c r="E790" t="s">
        <v>25</v>
      </c>
      <c r="F790" t="s">
        <v>62</v>
      </c>
      <c r="G790">
        <v>4</v>
      </c>
      <c r="H790">
        <v>0</v>
      </c>
      <c r="I790">
        <v>0</v>
      </c>
      <c r="J790">
        <v>0</v>
      </c>
      <c r="K790">
        <v>0</v>
      </c>
      <c r="L790">
        <v>0.195966</v>
      </c>
      <c r="M790" t="s">
        <v>27</v>
      </c>
      <c r="N790" t="s">
        <v>63</v>
      </c>
      <c r="O790" t="s">
        <v>64</v>
      </c>
      <c r="P790" t="s">
        <v>65</v>
      </c>
      <c r="Q790" t="s">
        <v>66</v>
      </c>
    </row>
    <row r="791" spans="1:17" x14ac:dyDescent="0.35">
      <c r="A791" t="s">
        <v>286</v>
      </c>
      <c r="B791">
        <v>48</v>
      </c>
      <c r="C791" t="s">
        <v>312</v>
      </c>
      <c r="D791" t="s">
        <v>61</v>
      </c>
      <c r="E791" t="s">
        <v>25</v>
      </c>
      <c r="F791" t="s">
        <v>62</v>
      </c>
      <c r="G791">
        <v>4</v>
      </c>
      <c r="H791">
        <v>0</v>
      </c>
      <c r="I791">
        <v>0</v>
      </c>
      <c r="J791">
        <v>0</v>
      </c>
      <c r="K791">
        <v>0</v>
      </c>
      <c r="L791">
        <v>0.20030000000000001</v>
      </c>
      <c r="M791" t="s">
        <v>27</v>
      </c>
      <c r="N791" t="s">
        <v>63</v>
      </c>
      <c r="O791" t="s">
        <v>64</v>
      </c>
      <c r="P791" t="s">
        <v>65</v>
      </c>
      <c r="Q791" t="s">
        <v>66</v>
      </c>
    </row>
    <row r="792" spans="1:17" x14ac:dyDescent="0.35">
      <c r="A792" t="s">
        <v>286</v>
      </c>
      <c r="B792">
        <v>49</v>
      </c>
      <c r="C792" t="s">
        <v>312</v>
      </c>
      <c r="D792" t="s">
        <v>61</v>
      </c>
      <c r="E792" t="s">
        <v>25</v>
      </c>
      <c r="F792" t="s">
        <v>62</v>
      </c>
      <c r="G792">
        <v>5</v>
      </c>
      <c r="H792">
        <v>0</v>
      </c>
      <c r="I792">
        <v>0</v>
      </c>
      <c r="J792">
        <v>0</v>
      </c>
      <c r="K792">
        <v>0</v>
      </c>
      <c r="L792">
        <v>0.20268900000000001</v>
      </c>
      <c r="M792" t="s">
        <v>27</v>
      </c>
      <c r="N792" t="s">
        <v>63</v>
      </c>
      <c r="O792" t="s">
        <v>64</v>
      </c>
      <c r="P792" t="s">
        <v>65</v>
      </c>
      <c r="Q792" t="s">
        <v>66</v>
      </c>
    </row>
    <row r="793" spans="1:17" x14ac:dyDescent="0.35">
      <c r="A793" t="s">
        <v>286</v>
      </c>
      <c r="B793">
        <v>50</v>
      </c>
      <c r="C793" t="s">
        <v>312</v>
      </c>
      <c r="D793" t="s">
        <v>61</v>
      </c>
      <c r="E793" t="s">
        <v>25</v>
      </c>
      <c r="F793" t="s">
        <v>62</v>
      </c>
      <c r="G793">
        <v>4</v>
      </c>
      <c r="H793">
        <v>0</v>
      </c>
      <c r="I793">
        <v>0</v>
      </c>
      <c r="J793">
        <v>0</v>
      </c>
      <c r="K793">
        <v>0</v>
      </c>
      <c r="L793">
        <v>0.25644299999999998</v>
      </c>
      <c r="M793" t="s">
        <v>27</v>
      </c>
      <c r="N793" t="s">
        <v>63</v>
      </c>
      <c r="O793" t="s">
        <v>64</v>
      </c>
      <c r="P793" t="s">
        <v>65</v>
      </c>
      <c r="Q793" t="s">
        <v>66</v>
      </c>
    </row>
    <row r="794" spans="1:17" x14ac:dyDescent="0.35">
      <c r="A794" t="s">
        <v>286</v>
      </c>
      <c r="B794">
        <v>51</v>
      </c>
      <c r="C794" t="s">
        <v>313</v>
      </c>
      <c r="D794" t="s">
        <v>61</v>
      </c>
      <c r="E794" t="s">
        <v>25</v>
      </c>
      <c r="F794" t="s">
        <v>62</v>
      </c>
      <c r="G794">
        <v>16</v>
      </c>
      <c r="H794">
        <v>0</v>
      </c>
      <c r="I794">
        <v>0</v>
      </c>
      <c r="J794">
        <v>0</v>
      </c>
      <c r="K794">
        <v>0</v>
      </c>
      <c r="L794">
        <v>0.217554</v>
      </c>
      <c r="M794" t="s">
        <v>27</v>
      </c>
      <c r="N794" t="s">
        <v>63</v>
      </c>
      <c r="O794" t="s">
        <v>64</v>
      </c>
      <c r="P794" t="s">
        <v>65</v>
      </c>
      <c r="Q794" t="s">
        <v>66</v>
      </c>
    </row>
    <row r="795" spans="1:17" x14ac:dyDescent="0.35">
      <c r="A795" t="s">
        <v>286</v>
      </c>
      <c r="B795">
        <v>52</v>
      </c>
      <c r="C795" t="s">
        <v>314</v>
      </c>
      <c r="D795" t="s">
        <v>61</v>
      </c>
      <c r="E795" t="s">
        <v>25</v>
      </c>
      <c r="F795" t="s">
        <v>62</v>
      </c>
      <c r="G795">
        <v>4</v>
      </c>
      <c r="H795">
        <v>0</v>
      </c>
      <c r="I795">
        <v>0</v>
      </c>
      <c r="J795">
        <v>0</v>
      </c>
      <c r="K795">
        <v>0</v>
      </c>
      <c r="L795">
        <v>0.26018200000000002</v>
      </c>
      <c r="M795" t="s">
        <v>27</v>
      </c>
      <c r="N795" t="s">
        <v>63</v>
      </c>
      <c r="O795" t="s">
        <v>64</v>
      </c>
      <c r="P795" t="s">
        <v>65</v>
      </c>
      <c r="Q795" t="s">
        <v>66</v>
      </c>
    </row>
    <row r="796" spans="1:17" x14ac:dyDescent="0.35">
      <c r="A796" t="s">
        <v>286</v>
      </c>
      <c r="B796">
        <v>53</v>
      </c>
      <c r="C796" t="s">
        <v>314</v>
      </c>
      <c r="D796" t="s">
        <v>61</v>
      </c>
      <c r="E796" t="s">
        <v>25</v>
      </c>
      <c r="F796" t="s">
        <v>62</v>
      </c>
      <c r="G796">
        <v>4</v>
      </c>
      <c r="H796">
        <v>0</v>
      </c>
      <c r="I796">
        <v>0</v>
      </c>
      <c r="J796">
        <v>0</v>
      </c>
      <c r="K796">
        <v>0</v>
      </c>
      <c r="L796">
        <v>0.28235399999999999</v>
      </c>
      <c r="M796" t="s">
        <v>27</v>
      </c>
      <c r="N796" t="s">
        <v>63</v>
      </c>
      <c r="O796" t="s">
        <v>64</v>
      </c>
      <c r="P796" t="s">
        <v>65</v>
      </c>
      <c r="Q796" t="s">
        <v>66</v>
      </c>
    </row>
    <row r="797" spans="1:17" x14ac:dyDescent="0.35">
      <c r="A797" t="s">
        <v>286</v>
      </c>
      <c r="B797">
        <v>54</v>
      </c>
      <c r="C797" t="s">
        <v>314</v>
      </c>
      <c r="D797" t="s">
        <v>61</v>
      </c>
      <c r="E797" t="s">
        <v>25</v>
      </c>
      <c r="F797" t="s">
        <v>62</v>
      </c>
      <c r="G797">
        <v>3</v>
      </c>
      <c r="H797">
        <v>0</v>
      </c>
      <c r="I797">
        <v>0</v>
      </c>
      <c r="J797">
        <v>0</v>
      </c>
      <c r="K797">
        <v>0</v>
      </c>
      <c r="L797">
        <v>0.24115300000000001</v>
      </c>
      <c r="M797" t="s">
        <v>27</v>
      </c>
      <c r="N797" t="s">
        <v>63</v>
      </c>
      <c r="O797" t="s">
        <v>64</v>
      </c>
      <c r="P797" t="s">
        <v>65</v>
      </c>
      <c r="Q797" t="s">
        <v>66</v>
      </c>
    </row>
    <row r="798" spans="1:17" x14ac:dyDescent="0.35">
      <c r="A798" t="s">
        <v>286</v>
      </c>
      <c r="B798">
        <v>55</v>
      </c>
      <c r="C798" t="s">
        <v>315</v>
      </c>
      <c r="D798" t="s">
        <v>61</v>
      </c>
      <c r="E798" t="s">
        <v>25</v>
      </c>
      <c r="F798" t="s">
        <v>62</v>
      </c>
      <c r="G798">
        <v>4</v>
      </c>
      <c r="H798">
        <v>0</v>
      </c>
      <c r="I798">
        <v>0</v>
      </c>
      <c r="J798">
        <v>0</v>
      </c>
      <c r="K798">
        <v>0</v>
      </c>
      <c r="L798">
        <v>0.26989200000000002</v>
      </c>
      <c r="M798" t="s">
        <v>27</v>
      </c>
      <c r="N798" t="s">
        <v>63</v>
      </c>
      <c r="O798" t="s">
        <v>64</v>
      </c>
      <c r="P798" t="s">
        <v>65</v>
      </c>
      <c r="Q798" t="s">
        <v>66</v>
      </c>
    </row>
    <row r="799" spans="1:17" x14ac:dyDescent="0.35">
      <c r="A799" t="s">
        <v>286</v>
      </c>
      <c r="B799">
        <v>56</v>
      </c>
      <c r="C799" t="s">
        <v>315</v>
      </c>
      <c r="D799" t="s">
        <v>61</v>
      </c>
      <c r="E799" t="s">
        <v>25</v>
      </c>
      <c r="F799" t="s">
        <v>62</v>
      </c>
      <c r="G799">
        <v>5</v>
      </c>
      <c r="H799">
        <v>0</v>
      </c>
      <c r="I799">
        <v>0</v>
      </c>
      <c r="J799">
        <v>0</v>
      </c>
      <c r="K799">
        <v>0</v>
      </c>
      <c r="L799">
        <v>0.25717899999999999</v>
      </c>
      <c r="M799" t="s">
        <v>27</v>
      </c>
      <c r="N799" t="s">
        <v>63</v>
      </c>
      <c r="O799" t="s">
        <v>64</v>
      </c>
      <c r="P799" t="s">
        <v>65</v>
      </c>
      <c r="Q799" t="s">
        <v>66</v>
      </c>
    </row>
    <row r="800" spans="1:17" x14ac:dyDescent="0.35">
      <c r="A800" t="s">
        <v>286</v>
      </c>
      <c r="B800">
        <v>57</v>
      </c>
      <c r="C800" t="s">
        <v>316</v>
      </c>
      <c r="D800" t="s">
        <v>61</v>
      </c>
      <c r="E800" t="s">
        <v>25</v>
      </c>
      <c r="F800" t="s">
        <v>62</v>
      </c>
      <c r="G800">
        <v>5</v>
      </c>
      <c r="H800">
        <v>0</v>
      </c>
      <c r="I800">
        <v>0</v>
      </c>
      <c r="J800">
        <v>0</v>
      </c>
      <c r="K800">
        <v>0</v>
      </c>
      <c r="L800">
        <v>0.22339000000000001</v>
      </c>
      <c r="M800" t="s">
        <v>27</v>
      </c>
      <c r="N800" t="s">
        <v>63</v>
      </c>
      <c r="O800" t="s">
        <v>64</v>
      </c>
      <c r="P800" t="s">
        <v>65</v>
      </c>
      <c r="Q800" t="s">
        <v>66</v>
      </c>
    </row>
    <row r="801" spans="1:17" x14ac:dyDescent="0.35">
      <c r="A801" t="s">
        <v>286</v>
      </c>
      <c r="B801">
        <v>58</v>
      </c>
      <c r="C801" t="s">
        <v>316</v>
      </c>
      <c r="D801" t="s">
        <v>61</v>
      </c>
      <c r="E801" t="s">
        <v>25</v>
      </c>
      <c r="F801" t="s">
        <v>62</v>
      </c>
      <c r="G801">
        <v>25</v>
      </c>
      <c r="H801">
        <v>0</v>
      </c>
      <c r="I801">
        <v>0</v>
      </c>
      <c r="J801">
        <v>0</v>
      </c>
      <c r="K801">
        <v>0</v>
      </c>
      <c r="L801">
        <v>0.22272</v>
      </c>
      <c r="M801" t="s">
        <v>27</v>
      </c>
      <c r="N801" t="s">
        <v>63</v>
      </c>
      <c r="O801" t="s">
        <v>64</v>
      </c>
      <c r="P801" t="s">
        <v>65</v>
      </c>
      <c r="Q801" t="s">
        <v>66</v>
      </c>
    </row>
    <row r="802" spans="1:17" x14ac:dyDescent="0.35">
      <c r="A802" t="s">
        <v>286</v>
      </c>
      <c r="B802">
        <v>59</v>
      </c>
      <c r="C802" t="s">
        <v>317</v>
      </c>
      <c r="D802" t="s">
        <v>121</v>
      </c>
      <c r="E802" t="s">
        <v>25</v>
      </c>
      <c r="F802" t="s">
        <v>26</v>
      </c>
      <c r="G802">
        <v>6936</v>
      </c>
      <c r="H802">
        <v>0</v>
      </c>
      <c r="I802">
        <v>732</v>
      </c>
      <c r="J802">
        <v>0</v>
      </c>
      <c r="K802">
        <v>2.4660000000000001E-2</v>
      </c>
      <c r="L802">
        <v>9.1852260000000001</v>
      </c>
      <c r="M802" t="s">
        <v>27</v>
      </c>
      <c r="N802" t="s">
        <v>28</v>
      </c>
      <c r="O802" t="s">
        <v>122</v>
      </c>
      <c r="P802" t="s">
        <v>123</v>
      </c>
      <c r="Q802" t="s">
        <v>124</v>
      </c>
    </row>
    <row r="803" spans="1:17" x14ac:dyDescent="0.35">
      <c r="A803" t="s">
        <v>286</v>
      </c>
      <c r="B803">
        <v>60</v>
      </c>
      <c r="C803" t="s">
        <v>318</v>
      </c>
      <c r="D803" t="s">
        <v>121</v>
      </c>
      <c r="E803" t="s">
        <v>25</v>
      </c>
      <c r="F803" t="s">
        <v>26</v>
      </c>
      <c r="G803">
        <v>6705</v>
      </c>
      <c r="H803">
        <v>0</v>
      </c>
      <c r="I803">
        <v>738</v>
      </c>
      <c r="J803">
        <v>0</v>
      </c>
      <c r="K803">
        <v>2.4143000000000001E-2</v>
      </c>
      <c r="L803">
        <v>9.7464089999999999</v>
      </c>
      <c r="M803" t="s">
        <v>27</v>
      </c>
      <c r="N803" t="s">
        <v>28</v>
      </c>
      <c r="O803" t="s">
        <v>122</v>
      </c>
      <c r="P803" t="s">
        <v>123</v>
      </c>
      <c r="Q803" t="s">
        <v>124</v>
      </c>
    </row>
    <row r="804" spans="1:17" x14ac:dyDescent="0.35">
      <c r="A804" t="s">
        <v>286</v>
      </c>
      <c r="B804">
        <v>61</v>
      </c>
      <c r="C804" t="s">
        <v>319</v>
      </c>
      <c r="D804" t="s">
        <v>121</v>
      </c>
      <c r="E804" t="s">
        <v>25</v>
      </c>
      <c r="F804" t="s">
        <v>26</v>
      </c>
      <c r="G804">
        <v>9113</v>
      </c>
      <c r="H804">
        <v>0</v>
      </c>
      <c r="I804">
        <v>1275</v>
      </c>
      <c r="J804">
        <v>0</v>
      </c>
      <c r="K804">
        <v>3.5533000000000002E-2</v>
      </c>
      <c r="L804">
        <v>15.152599</v>
      </c>
      <c r="M804" t="s">
        <v>27</v>
      </c>
      <c r="N804" t="s">
        <v>28</v>
      </c>
      <c r="O804" t="s">
        <v>122</v>
      </c>
      <c r="P804" t="s">
        <v>123</v>
      </c>
      <c r="Q804" t="s">
        <v>124</v>
      </c>
    </row>
    <row r="805" spans="1:17" x14ac:dyDescent="0.35">
      <c r="A805" t="s">
        <v>286</v>
      </c>
      <c r="B805">
        <v>62</v>
      </c>
      <c r="C805" t="s">
        <v>319</v>
      </c>
      <c r="D805" t="s">
        <v>121</v>
      </c>
      <c r="E805" t="s">
        <v>25</v>
      </c>
      <c r="F805" t="s">
        <v>26</v>
      </c>
      <c r="G805">
        <v>9104</v>
      </c>
      <c r="H805">
        <v>0</v>
      </c>
      <c r="I805">
        <v>1295</v>
      </c>
      <c r="J805">
        <v>0</v>
      </c>
      <c r="K805">
        <v>3.5709999999999999E-2</v>
      </c>
      <c r="L805">
        <v>15.441839</v>
      </c>
      <c r="M805" t="s">
        <v>27</v>
      </c>
      <c r="N805" t="s">
        <v>28</v>
      </c>
      <c r="O805" t="s">
        <v>122</v>
      </c>
      <c r="P805" t="s">
        <v>123</v>
      </c>
      <c r="Q805" t="s">
        <v>124</v>
      </c>
    </row>
    <row r="806" spans="1:17" x14ac:dyDescent="0.35">
      <c r="A806" t="s">
        <v>286</v>
      </c>
      <c r="B806">
        <v>63</v>
      </c>
      <c r="C806" t="s">
        <v>320</v>
      </c>
      <c r="D806" t="s">
        <v>121</v>
      </c>
      <c r="E806" t="s">
        <v>25</v>
      </c>
      <c r="F806" t="s">
        <v>26</v>
      </c>
      <c r="G806">
        <v>9967</v>
      </c>
      <c r="H806">
        <v>0</v>
      </c>
      <c r="I806">
        <v>1471</v>
      </c>
      <c r="J806">
        <v>0</v>
      </c>
      <c r="K806">
        <v>3.9627999999999997E-2</v>
      </c>
      <c r="L806">
        <v>18.177848999999998</v>
      </c>
      <c r="M806" t="s">
        <v>27</v>
      </c>
      <c r="N806" t="s">
        <v>28</v>
      </c>
      <c r="O806" t="s">
        <v>122</v>
      </c>
      <c r="P806" t="s">
        <v>123</v>
      </c>
      <c r="Q806" t="s">
        <v>124</v>
      </c>
    </row>
    <row r="807" spans="1:17" x14ac:dyDescent="0.35">
      <c r="A807" t="s">
        <v>286</v>
      </c>
      <c r="B807">
        <v>64</v>
      </c>
      <c r="C807" t="s">
        <v>321</v>
      </c>
      <c r="D807" t="s">
        <v>121</v>
      </c>
      <c r="E807" t="s">
        <v>25</v>
      </c>
      <c r="F807" t="s">
        <v>26</v>
      </c>
      <c r="G807">
        <v>9222</v>
      </c>
      <c r="H807">
        <v>0</v>
      </c>
      <c r="I807">
        <v>1042</v>
      </c>
      <c r="J807">
        <v>0</v>
      </c>
      <c r="K807">
        <v>3.3474999999999998E-2</v>
      </c>
      <c r="L807">
        <v>20.234316</v>
      </c>
      <c r="M807" t="s">
        <v>27</v>
      </c>
      <c r="N807" t="s">
        <v>28</v>
      </c>
      <c r="O807" t="s">
        <v>122</v>
      </c>
      <c r="P807" t="s">
        <v>123</v>
      </c>
      <c r="Q807" t="s">
        <v>124</v>
      </c>
    </row>
    <row r="808" spans="1:17" x14ac:dyDescent="0.35">
      <c r="A808" t="s">
        <v>286</v>
      </c>
      <c r="B808">
        <v>65</v>
      </c>
      <c r="C808" t="s">
        <v>322</v>
      </c>
      <c r="D808" t="s">
        <v>121</v>
      </c>
      <c r="E808" t="s">
        <v>25</v>
      </c>
      <c r="F808" t="s">
        <v>26</v>
      </c>
      <c r="G808">
        <v>8028</v>
      </c>
      <c r="H808">
        <v>0</v>
      </c>
      <c r="I808">
        <v>1338</v>
      </c>
      <c r="J808">
        <v>0</v>
      </c>
      <c r="K808">
        <v>3.3450000000000001E-2</v>
      </c>
      <c r="L808">
        <v>17.864279</v>
      </c>
      <c r="M808" t="s">
        <v>27</v>
      </c>
      <c r="N808" t="s">
        <v>28</v>
      </c>
      <c r="O808" t="s">
        <v>122</v>
      </c>
      <c r="P808" t="s">
        <v>123</v>
      </c>
      <c r="Q808" t="s">
        <v>124</v>
      </c>
    </row>
    <row r="809" spans="1:17" x14ac:dyDescent="0.35">
      <c r="A809" t="s">
        <v>286</v>
      </c>
      <c r="B809">
        <v>66</v>
      </c>
      <c r="C809" t="s">
        <v>323</v>
      </c>
      <c r="D809" t="s">
        <v>121</v>
      </c>
      <c r="E809" t="s">
        <v>25</v>
      </c>
      <c r="F809" t="s">
        <v>26</v>
      </c>
      <c r="G809">
        <v>8947</v>
      </c>
      <c r="H809">
        <v>0</v>
      </c>
      <c r="I809">
        <v>1275</v>
      </c>
      <c r="J809">
        <v>0</v>
      </c>
      <c r="K809">
        <v>3.5118000000000003E-2</v>
      </c>
      <c r="L809">
        <v>18.80714</v>
      </c>
      <c r="M809" t="s">
        <v>27</v>
      </c>
      <c r="N809" t="s">
        <v>28</v>
      </c>
      <c r="O809" t="s">
        <v>122</v>
      </c>
      <c r="P809" t="s">
        <v>123</v>
      </c>
      <c r="Q809" t="s">
        <v>124</v>
      </c>
    </row>
    <row r="810" spans="1:17" x14ac:dyDescent="0.35">
      <c r="A810" t="s">
        <v>286</v>
      </c>
      <c r="B810">
        <v>67</v>
      </c>
      <c r="C810" t="s">
        <v>324</v>
      </c>
      <c r="D810" t="s">
        <v>121</v>
      </c>
      <c r="E810" t="s">
        <v>25</v>
      </c>
      <c r="F810" t="s">
        <v>26</v>
      </c>
      <c r="G810">
        <v>10285</v>
      </c>
      <c r="H810">
        <v>9984</v>
      </c>
      <c r="I810">
        <v>1982</v>
      </c>
      <c r="J810">
        <v>0</v>
      </c>
      <c r="K810">
        <v>3.3051999999999998E-2</v>
      </c>
      <c r="L810">
        <v>21.780149999999999</v>
      </c>
      <c r="M810" t="s">
        <v>27</v>
      </c>
      <c r="N810" t="s">
        <v>28</v>
      </c>
      <c r="O810" t="s">
        <v>122</v>
      </c>
      <c r="P810" t="s">
        <v>123</v>
      </c>
      <c r="Q810" t="s">
        <v>124</v>
      </c>
    </row>
    <row r="811" spans="1:17" x14ac:dyDescent="0.35">
      <c r="A811" t="s">
        <v>286</v>
      </c>
      <c r="B811">
        <v>68</v>
      </c>
      <c r="C811" t="s">
        <v>325</v>
      </c>
      <c r="D811" t="s">
        <v>133</v>
      </c>
      <c r="E811" t="s">
        <v>25</v>
      </c>
      <c r="F811" t="s">
        <v>26</v>
      </c>
      <c r="G811">
        <v>2915</v>
      </c>
      <c r="H811">
        <v>0</v>
      </c>
      <c r="I811">
        <v>316</v>
      </c>
      <c r="J811">
        <v>0</v>
      </c>
      <c r="K811">
        <v>1.0448000000000001E-2</v>
      </c>
      <c r="L811">
        <v>4.4342180000000004</v>
      </c>
      <c r="M811" t="s">
        <v>27</v>
      </c>
      <c r="N811" t="s">
        <v>28</v>
      </c>
      <c r="O811" t="s">
        <v>122</v>
      </c>
      <c r="P811" t="s">
        <v>123</v>
      </c>
      <c r="Q811" t="s">
        <v>134</v>
      </c>
    </row>
    <row r="812" spans="1:17" x14ac:dyDescent="0.35">
      <c r="A812" t="s">
        <v>326</v>
      </c>
      <c r="B812">
        <v>1</v>
      </c>
      <c r="C812" t="s">
        <v>327</v>
      </c>
      <c r="D812" t="s">
        <v>24</v>
      </c>
      <c r="E812" t="s">
        <v>25</v>
      </c>
      <c r="F812" t="s">
        <v>26</v>
      </c>
      <c r="G812">
        <v>1178</v>
      </c>
      <c r="H812">
        <v>1024</v>
      </c>
      <c r="I812">
        <v>53</v>
      </c>
      <c r="J812">
        <v>0</v>
      </c>
      <c r="K812">
        <v>2.1949999999999999E-3</v>
      </c>
      <c r="L812">
        <v>1.9296599999999999</v>
      </c>
      <c r="M812" t="s">
        <v>27</v>
      </c>
      <c r="N812" t="s">
        <v>28</v>
      </c>
      <c r="O812" t="s">
        <v>29</v>
      </c>
      <c r="P812" t="s">
        <v>30</v>
      </c>
      <c r="Q812" t="s">
        <v>31</v>
      </c>
    </row>
    <row r="813" spans="1:17" x14ac:dyDescent="0.35">
      <c r="A813" t="s">
        <v>326</v>
      </c>
      <c r="B813">
        <v>2</v>
      </c>
      <c r="C813" t="s">
        <v>328</v>
      </c>
      <c r="D813" t="s">
        <v>33</v>
      </c>
      <c r="E813" t="s">
        <v>25</v>
      </c>
      <c r="F813" t="s">
        <v>34</v>
      </c>
      <c r="G813">
        <v>429</v>
      </c>
      <c r="H813">
        <v>0</v>
      </c>
      <c r="I813">
        <v>99</v>
      </c>
      <c r="J813">
        <v>0</v>
      </c>
      <c r="K813">
        <v>1.2400000000000001E-4</v>
      </c>
      <c r="L813">
        <v>2.1034030000000001</v>
      </c>
      <c r="M813" t="s">
        <v>27</v>
      </c>
      <c r="N813" t="s">
        <v>28</v>
      </c>
      <c r="O813" t="s">
        <v>35</v>
      </c>
      <c r="P813" t="s">
        <v>36</v>
      </c>
      <c r="Q813" t="s">
        <v>37</v>
      </c>
    </row>
    <row r="814" spans="1:17" x14ac:dyDescent="0.35">
      <c r="A814" t="s">
        <v>326</v>
      </c>
      <c r="B814">
        <v>3</v>
      </c>
      <c r="C814" t="s">
        <v>329</v>
      </c>
      <c r="D814" t="s">
        <v>39</v>
      </c>
      <c r="E814" t="s">
        <v>40</v>
      </c>
      <c r="F814" t="s">
        <v>41</v>
      </c>
      <c r="G814">
        <v>664</v>
      </c>
      <c r="H814">
        <v>0</v>
      </c>
      <c r="I814">
        <v>2880</v>
      </c>
      <c r="J814">
        <v>5.0000000000000001E-3</v>
      </c>
      <c r="K814">
        <v>8.5400000000000007E-3</v>
      </c>
      <c r="L814">
        <v>30.903096000000001</v>
      </c>
      <c r="M814" t="s">
        <v>27</v>
      </c>
      <c r="N814" t="s">
        <v>42</v>
      </c>
      <c r="O814" t="s">
        <v>43</v>
      </c>
      <c r="P814" t="s">
        <v>44</v>
      </c>
      <c r="Q814" t="s">
        <v>45</v>
      </c>
    </row>
    <row r="815" spans="1:17" x14ac:dyDescent="0.35">
      <c r="A815" t="s">
        <v>326</v>
      </c>
      <c r="B815">
        <v>4</v>
      </c>
      <c r="C815" t="s">
        <v>330</v>
      </c>
      <c r="D815" t="s">
        <v>55</v>
      </c>
      <c r="E815" t="s">
        <v>25</v>
      </c>
      <c r="F815" t="s">
        <v>26</v>
      </c>
      <c r="G815">
        <v>11022</v>
      </c>
      <c r="H815">
        <v>0</v>
      </c>
      <c r="I815">
        <v>1520</v>
      </c>
      <c r="J815">
        <v>0</v>
      </c>
      <c r="K815">
        <v>4.2755000000000001E-2</v>
      </c>
      <c r="L815">
        <v>23.307886</v>
      </c>
      <c r="M815" t="s">
        <v>27</v>
      </c>
      <c r="N815" t="s">
        <v>28</v>
      </c>
      <c r="O815" t="s">
        <v>56</v>
      </c>
      <c r="P815" t="s">
        <v>57</v>
      </c>
      <c r="Q815" t="s">
        <v>58</v>
      </c>
    </row>
    <row r="816" spans="1:17" x14ac:dyDescent="0.35">
      <c r="A816" t="s">
        <v>326</v>
      </c>
      <c r="B816">
        <v>5</v>
      </c>
      <c r="C816" t="s">
        <v>331</v>
      </c>
      <c r="D816" t="s">
        <v>55</v>
      </c>
      <c r="E816" t="s">
        <v>25</v>
      </c>
      <c r="F816" t="s">
        <v>26</v>
      </c>
      <c r="G816">
        <v>12643</v>
      </c>
      <c r="H816">
        <v>12416</v>
      </c>
      <c r="I816">
        <v>1947</v>
      </c>
      <c r="J816">
        <v>0</v>
      </c>
      <c r="K816">
        <v>3.5556999999999998E-2</v>
      </c>
      <c r="L816">
        <v>23.101835999999999</v>
      </c>
      <c r="M816" t="s">
        <v>27</v>
      </c>
      <c r="N816" t="s">
        <v>28</v>
      </c>
      <c r="O816" t="s">
        <v>56</v>
      </c>
      <c r="P816" t="s">
        <v>57</v>
      </c>
      <c r="Q816" t="s">
        <v>58</v>
      </c>
    </row>
    <row r="817" spans="1:17" x14ac:dyDescent="0.35">
      <c r="A817" t="s">
        <v>326</v>
      </c>
      <c r="B817">
        <v>6</v>
      </c>
      <c r="C817" t="s">
        <v>332</v>
      </c>
      <c r="D817" t="s">
        <v>61</v>
      </c>
      <c r="E817" t="s">
        <v>25</v>
      </c>
      <c r="F817" t="s">
        <v>62</v>
      </c>
      <c r="G817">
        <v>4</v>
      </c>
      <c r="H817">
        <v>0</v>
      </c>
      <c r="I817">
        <v>0</v>
      </c>
      <c r="J817">
        <v>0</v>
      </c>
      <c r="K817">
        <v>0</v>
      </c>
      <c r="L817">
        <v>0.94483200000000001</v>
      </c>
      <c r="M817" t="s">
        <v>27</v>
      </c>
      <c r="N817" t="s">
        <v>63</v>
      </c>
      <c r="O817" t="s">
        <v>64</v>
      </c>
      <c r="P817" t="s">
        <v>65</v>
      </c>
      <c r="Q817" t="s">
        <v>66</v>
      </c>
    </row>
    <row r="818" spans="1:17" x14ac:dyDescent="0.35">
      <c r="A818" t="s">
        <v>326</v>
      </c>
      <c r="B818">
        <v>7</v>
      </c>
      <c r="C818" t="s">
        <v>332</v>
      </c>
      <c r="D818" t="s">
        <v>61</v>
      </c>
      <c r="E818" t="s">
        <v>25</v>
      </c>
      <c r="F818" t="s">
        <v>62</v>
      </c>
      <c r="G818">
        <v>5</v>
      </c>
      <c r="H818">
        <v>0</v>
      </c>
      <c r="I818">
        <v>0</v>
      </c>
      <c r="J818">
        <v>0</v>
      </c>
      <c r="K818">
        <v>0</v>
      </c>
      <c r="L818">
        <v>0.200539</v>
      </c>
      <c r="M818" t="s">
        <v>27</v>
      </c>
      <c r="N818" t="s">
        <v>63</v>
      </c>
      <c r="O818" t="s">
        <v>64</v>
      </c>
      <c r="P818" t="s">
        <v>65</v>
      </c>
      <c r="Q818" t="s">
        <v>66</v>
      </c>
    </row>
    <row r="819" spans="1:17" x14ac:dyDescent="0.35">
      <c r="A819" t="s">
        <v>326</v>
      </c>
      <c r="B819">
        <v>8</v>
      </c>
      <c r="C819" t="s">
        <v>332</v>
      </c>
      <c r="D819" t="s">
        <v>61</v>
      </c>
      <c r="E819" t="s">
        <v>25</v>
      </c>
      <c r="F819" t="s">
        <v>62</v>
      </c>
      <c r="G819">
        <v>6</v>
      </c>
      <c r="H819">
        <v>0</v>
      </c>
      <c r="I819">
        <v>0</v>
      </c>
      <c r="J819">
        <v>0</v>
      </c>
      <c r="K819">
        <v>0</v>
      </c>
      <c r="L819">
        <v>0.19686999999999999</v>
      </c>
      <c r="M819" t="s">
        <v>27</v>
      </c>
      <c r="N819" t="s">
        <v>63</v>
      </c>
      <c r="O819" t="s">
        <v>64</v>
      </c>
      <c r="P819" t="s">
        <v>65</v>
      </c>
      <c r="Q819" t="s">
        <v>66</v>
      </c>
    </row>
    <row r="820" spans="1:17" x14ac:dyDescent="0.35">
      <c r="A820" t="s">
        <v>326</v>
      </c>
      <c r="B820">
        <v>9</v>
      </c>
      <c r="C820" t="s">
        <v>333</v>
      </c>
      <c r="D820" t="s">
        <v>61</v>
      </c>
      <c r="E820" t="s">
        <v>25</v>
      </c>
      <c r="F820" t="s">
        <v>62</v>
      </c>
      <c r="G820">
        <v>7</v>
      </c>
      <c r="H820">
        <v>0</v>
      </c>
      <c r="I820">
        <v>0</v>
      </c>
      <c r="J820">
        <v>0</v>
      </c>
      <c r="K820">
        <v>0</v>
      </c>
      <c r="L820">
        <v>0.21149899999999999</v>
      </c>
      <c r="M820" t="s">
        <v>27</v>
      </c>
      <c r="N820" t="s">
        <v>63</v>
      </c>
      <c r="O820" t="s">
        <v>64</v>
      </c>
      <c r="P820" t="s">
        <v>65</v>
      </c>
      <c r="Q820" t="s">
        <v>66</v>
      </c>
    </row>
    <row r="821" spans="1:17" x14ac:dyDescent="0.35">
      <c r="A821" t="s">
        <v>326</v>
      </c>
      <c r="B821">
        <v>10</v>
      </c>
      <c r="C821" t="s">
        <v>333</v>
      </c>
      <c r="D821" t="s">
        <v>61</v>
      </c>
      <c r="E821" t="s">
        <v>25</v>
      </c>
      <c r="F821" t="s">
        <v>62</v>
      </c>
      <c r="G821">
        <v>3</v>
      </c>
      <c r="H821">
        <v>0</v>
      </c>
      <c r="I821">
        <v>0</v>
      </c>
      <c r="J821">
        <v>0</v>
      </c>
      <c r="K821">
        <v>0</v>
      </c>
      <c r="L821">
        <v>0.19650300000000001</v>
      </c>
      <c r="M821" t="s">
        <v>27</v>
      </c>
      <c r="N821" t="s">
        <v>63</v>
      </c>
      <c r="O821" t="s">
        <v>64</v>
      </c>
      <c r="P821" t="s">
        <v>65</v>
      </c>
      <c r="Q821" t="s">
        <v>66</v>
      </c>
    </row>
    <row r="822" spans="1:17" x14ac:dyDescent="0.35">
      <c r="A822" t="s">
        <v>326</v>
      </c>
      <c r="B822">
        <v>11</v>
      </c>
      <c r="C822" t="s">
        <v>333</v>
      </c>
      <c r="D822" t="s">
        <v>61</v>
      </c>
      <c r="E822" t="s">
        <v>25</v>
      </c>
      <c r="F822" t="s">
        <v>62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0.192443</v>
      </c>
      <c r="M822" t="s">
        <v>27</v>
      </c>
      <c r="N822" t="s">
        <v>63</v>
      </c>
      <c r="O822" t="s">
        <v>64</v>
      </c>
      <c r="P822" t="s">
        <v>65</v>
      </c>
      <c r="Q822" t="s">
        <v>66</v>
      </c>
    </row>
    <row r="823" spans="1:17" x14ac:dyDescent="0.35">
      <c r="A823" t="s">
        <v>326</v>
      </c>
      <c r="B823">
        <v>12</v>
      </c>
      <c r="C823" t="s">
        <v>334</v>
      </c>
      <c r="D823" t="s">
        <v>61</v>
      </c>
      <c r="E823" t="s">
        <v>25</v>
      </c>
      <c r="F823" t="s">
        <v>62</v>
      </c>
      <c r="G823">
        <v>5</v>
      </c>
      <c r="H823">
        <v>0</v>
      </c>
      <c r="I823">
        <v>0</v>
      </c>
      <c r="J823">
        <v>0</v>
      </c>
      <c r="K823">
        <v>0</v>
      </c>
      <c r="L823">
        <v>0.18371399999999999</v>
      </c>
      <c r="M823" t="s">
        <v>27</v>
      </c>
      <c r="N823" t="s">
        <v>63</v>
      </c>
      <c r="O823" t="s">
        <v>64</v>
      </c>
      <c r="P823" t="s">
        <v>65</v>
      </c>
      <c r="Q823" t="s">
        <v>66</v>
      </c>
    </row>
    <row r="824" spans="1:17" x14ac:dyDescent="0.35">
      <c r="A824" t="s">
        <v>326</v>
      </c>
      <c r="B824">
        <v>13</v>
      </c>
      <c r="C824" t="s">
        <v>334</v>
      </c>
      <c r="D824" t="s">
        <v>61</v>
      </c>
      <c r="E824" t="s">
        <v>25</v>
      </c>
      <c r="F824" t="s">
        <v>62</v>
      </c>
      <c r="G824">
        <v>4</v>
      </c>
      <c r="H824">
        <v>0</v>
      </c>
      <c r="I824">
        <v>0</v>
      </c>
      <c r="J824">
        <v>0</v>
      </c>
      <c r="K824">
        <v>0</v>
      </c>
      <c r="L824">
        <v>0.19983400000000001</v>
      </c>
      <c r="M824" t="s">
        <v>27</v>
      </c>
      <c r="N824" t="s">
        <v>63</v>
      </c>
      <c r="O824" t="s">
        <v>64</v>
      </c>
      <c r="P824" t="s">
        <v>65</v>
      </c>
      <c r="Q824" t="s">
        <v>66</v>
      </c>
    </row>
    <row r="825" spans="1:17" x14ac:dyDescent="0.35">
      <c r="A825" t="s">
        <v>326</v>
      </c>
      <c r="B825">
        <v>14</v>
      </c>
      <c r="C825" t="s">
        <v>334</v>
      </c>
      <c r="D825" t="s">
        <v>61</v>
      </c>
      <c r="E825" t="s">
        <v>25</v>
      </c>
      <c r="F825" t="s">
        <v>62</v>
      </c>
      <c r="G825">
        <v>4</v>
      </c>
      <c r="H825">
        <v>0</v>
      </c>
      <c r="I825">
        <v>0</v>
      </c>
      <c r="J825">
        <v>0</v>
      </c>
      <c r="K825">
        <v>0</v>
      </c>
      <c r="L825">
        <v>0.193885</v>
      </c>
      <c r="M825" t="s">
        <v>27</v>
      </c>
      <c r="N825" t="s">
        <v>63</v>
      </c>
      <c r="O825" t="s">
        <v>64</v>
      </c>
      <c r="P825" t="s">
        <v>65</v>
      </c>
      <c r="Q825" t="s">
        <v>66</v>
      </c>
    </row>
    <row r="826" spans="1:17" x14ac:dyDescent="0.35">
      <c r="A826" t="s">
        <v>326</v>
      </c>
      <c r="B826">
        <v>15</v>
      </c>
      <c r="C826" t="s">
        <v>335</v>
      </c>
      <c r="D826" t="s">
        <v>61</v>
      </c>
      <c r="E826" t="s">
        <v>25</v>
      </c>
      <c r="F826" t="s">
        <v>62</v>
      </c>
      <c r="G826">
        <v>2</v>
      </c>
      <c r="H826">
        <v>0</v>
      </c>
      <c r="I826">
        <v>0</v>
      </c>
      <c r="J826">
        <v>0</v>
      </c>
      <c r="K826">
        <v>0</v>
      </c>
      <c r="L826">
        <v>0.210175</v>
      </c>
      <c r="M826" t="s">
        <v>27</v>
      </c>
      <c r="N826" t="s">
        <v>63</v>
      </c>
      <c r="O826" t="s">
        <v>64</v>
      </c>
      <c r="P826" t="s">
        <v>65</v>
      </c>
      <c r="Q826" t="s">
        <v>66</v>
      </c>
    </row>
    <row r="827" spans="1:17" x14ac:dyDescent="0.35">
      <c r="A827" t="s">
        <v>326</v>
      </c>
      <c r="B827">
        <v>16</v>
      </c>
      <c r="C827" t="s">
        <v>335</v>
      </c>
      <c r="D827" t="s">
        <v>61</v>
      </c>
      <c r="E827" t="s">
        <v>25</v>
      </c>
      <c r="F827" t="s">
        <v>62</v>
      </c>
      <c r="G827">
        <v>2</v>
      </c>
      <c r="H827">
        <v>0</v>
      </c>
      <c r="I827">
        <v>0</v>
      </c>
      <c r="J827">
        <v>0</v>
      </c>
      <c r="K827">
        <v>0</v>
      </c>
      <c r="L827">
        <v>0.31761400000000001</v>
      </c>
      <c r="M827" t="s">
        <v>27</v>
      </c>
      <c r="N827" t="s">
        <v>63</v>
      </c>
      <c r="O827" t="s">
        <v>64</v>
      </c>
      <c r="P827" t="s">
        <v>65</v>
      </c>
      <c r="Q827" t="s">
        <v>66</v>
      </c>
    </row>
    <row r="828" spans="1:17" x14ac:dyDescent="0.35">
      <c r="A828" t="s">
        <v>326</v>
      </c>
      <c r="B828">
        <v>17</v>
      </c>
      <c r="C828" t="s">
        <v>336</v>
      </c>
      <c r="D828" t="s">
        <v>61</v>
      </c>
      <c r="E828" t="s">
        <v>25</v>
      </c>
      <c r="F828" t="s">
        <v>62</v>
      </c>
      <c r="G828">
        <v>4</v>
      </c>
      <c r="H828">
        <v>0</v>
      </c>
      <c r="I828">
        <v>0</v>
      </c>
      <c r="J828">
        <v>0</v>
      </c>
      <c r="K828">
        <v>0</v>
      </c>
      <c r="L828">
        <v>0.22800599999999999</v>
      </c>
      <c r="M828" t="s">
        <v>27</v>
      </c>
      <c r="N828" t="s">
        <v>63</v>
      </c>
      <c r="O828" t="s">
        <v>64</v>
      </c>
      <c r="P828" t="s">
        <v>65</v>
      </c>
      <c r="Q828" t="s">
        <v>66</v>
      </c>
    </row>
    <row r="829" spans="1:17" x14ac:dyDescent="0.35">
      <c r="A829" t="s">
        <v>326</v>
      </c>
      <c r="B829">
        <v>18</v>
      </c>
      <c r="C829" t="s">
        <v>336</v>
      </c>
      <c r="D829" t="s">
        <v>61</v>
      </c>
      <c r="E829" t="s">
        <v>25</v>
      </c>
      <c r="F829" t="s">
        <v>62</v>
      </c>
      <c r="G829">
        <v>4</v>
      </c>
      <c r="H829">
        <v>0</v>
      </c>
      <c r="I829">
        <v>0</v>
      </c>
      <c r="J829">
        <v>0</v>
      </c>
      <c r="K829">
        <v>0</v>
      </c>
      <c r="L829">
        <v>0.21708</v>
      </c>
      <c r="M829" t="s">
        <v>27</v>
      </c>
      <c r="N829" t="s">
        <v>63</v>
      </c>
      <c r="O829" t="s">
        <v>64</v>
      </c>
      <c r="P829" t="s">
        <v>65</v>
      </c>
      <c r="Q829" t="s">
        <v>66</v>
      </c>
    </row>
    <row r="830" spans="1:17" x14ac:dyDescent="0.35">
      <c r="A830" t="s">
        <v>326</v>
      </c>
      <c r="B830">
        <v>19</v>
      </c>
      <c r="C830" t="s">
        <v>336</v>
      </c>
      <c r="D830" t="s">
        <v>61</v>
      </c>
      <c r="E830" t="s">
        <v>25</v>
      </c>
      <c r="F830" t="s">
        <v>62</v>
      </c>
      <c r="G830">
        <v>5</v>
      </c>
      <c r="H830">
        <v>0</v>
      </c>
      <c r="I830">
        <v>0</v>
      </c>
      <c r="J830">
        <v>0</v>
      </c>
      <c r="K830">
        <v>0</v>
      </c>
      <c r="L830">
        <v>0.36917100000000003</v>
      </c>
      <c r="M830" t="s">
        <v>27</v>
      </c>
      <c r="N830" t="s">
        <v>63</v>
      </c>
      <c r="O830" t="s">
        <v>64</v>
      </c>
      <c r="P830" t="s">
        <v>65</v>
      </c>
      <c r="Q830" t="s">
        <v>66</v>
      </c>
    </row>
    <row r="831" spans="1:17" x14ac:dyDescent="0.35">
      <c r="A831" t="s">
        <v>326</v>
      </c>
      <c r="B831">
        <v>20</v>
      </c>
      <c r="C831" t="s">
        <v>337</v>
      </c>
      <c r="D831" t="s">
        <v>61</v>
      </c>
      <c r="E831" t="s">
        <v>25</v>
      </c>
      <c r="F831" t="s">
        <v>62</v>
      </c>
      <c r="G831">
        <v>3</v>
      </c>
      <c r="H831">
        <v>0</v>
      </c>
      <c r="I831">
        <v>0</v>
      </c>
      <c r="J831">
        <v>0</v>
      </c>
      <c r="K831">
        <v>0</v>
      </c>
      <c r="L831">
        <v>0.404252</v>
      </c>
      <c r="M831" t="s">
        <v>27</v>
      </c>
      <c r="N831" t="s">
        <v>63</v>
      </c>
      <c r="O831" t="s">
        <v>64</v>
      </c>
      <c r="P831" t="s">
        <v>65</v>
      </c>
      <c r="Q831" t="s">
        <v>66</v>
      </c>
    </row>
    <row r="832" spans="1:17" x14ac:dyDescent="0.35">
      <c r="A832" t="s">
        <v>326</v>
      </c>
      <c r="B832">
        <v>21</v>
      </c>
      <c r="C832" t="s">
        <v>337</v>
      </c>
      <c r="D832" t="s">
        <v>61</v>
      </c>
      <c r="E832" t="s">
        <v>25</v>
      </c>
      <c r="F832" t="s">
        <v>62</v>
      </c>
      <c r="G832">
        <v>4</v>
      </c>
      <c r="H832">
        <v>0</v>
      </c>
      <c r="I832">
        <v>0</v>
      </c>
      <c r="J832">
        <v>0</v>
      </c>
      <c r="K832">
        <v>0</v>
      </c>
      <c r="L832">
        <v>0.25009599999999998</v>
      </c>
      <c r="M832" t="s">
        <v>27</v>
      </c>
      <c r="N832" t="s">
        <v>63</v>
      </c>
      <c r="O832" t="s">
        <v>64</v>
      </c>
      <c r="P832" t="s">
        <v>65</v>
      </c>
      <c r="Q832" t="s">
        <v>66</v>
      </c>
    </row>
    <row r="833" spans="1:17" x14ac:dyDescent="0.35">
      <c r="A833" t="s">
        <v>326</v>
      </c>
      <c r="B833">
        <v>22</v>
      </c>
      <c r="C833" t="s">
        <v>338</v>
      </c>
      <c r="D833" t="s">
        <v>61</v>
      </c>
      <c r="E833" t="s">
        <v>25</v>
      </c>
      <c r="F833" t="s">
        <v>62</v>
      </c>
      <c r="G833">
        <v>4</v>
      </c>
      <c r="H833">
        <v>0</v>
      </c>
      <c r="I833">
        <v>0</v>
      </c>
      <c r="J833">
        <v>0</v>
      </c>
      <c r="K833">
        <v>0</v>
      </c>
      <c r="L833">
        <v>0.26980100000000001</v>
      </c>
      <c r="M833" t="s">
        <v>27</v>
      </c>
      <c r="N833" t="s">
        <v>63</v>
      </c>
      <c r="O833" t="s">
        <v>64</v>
      </c>
      <c r="P833" t="s">
        <v>65</v>
      </c>
      <c r="Q833" t="s">
        <v>66</v>
      </c>
    </row>
    <row r="834" spans="1:17" x14ac:dyDescent="0.35">
      <c r="A834" t="s">
        <v>326</v>
      </c>
      <c r="B834">
        <v>23</v>
      </c>
      <c r="C834" t="s">
        <v>338</v>
      </c>
      <c r="D834" t="s">
        <v>61</v>
      </c>
      <c r="E834" t="s">
        <v>25</v>
      </c>
      <c r="F834" t="s">
        <v>62</v>
      </c>
      <c r="G834">
        <v>5</v>
      </c>
      <c r="H834">
        <v>0</v>
      </c>
      <c r="I834">
        <v>0</v>
      </c>
      <c r="J834">
        <v>0</v>
      </c>
      <c r="K834">
        <v>0</v>
      </c>
      <c r="L834">
        <v>0.22162499999999999</v>
      </c>
      <c r="M834" t="s">
        <v>27</v>
      </c>
      <c r="N834" t="s">
        <v>63</v>
      </c>
      <c r="O834" t="s">
        <v>64</v>
      </c>
      <c r="P834" t="s">
        <v>65</v>
      </c>
      <c r="Q834" t="s">
        <v>66</v>
      </c>
    </row>
    <row r="835" spans="1:17" x14ac:dyDescent="0.35">
      <c r="A835" t="s">
        <v>326</v>
      </c>
      <c r="B835">
        <v>24</v>
      </c>
      <c r="C835" t="s">
        <v>339</v>
      </c>
      <c r="D835" t="s">
        <v>61</v>
      </c>
      <c r="E835" t="s">
        <v>25</v>
      </c>
      <c r="F835" t="s">
        <v>62</v>
      </c>
      <c r="G835">
        <v>5</v>
      </c>
      <c r="H835">
        <v>0</v>
      </c>
      <c r="I835">
        <v>0</v>
      </c>
      <c r="J835">
        <v>0</v>
      </c>
      <c r="K835">
        <v>0</v>
      </c>
      <c r="L835">
        <v>0.23325799999999999</v>
      </c>
      <c r="M835" t="s">
        <v>27</v>
      </c>
      <c r="N835" t="s">
        <v>63</v>
      </c>
      <c r="O835" t="s">
        <v>64</v>
      </c>
      <c r="P835" t="s">
        <v>65</v>
      </c>
      <c r="Q835" t="s">
        <v>66</v>
      </c>
    </row>
    <row r="836" spans="1:17" x14ac:dyDescent="0.35">
      <c r="A836" t="s">
        <v>326</v>
      </c>
      <c r="B836">
        <v>25</v>
      </c>
      <c r="C836" t="s">
        <v>339</v>
      </c>
      <c r="D836" t="s">
        <v>61</v>
      </c>
      <c r="E836" t="s">
        <v>25</v>
      </c>
      <c r="F836" t="s">
        <v>62</v>
      </c>
      <c r="G836">
        <v>19</v>
      </c>
      <c r="H836">
        <v>0</v>
      </c>
      <c r="I836">
        <v>0</v>
      </c>
      <c r="J836">
        <v>0</v>
      </c>
      <c r="K836">
        <v>0</v>
      </c>
      <c r="L836">
        <v>0.21229400000000001</v>
      </c>
      <c r="M836" t="s">
        <v>27</v>
      </c>
      <c r="N836" t="s">
        <v>63</v>
      </c>
      <c r="O836" t="s">
        <v>64</v>
      </c>
      <c r="P836" t="s">
        <v>65</v>
      </c>
      <c r="Q836" t="s">
        <v>66</v>
      </c>
    </row>
    <row r="837" spans="1:17" x14ac:dyDescent="0.35">
      <c r="A837" t="s">
        <v>326</v>
      </c>
      <c r="B837">
        <v>26</v>
      </c>
      <c r="C837" t="s">
        <v>340</v>
      </c>
      <c r="D837" t="s">
        <v>82</v>
      </c>
      <c r="E837" t="s">
        <v>25</v>
      </c>
      <c r="F837" t="s">
        <v>62</v>
      </c>
      <c r="G837">
        <v>139</v>
      </c>
      <c r="H837">
        <v>0</v>
      </c>
      <c r="I837">
        <v>0</v>
      </c>
      <c r="J837">
        <v>0</v>
      </c>
      <c r="K837">
        <v>3.0000000000000001E-6</v>
      </c>
      <c r="L837">
        <v>0.69310300000000002</v>
      </c>
      <c r="M837" t="s">
        <v>27</v>
      </c>
      <c r="N837" t="s">
        <v>63</v>
      </c>
      <c r="O837" t="s">
        <v>83</v>
      </c>
      <c r="P837" t="s">
        <v>84</v>
      </c>
      <c r="Q837" t="s">
        <v>85</v>
      </c>
    </row>
    <row r="838" spans="1:17" x14ac:dyDescent="0.35">
      <c r="A838" t="s">
        <v>326</v>
      </c>
      <c r="B838">
        <v>27</v>
      </c>
      <c r="C838" t="s">
        <v>341</v>
      </c>
      <c r="D838" t="s">
        <v>82</v>
      </c>
      <c r="E838" t="s">
        <v>25</v>
      </c>
      <c r="F838" t="s">
        <v>26</v>
      </c>
      <c r="G838">
        <v>3891</v>
      </c>
      <c r="H838">
        <v>0</v>
      </c>
      <c r="I838">
        <v>465</v>
      </c>
      <c r="J838">
        <v>0</v>
      </c>
      <c r="K838">
        <v>1.4376999999999999E-2</v>
      </c>
      <c r="L838">
        <v>7.8093820000000003</v>
      </c>
      <c r="M838" t="s">
        <v>27</v>
      </c>
      <c r="N838" t="s">
        <v>28</v>
      </c>
      <c r="O838" t="s">
        <v>83</v>
      </c>
      <c r="P838" t="s">
        <v>84</v>
      </c>
      <c r="Q838" t="s">
        <v>85</v>
      </c>
    </row>
    <row r="839" spans="1:17" x14ac:dyDescent="0.35">
      <c r="A839" t="s">
        <v>326</v>
      </c>
      <c r="B839">
        <v>28</v>
      </c>
      <c r="C839" t="s">
        <v>342</v>
      </c>
      <c r="D839" t="s">
        <v>61</v>
      </c>
      <c r="E839" t="s">
        <v>25</v>
      </c>
      <c r="F839" t="s">
        <v>62</v>
      </c>
      <c r="G839">
        <v>5</v>
      </c>
      <c r="H839">
        <v>0</v>
      </c>
      <c r="I839">
        <v>0</v>
      </c>
      <c r="J839">
        <v>0</v>
      </c>
      <c r="K839">
        <v>0</v>
      </c>
      <c r="L839">
        <v>0.378772</v>
      </c>
      <c r="M839" t="s">
        <v>27</v>
      </c>
      <c r="N839" t="s">
        <v>63</v>
      </c>
      <c r="O839" t="s">
        <v>64</v>
      </c>
      <c r="P839" t="s">
        <v>65</v>
      </c>
      <c r="Q839" t="s">
        <v>66</v>
      </c>
    </row>
    <row r="840" spans="1:17" x14ac:dyDescent="0.35">
      <c r="A840" t="s">
        <v>326</v>
      </c>
      <c r="B840">
        <v>29</v>
      </c>
      <c r="C840" t="s">
        <v>342</v>
      </c>
      <c r="D840" t="s">
        <v>61</v>
      </c>
      <c r="E840" t="s">
        <v>25</v>
      </c>
      <c r="F840" t="s">
        <v>62</v>
      </c>
      <c r="G840">
        <v>2</v>
      </c>
      <c r="H840">
        <v>0</v>
      </c>
      <c r="I840">
        <v>0</v>
      </c>
      <c r="J840">
        <v>0</v>
      </c>
      <c r="K840">
        <v>0</v>
      </c>
      <c r="L840">
        <v>0.18449199999999999</v>
      </c>
      <c r="M840" t="s">
        <v>27</v>
      </c>
      <c r="N840" t="s">
        <v>63</v>
      </c>
      <c r="O840" t="s">
        <v>64</v>
      </c>
      <c r="P840" t="s">
        <v>65</v>
      </c>
      <c r="Q840" t="s">
        <v>66</v>
      </c>
    </row>
    <row r="841" spans="1:17" x14ac:dyDescent="0.35">
      <c r="A841" t="s">
        <v>326</v>
      </c>
      <c r="B841">
        <v>30</v>
      </c>
      <c r="C841" t="s">
        <v>342</v>
      </c>
      <c r="D841" t="s">
        <v>61</v>
      </c>
      <c r="E841" t="s">
        <v>25</v>
      </c>
      <c r="F841" t="s">
        <v>62</v>
      </c>
      <c r="G841">
        <v>4</v>
      </c>
      <c r="H841">
        <v>0</v>
      </c>
      <c r="I841">
        <v>0</v>
      </c>
      <c r="J841">
        <v>0</v>
      </c>
      <c r="K841">
        <v>0</v>
      </c>
      <c r="L841">
        <v>0.22456400000000001</v>
      </c>
      <c r="M841" t="s">
        <v>27</v>
      </c>
      <c r="N841" t="s">
        <v>63</v>
      </c>
      <c r="O841" t="s">
        <v>64</v>
      </c>
      <c r="P841" t="s">
        <v>65</v>
      </c>
      <c r="Q841" t="s">
        <v>66</v>
      </c>
    </row>
    <row r="842" spans="1:17" x14ac:dyDescent="0.35">
      <c r="A842" t="s">
        <v>326</v>
      </c>
      <c r="B842">
        <v>31</v>
      </c>
      <c r="C842" t="s">
        <v>343</v>
      </c>
      <c r="D842" t="s">
        <v>61</v>
      </c>
      <c r="E842" t="s">
        <v>25</v>
      </c>
      <c r="F842" t="s">
        <v>62</v>
      </c>
      <c r="G842">
        <v>6</v>
      </c>
      <c r="H842">
        <v>0</v>
      </c>
      <c r="I842">
        <v>0</v>
      </c>
      <c r="J842">
        <v>0</v>
      </c>
      <c r="K842">
        <v>0</v>
      </c>
      <c r="L842">
        <v>0.21725700000000001</v>
      </c>
      <c r="M842" t="s">
        <v>27</v>
      </c>
      <c r="N842" t="s">
        <v>63</v>
      </c>
      <c r="O842" t="s">
        <v>64</v>
      </c>
      <c r="P842" t="s">
        <v>65</v>
      </c>
      <c r="Q842" t="s">
        <v>66</v>
      </c>
    </row>
    <row r="843" spans="1:17" x14ac:dyDescent="0.35">
      <c r="A843" t="s">
        <v>326</v>
      </c>
      <c r="B843">
        <v>32</v>
      </c>
      <c r="C843" t="s">
        <v>343</v>
      </c>
      <c r="D843" t="s">
        <v>61</v>
      </c>
      <c r="E843" t="s">
        <v>25</v>
      </c>
      <c r="F843" t="s">
        <v>62</v>
      </c>
      <c r="G843">
        <v>17</v>
      </c>
      <c r="H843">
        <v>0</v>
      </c>
      <c r="I843">
        <v>0</v>
      </c>
      <c r="J843">
        <v>0</v>
      </c>
      <c r="K843">
        <v>0</v>
      </c>
      <c r="L843">
        <v>0.297983</v>
      </c>
      <c r="M843" t="s">
        <v>27</v>
      </c>
      <c r="N843" t="s">
        <v>63</v>
      </c>
      <c r="O843" t="s">
        <v>64</v>
      </c>
      <c r="P843" t="s">
        <v>65</v>
      </c>
      <c r="Q843" t="s">
        <v>66</v>
      </c>
    </row>
    <row r="844" spans="1:17" x14ac:dyDescent="0.35">
      <c r="A844" t="s">
        <v>326</v>
      </c>
      <c r="B844">
        <v>33</v>
      </c>
      <c r="C844" t="s">
        <v>344</v>
      </c>
      <c r="D844" t="s">
        <v>61</v>
      </c>
      <c r="E844" t="s">
        <v>25</v>
      </c>
      <c r="F844" t="s">
        <v>62</v>
      </c>
      <c r="G844">
        <v>3</v>
      </c>
      <c r="H844">
        <v>0</v>
      </c>
      <c r="I844">
        <v>0</v>
      </c>
      <c r="J844">
        <v>0</v>
      </c>
      <c r="K844">
        <v>0</v>
      </c>
      <c r="L844">
        <v>0.227352</v>
      </c>
      <c r="M844" t="s">
        <v>27</v>
      </c>
      <c r="N844" t="s">
        <v>63</v>
      </c>
      <c r="O844" t="s">
        <v>64</v>
      </c>
      <c r="P844" t="s">
        <v>65</v>
      </c>
      <c r="Q844" t="s">
        <v>66</v>
      </c>
    </row>
    <row r="845" spans="1:17" x14ac:dyDescent="0.35">
      <c r="A845" t="s">
        <v>326</v>
      </c>
      <c r="B845">
        <v>34</v>
      </c>
      <c r="C845" t="s">
        <v>344</v>
      </c>
      <c r="D845" t="s">
        <v>61</v>
      </c>
      <c r="E845" t="s">
        <v>25</v>
      </c>
      <c r="F845" t="s">
        <v>62</v>
      </c>
      <c r="G845">
        <v>3</v>
      </c>
      <c r="H845">
        <v>0</v>
      </c>
      <c r="I845">
        <v>0</v>
      </c>
      <c r="J845">
        <v>0</v>
      </c>
      <c r="K845">
        <v>0</v>
      </c>
      <c r="L845">
        <v>0.22650899999999999</v>
      </c>
      <c r="M845" t="s">
        <v>27</v>
      </c>
      <c r="N845" t="s">
        <v>63</v>
      </c>
      <c r="O845" t="s">
        <v>64</v>
      </c>
      <c r="P845" t="s">
        <v>65</v>
      </c>
      <c r="Q845" t="s">
        <v>66</v>
      </c>
    </row>
    <row r="846" spans="1:17" x14ac:dyDescent="0.35">
      <c r="A846" t="s">
        <v>326</v>
      </c>
      <c r="B846">
        <v>35</v>
      </c>
      <c r="C846" t="s">
        <v>344</v>
      </c>
      <c r="D846" t="s">
        <v>61</v>
      </c>
      <c r="E846" t="s">
        <v>25</v>
      </c>
      <c r="F846" t="s">
        <v>62</v>
      </c>
      <c r="G846">
        <v>5</v>
      </c>
      <c r="H846">
        <v>0</v>
      </c>
      <c r="I846">
        <v>0</v>
      </c>
      <c r="J846">
        <v>0</v>
      </c>
      <c r="K846">
        <v>0</v>
      </c>
      <c r="L846">
        <v>0.21822</v>
      </c>
      <c r="M846" t="s">
        <v>27</v>
      </c>
      <c r="N846" t="s">
        <v>63</v>
      </c>
      <c r="O846" t="s">
        <v>64</v>
      </c>
      <c r="P846" t="s">
        <v>65</v>
      </c>
      <c r="Q846" t="s">
        <v>66</v>
      </c>
    </row>
    <row r="847" spans="1:17" x14ac:dyDescent="0.35">
      <c r="A847" t="s">
        <v>326</v>
      </c>
      <c r="B847">
        <v>36</v>
      </c>
      <c r="C847" t="s">
        <v>345</v>
      </c>
      <c r="D847" t="s">
        <v>61</v>
      </c>
      <c r="E847" t="s">
        <v>25</v>
      </c>
      <c r="F847" t="s">
        <v>62</v>
      </c>
      <c r="G847">
        <v>4</v>
      </c>
      <c r="H847">
        <v>0</v>
      </c>
      <c r="I847">
        <v>0</v>
      </c>
      <c r="J847">
        <v>0</v>
      </c>
      <c r="K847">
        <v>0</v>
      </c>
      <c r="L847">
        <v>0.25161699999999998</v>
      </c>
      <c r="M847" t="s">
        <v>27</v>
      </c>
      <c r="N847" t="s">
        <v>63</v>
      </c>
      <c r="O847" t="s">
        <v>64</v>
      </c>
      <c r="P847" t="s">
        <v>65</v>
      </c>
      <c r="Q847" t="s">
        <v>66</v>
      </c>
    </row>
    <row r="848" spans="1:17" x14ac:dyDescent="0.35">
      <c r="A848" t="s">
        <v>326</v>
      </c>
      <c r="B848">
        <v>37</v>
      </c>
      <c r="C848" t="s">
        <v>345</v>
      </c>
      <c r="D848" t="s">
        <v>61</v>
      </c>
      <c r="E848" t="s">
        <v>25</v>
      </c>
      <c r="F848" t="s">
        <v>62</v>
      </c>
      <c r="G848">
        <v>4</v>
      </c>
      <c r="H848">
        <v>0</v>
      </c>
      <c r="I848">
        <v>0</v>
      </c>
      <c r="J848">
        <v>0</v>
      </c>
      <c r="K848">
        <v>0</v>
      </c>
      <c r="L848">
        <v>0.26541500000000001</v>
      </c>
      <c r="M848" t="s">
        <v>27</v>
      </c>
      <c r="N848" t="s">
        <v>63</v>
      </c>
      <c r="O848" t="s">
        <v>64</v>
      </c>
      <c r="P848" t="s">
        <v>65</v>
      </c>
      <c r="Q848" t="s">
        <v>66</v>
      </c>
    </row>
    <row r="849" spans="1:17" x14ac:dyDescent="0.35">
      <c r="A849" t="s">
        <v>326</v>
      </c>
      <c r="B849">
        <v>38</v>
      </c>
      <c r="C849" t="s">
        <v>346</v>
      </c>
      <c r="D849" t="s">
        <v>61</v>
      </c>
      <c r="E849" t="s">
        <v>25</v>
      </c>
      <c r="F849" t="s">
        <v>62</v>
      </c>
      <c r="G849">
        <v>16</v>
      </c>
      <c r="H849">
        <v>0</v>
      </c>
      <c r="I849">
        <v>0</v>
      </c>
      <c r="J849">
        <v>0</v>
      </c>
      <c r="K849">
        <v>0</v>
      </c>
      <c r="L849">
        <v>0.30044999999999999</v>
      </c>
      <c r="M849" t="s">
        <v>27</v>
      </c>
      <c r="N849" t="s">
        <v>63</v>
      </c>
      <c r="O849" t="s">
        <v>64</v>
      </c>
      <c r="P849" t="s">
        <v>65</v>
      </c>
      <c r="Q849" t="s">
        <v>66</v>
      </c>
    </row>
    <row r="850" spans="1:17" x14ac:dyDescent="0.35">
      <c r="A850" t="s">
        <v>326</v>
      </c>
      <c r="B850">
        <v>39</v>
      </c>
      <c r="C850" t="s">
        <v>347</v>
      </c>
      <c r="D850" t="s">
        <v>61</v>
      </c>
      <c r="E850" t="s">
        <v>25</v>
      </c>
      <c r="F850" t="s">
        <v>62</v>
      </c>
      <c r="G850">
        <v>2</v>
      </c>
      <c r="H850">
        <v>0</v>
      </c>
      <c r="I850">
        <v>0</v>
      </c>
      <c r="J850">
        <v>0</v>
      </c>
      <c r="K850">
        <v>0</v>
      </c>
      <c r="L850">
        <v>0.24374100000000001</v>
      </c>
      <c r="M850" t="s">
        <v>27</v>
      </c>
      <c r="N850" t="s">
        <v>63</v>
      </c>
      <c r="O850" t="s">
        <v>64</v>
      </c>
      <c r="P850" t="s">
        <v>65</v>
      </c>
      <c r="Q850" t="s">
        <v>66</v>
      </c>
    </row>
    <row r="851" spans="1:17" x14ac:dyDescent="0.35">
      <c r="A851" t="s">
        <v>326</v>
      </c>
      <c r="B851">
        <v>40</v>
      </c>
      <c r="C851" t="s">
        <v>347</v>
      </c>
      <c r="D851" t="s">
        <v>61</v>
      </c>
      <c r="E851" t="s">
        <v>25</v>
      </c>
      <c r="F851" t="s">
        <v>62</v>
      </c>
      <c r="G851">
        <v>4</v>
      </c>
      <c r="H851">
        <v>0</v>
      </c>
      <c r="I851">
        <v>0</v>
      </c>
      <c r="J851">
        <v>0</v>
      </c>
      <c r="K851">
        <v>0</v>
      </c>
      <c r="L851">
        <v>0.21293000000000001</v>
      </c>
      <c r="M851" t="s">
        <v>27</v>
      </c>
      <c r="N851" t="s">
        <v>63</v>
      </c>
      <c r="O851" t="s">
        <v>64</v>
      </c>
      <c r="P851" t="s">
        <v>65</v>
      </c>
      <c r="Q851" t="s">
        <v>66</v>
      </c>
    </row>
    <row r="852" spans="1:17" x14ac:dyDescent="0.35">
      <c r="A852" t="s">
        <v>326</v>
      </c>
      <c r="B852">
        <v>41</v>
      </c>
      <c r="C852" t="s">
        <v>348</v>
      </c>
      <c r="D852" t="s">
        <v>61</v>
      </c>
      <c r="E852" t="s">
        <v>25</v>
      </c>
      <c r="F852" t="s">
        <v>62</v>
      </c>
      <c r="G852">
        <v>4</v>
      </c>
      <c r="H852">
        <v>0</v>
      </c>
      <c r="I852">
        <v>0</v>
      </c>
      <c r="J852">
        <v>0</v>
      </c>
      <c r="K852">
        <v>0</v>
      </c>
      <c r="L852">
        <v>0.22964799999999999</v>
      </c>
      <c r="M852" t="s">
        <v>27</v>
      </c>
      <c r="N852" t="s">
        <v>63</v>
      </c>
      <c r="O852" t="s">
        <v>64</v>
      </c>
      <c r="P852" t="s">
        <v>65</v>
      </c>
      <c r="Q852" t="s">
        <v>66</v>
      </c>
    </row>
    <row r="853" spans="1:17" x14ac:dyDescent="0.35">
      <c r="A853" t="s">
        <v>326</v>
      </c>
      <c r="B853">
        <v>42</v>
      </c>
      <c r="C853" t="s">
        <v>348</v>
      </c>
      <c r="D853" t="s">
        <v>61</v>
      </c>
      <c r="E853" t="s">
        <v>25</v>
      </c>
      <c r="F853" t="s">
        <v>62</v>
      </c>
      <c r="G853">
        <v>6</v>
      </c>
      <c r="H853">
        <v>0</v>
      </c>
      <c r="I853">
        <v>0</v>
      </c>
      <c r="J853">
        <v>0</v>
      </c>
      <c r="K853">
        <v>0</v>
      </c>
      <c r="L853">
        <v>0.21907399999999999</v>
      </c>
      <c r="M853" t="s">
        <v>27</v>
      </c>
      <c r="N853" t="s">
        <v>63</v>
      </c>
      <c r="O853" t="s">
        <v>64</v>
      </c>
      <c r="P853" t="s">
        <v>65</v>
      </c>
      <c r="Q853" t="s">
        <v>66</v>
      </c>
    </row>
    <row r="854" spans="1:17" x14ac:dyDescent="0.35">
      <c r="A854" t="s">
        <v>326</v>
      </c>
      <c r="B854">
        <v>43</v>
      </c>
      <c r="C854" t="s">
        <v>348</v>
      </c>
      <c r="D854" t="s">
        <v>61</v>
      </c>
      <c r="E854" t="s">
        <v>25</v>
      </c>
      <c r="F854" t="s">
        <v>62</v>
      </c>
      <c r="G854">
        <v>5</v>
      </c>
      <c r="H854">
        <v>0</v>
      </c>
      <c r="I854">
        <v>0</v>
      </c>
      <c r="J854">
        <v>0</v>
      </c>
      <c r="K854">
        <v>0</v>
      </c>
      <c r="L854">
        <v>0.193159</v>
      </c>
      <c r="M854" t="s">
        <v>27</v>
      </c>
      <c r="N854" t="s">
        <v>63</v>
      </c>
      <c r="O854" t="s">
        <v>64</v>
      </c>
      <c r="P854" t="s">
        <v>65</v>
      </c>
      <c r="Q854" t="s">
        <v>66</v>
      </c>
    </row>
    <row r="855" spans="1:17" x14ac:dyDescent="0.35">
      <c r="A855" t="s">
        <v>326</v>
      </c>
      <c r="B855">
        <v>44</v>
      </c>
      <c r="C855" t="s">
        <v>349</v>
      </c>
      <c r="D855" t="s">
        <v>61</v>
      </c>
      <c r="E855" t="s">
        <v>25</v>
      </c>
      <c r="F855" t="s">
        <v>62</v>
      </c>
      <c r="G855">
        <v>19</v>
      </c>
      <c r="H855">
        <v>0</v>
      </c>
      <c r="I855">
        <v>0</v>
      </c>
      <c r="J855">
        <v>0</v>
      </c>
      <c r="K855">
        <v>0</v>
      </c>
      <c r="L855">
        <v>0.21703700000000001</v>
      </c>
      <c r="M855" t="s">
        <v>27</v>
      </c>
      <c r="N855" t="s">
        <v>63</v>
      </c>
      <c r="O855" t="s">
        <v>64</v>
      </c>
      <c r="P855" t="s">
        <v>65</v>
      </c>
      <c r="Q855" t="s">
        <v>66</v>
      </c>
    </row>
    <row r="856" spans="1:17" x14ac:dyDescent="0.35">
      <c r="A856" t="s">
        <v>326</v>
      </c>
      <c r="B856">
        <v>45</v>
      </c>
      <c r="C856" t="s">
        <v>350</v>
      </c>
      <c r="D856" t="s">
        <v>61</v>
      </c>
      <c r="E856" t="s">
        <v>25</v>
      </c>
      <c r="F856" t="s">
        <v>62</v>
      </c>
      <c r="G856">
        <v>2</v>
      </c>
      <c r="H856">
        <v>0</v>
      </c>
      <c r="I856">
        <v>0</v>
      </c>
      <c r="J856">
        <v>0</v>
      </c>
      <c r="K856">
        <v>0</v>
      </c>
      <c r="L856">
        <v>0.22158800000000001</v>
      </c>
      <c r="M856" t="s">
        <v>27</v>
      </c>
      <c r="N856" t="s">
        <v>63</v>
      </c>
      <c r="O856" t="s">
        <v>64</v>
      </c>
      <c r="P856" t="s">
        <v>65</v>
      </c>
      <c r="Q856" t="s">
        <v>66</v>
      </c>
    </row>
    <row r="857" spans="1:17" x14ac:dyDescent="0.35">
      <c r="A857" t="s">
        <v>326</v>
      </c>
      <c r="B857">
        <v>46</v>
      </c>
      <c r="C857" t="s">
        <v>351</v>
      </c>
      <c r="D857" t="s">
        <v>61</v>
      </c>
      <c r="E857" t="s">
        <v>25</v>
      </c>
      <c r="F857" t="s">
        <v>62</v>
      </c>
      <c r="G857">
        <v>3</v>
      </c>
      <c r="H857">
        <v>0</v>
      </c>
      <c r="I857">
        <v>0</v>
      </c>
      <c r="J857">
        <v>0</v>
      </c>
      <c r="K857">
        <v>0</v>
      </c>
      <c r="L857">
        <v>0.33846300000000001</v>
      </c>
      <c r="M857" t="s">
        <v>27</v>
      </c>
      <c r="N857" t="s">
        <v>63</v>
      </c>
      <c r="O857" t="s">
        <v>64</v>
      </c>
      <c r="P857" t="s">
        <v>65</v>
      </c>
      <c r="Q857" t="s">
        <v>66</v>
      </c>
    </row>
    <row r="858" spans="1:17" x14ac:dyDescent="0.35">
      <c r="A858" t="s">
        <v>326</v>
      </c>
      <c r="B858">
        <v>47</v>
      </c>
      <c r="C858" t="s">
        <v>351</v>
      </c>
      <c r="D858" t="s">
        <v>61</v>
      </c>
      <c r="E858" t="s">
        <v>25</v>
      </c>
      <c r="F858" t="s">
        <v>62</v>
      </c>
      <c r="G858">
        <v>4</v>
      </c>
      <c r="H858">
        <v>0</v>
      </c>
      <c r="I858">
        <v>0</v>
      </c>
      <c r="J858">
        <v>0</v>
      </c>
      <c r="K858">
        <v>0</v>
      </c>
      <c r="L858">
        <v>0.29234500000000002</v>
      </c>
      <c r="M858" t="s">
        <v>27</v>
      </c>
      <c r="N858" t="s">
        <v>63</v>
      </c>
      <c r="O858" t="s">
        <v>64</v>
      </c>
      <c r="P858" t="s">
        <v>65</v>
      </c>
      <c r="Q858" t="s">
        <v>66</v>
      </c>
    </row>
    <row r="859" spans="1:17" x14ac:dyDescent="0.35">
      <c r="A859" t="s">
        <v>326</v>
      </c>
      <c r="B859">
        <v>48</v>
      </c>
      <c r="C859" t="s">
        <v>351</v>
      </c>
      <c r="D859" t="s">
        <v>61</v>
      </c>
      <c r="E859" t="s">
        <v>25</v>
      </c>
      <c r="F859" t="s">
        <v>62</v>
      </c>
      <c r="G859">
        <v>5</v>
      </c>
      <c r="H859">
        <v>0</v>
      </c>
      <c r="I859">
        <v>0</v>
      </c>
      <c r="J859">
        <v>0</v>
      </c>
      <c r="K859">
        <v>0</v>
      </c>
      <c r="L859">
        <v>0.24251600000000001</v>
      </c>
      <c r="M859" t="s">
        <v>27</v>
      </c>
      <c r="N859" t="s">
        <v>63</v>
      </c>
      <c r="O859" t="s">
        <v>64</v>
      </c>
      <c r="P859" t="s">
        <v>65</v>
      </c>
      <c r="Q859" t="s">
        <v>66</v>
      </c>
    </row>
    <row r="860" spans="1:17" x14ac:dyDescent="0.35">
      <c r="A860" t="s">
        <v>326</v>
      </c>
      <c r="B860">
        <v>49</v>
      </c>
      <c r="C860" t="s">
        <v>352</v>
      </c>
      <c r="D860" t="s">
        <v>61</v>
      </c>
      <c r="E860" t="s">
        <v>25</v>
      </c>
      <c r="F860" t="s">
        <v>62</v>
      </c>
      <c r="G860">
        <v>5</v>
      </c>
      <c r="H860">
        <v>0</v>
      </c>
      <c r="I860">
        <v>0</v>
      </c>
      <c r="J860">
        <v>0</v>
      </c>
      <c r="K860">
        <v>0</v>
      </c>
      <c r="L860">
        <v>0.27177000000000001</v>
      </c>
      <c r="M860" t="s">
        <v>27</v>
      </c>
      <c r="N860" t="s">
        <v>63</v>
      </c>
      <c r="O860" t="s">
        <v>64</v>
      </c>
      <c r="P860" t="s">
        <v>65</v>
      </c>
      <c r="Q860" t="s">
        <v>66</v>
      </c>
    </row>
    <row r="861" spans="1:17" x14ac:dyDescent="0.35">
      <c r="A861" t="s">
        <v>326</v>
      </c>
      <c r="B861">
        <v>50</v>
      </c>
      <c r="C861" t="s">
        <v>352</v>
      </c>
      <c r="D861" t="s">
        <v>61</v>
      </c>
      <c r="E861" t="s">
        <v>25</v>
      </c>
      <c r="F861" t="s">
        <v>62</v>
      </c>
      <c r="G861">
        <v>16</v>
      </c>
      <c r="H861">
        <v>0</v>
      </c>
      <c r="I861">
        <v>0</v>
      </c>
      <c r="J861">
        <v>0</v>
      </c>
      <c r="K861">
        <v>0</v>
      </c>
      <c r="L861">
        <v>0.19486000000000001</v>
      </c>
      <c r="M861" t="s">
        <v>27</v>
      </c>
      <c r="N861" t="s">
        <v>63</v>
      </c>
      <c r="O861" t="s">
        <v>64</v>
      </c>
      <c r="P861" t="s">
        <v>65</v>
      </c>
      <c r="Q861" t="s">
        <v>66</v>
      </c>
    </row>
    <row r="862" spans="1:17" x14ac:dyDescent="0.35">
      <c r="A862" t="s">
        <v>326</v>
      </c>
      <c r="B862">
        <v>51</v>
      </c>
      <c r="C862" t="s">
        <v>353</v>
      </c>
      <c r="D862" t="s">
        <v>61</v>
      </c>
      <c r="E862" t="s">
        <v>25</v>
      </c>
      <c r="F862" t="s">
        <v>62</v>
      </c>
      <c r="G862">
        <v>3</v>
      </c>
      <c r="H862">
        <v>0</v>
      </c>
      <c r="I862">
        <v>0</v>
      </c>
      <c r="J862">
        <v>0</v>
      </c>
      <c r="K862">
        <v>0</v>
      </c>
      <c r="L862">
        <v>0.21132699999999999</v>
      </c>
      <c r="M862" t="s">
        <v>27</v>
      </c>
      <c r="N862" t="s">
        <v>63</v>
      </c>
      <c r="O862" t="s">
        <v>64</v>
      </c>
      <c r="P862" t="s">
        <v>65</v>
      </c>
      <c r="Q862" t="s">
        <v>66</v>
      </c>
    </row>
    <row r="863" spans="1:17" x14ac:dyDescent="0.35">
      <c r="A863" t="s">
        <v>326</v>
      </c>
      <c r="B863">
        <v>52</v>
      </c>
      <c r="C863" t="s">
        <v>353</v>
      </c>
      <c r="D863" t="s">
        <v>61</v>
      </c>
      <c r="E863" t="s">
        <v>25</v>
      </c>
      <c r="F863" t="s">
        <v>62</v>
      </c>
      <c r="G863">
        <v>2</v>
      </c>
      <c r="H863">
        <v>0</v>
      </c>
      <c r="I863">
        <v>0</v>
      </c>
      <c r="J863">
        <v>0</v>
      </c>
      <c r="K863">
        <v>0</v>
      </c>
      <c r="L863">
        <v>0.252552</v>
      </c>
      <c r="M863" t="s">
        <v>27</v>
      </c>
      <c r="N863" t="s">
        <v>63</v>
      </c>
      <c r="O863" t="s">
        <v>64</v>
      </c>
      <c r="P863" t="s">
        <v>65</v>
      </c>
      <c r="Q863" t="s">
        <v>66</v>
      </c>
    </row>
    <row r="864" spans="1:17" x14ac:dyDescent="0.35">
      <c r="A864" t="s">
        <v>326</v>
      </c>
      <c r="B864">
        <v>53</v>
      </c>
      <c r="C864" t="s">
        <v>354</v>
      </c>
      <c r="D864" t="s">
        <v>61</v>
      </c>
      <c r="E864" t="s">
        <v>25</v>
      </c>
      <c r="F864" t="s">
        <v>62</v>
      </c>
      <c r="G864">
        <v>4</v>
      </c>
      <c r="H864">
        <v>0</v>
      </c>
      <c r="I864">
        <v>0</v>
      </c>
      <c r="J864">
        <v>0</v>
      </c>
      <c r="K864">
        <v>0</v>
      </c>
      <c r="L864">
        <v>0.24793499999999999</v>
      </c>
      <c r="M864" t="s">
        <v>27</v>
      </c>
      <c r="N864" t="s">
        <v>63</v>
      </c>
      <c r="O864" t="s">
        <v>64</v>
      </c>
      <c r="P864" t="s">
        <v>65</v>
      </c>
      <c r="Q864" t="s">
        <v>66</v>
      </c>
    </row>
    <row r="865" spans="1:17" x14ac:dyDescent="0.35">
      <c r="A865" t="s">
        <v>326</v>
      </c>
      <c r="B865">
        <v>54</v>
      </c>
      <c r="C865" t="s">
        <v>354</v>
      </c>
      <c r="D865" t="s">
        <v>61</v>
      </c>
      <c r="E865" t="s">
        <v>25</v>
      </c>
      <c r="F865" t="s">
        <v>62</v>
      </c>
      <c r="G865">
        <v>5</v>
      </c>
      <c r="H865">
        <v>0</v>
      </c>
      <c r="I865">
        <v>0</v>
      </c>
      <c r="J865">
        <v>0</v>
      </c>
      <c r="K865">
        <v>0</v>
      </c>
      <c r="L865">
        <v>0.30678499999999997</v>
      </c>
      <c r="M865" t="s">
        <v>27</v>
      </c>
      <c r="N865" t="s">
        <v>63</v>
      </c>
      <c r="O865" t="s">
        <v>64</v>
      </c>
      <c r="P865" t="s">
        <v>65</v>
      </c>
      <c r="Q865" t="s">
        <v>66</v>
      </c>
    </row>
    <row r="866" spans="1:17" x14ac:dyDescent="0.35">
      <c r="A866" t="s">
        <v>326</v>
      </c>
      <c r="B866">
        <v>55</v>
      </c>
      <c r="C866" t="s">
        <v>355</v>
      </c>
      <c r="D866" t="s">
        <v>61</v>
      </c>
      <c r="E866" t="s">
        <v>25</v>
      </c>
      <c r="F866" t="s">
        <v>62</v>
      </c>
      <c r="G866">
        <v>19</v>
      </c>
      <c r="H866">
        <v>0</v>
      </c>
      <c r="I866">
        <v>0</v>
      </c>
      <c r="J866">
        <v>0</v>
      </c>
      <c r="K866">
        <v>0</v>
      </c>
      <c r="L866">
        <v>0.21418499999999999</v>
      </c>
      <c r="M866" t="s">
        <v>27</v>
      </c>
      <c r="N866" t="s">
        <v>63</v>
      </c>
      <c r="O866" t="s">
        <v>64</v>
      </c>
      <c r="P866" t="s">
        <v>65</v>
      </c>
      <c r="Q866" t="s">
        <v>66</v>
      </c>
    </row>
    <row r="867" spans="1:17" x14ac:dyDescent="0.35">
      <c r="A867" t="s">
        <v>326</v>
      </c>
      <c r="B867">
        <v>56</v>
      </c>
      <c r="C867" t="s">
        <v>355</v>
      </c>
      <c r="D867" t="s">
        <v>82</v>
      </c>
      <c r="E867" t="s">
        <v>25</v>
      </c>
      <c r="F867" t="s">
        <v>62</v>
      </c>
      <c r="G867">
        <v>225</v>
      </c>
      <c r="H867">
        <v>0</v>
      </c>
      <c r="I867">
        <v>0</v>
      </c>
      <c r="J867">
        <v>0</v>
      </c>
      <c r="K867">
        <v>5.0000000000000004E-6</v>
      </c>
      <c r="L867">
        <v>0.63026599999999999</v>
      </c>
      <c r="M867" t="s">
        <v>27</v>
      </c>
      <c r="N867" t="s">
        <v>63</v>
      </c>
      <c r="O867" t="s">
        <v>113</v>
      </c>
      <c r="P867" t="s">
        <v>114</v>
      </c>
      <c r="Q867" t="s">
        <v>115</v>
      </c>
    </row>
    <row r="868" spans="1:17" x14ac:dyDescent="0.35">
      <c r="A868" t="s">
        <v>326</v>
      </c>
      <c r="B868">
        <v>57</v>
      </c>
      <c r="C868" t="s">
        <v>356</v>
      </c>
      <c r="D868" t="s">
        <v>82</v>
      </c>
      <c r="E868" t="s">
        <v>25</v>
      </c>
      <c r="F868" t="s">
        <v>62</v>
      </c>
      <c r="G868">
        <v>230</v>
      </c>
      <c r="H868">
        <v>0</v>
      </c>
      <c r="I868">
        <v>0</v>
      </c>
      <c r="J868">
        <v>0</v>
      </c>
      <c r="K868">
        <v>5.0000000000000004E-6</v>
      </c>
      <c r="L868">
        <v>0.85106999999999999</v>
      </c>
      <c r="M868" t="s">
        <v>27</v>
      </c>
      <c r="N868" t="s">
        <v>63</v>
      </c>
      <c r="O868" t="s">
        <v>113</v>
      </c>
      <c r="P868" t="s">
        <v>114</v>
      </c>
      <c r="Q868" t="s">
        <v>115</v>
      </c>
    </row>
    <row r="869" spans="1:17" x14ac:dyDescent="0.35">
      <c r="A869" t="s">
        <v>326</v>
      </c>
      <c r="B869">
        <v>58</v>
      </c>
      <c r="C869" t="s">
        <v>357</v>
      </c>
      <c r="D869" t="s">
        <v>82</v>
      </c>
      <c r="E869" t="s">
        <v>25</v>
      </c>
      <c r="F869" t="s">
        <v>62</v>
      </c>
      <c r="G869">
        <v>224</v>
      </c>
      <c r="H869">
        <v>0</v>
      </c>
      <c r="I869">
        <v>0</v>
      </c>
      <c r="J869">
        <v>0</v>
      </c>
      <c r="K869">
        <v>3.9999999999999998E-6</v>
      </c>
      <c r="L869">
        <v>0.37429200000000001</v>
      </c>
      <c r="M869" t="s">
        <v>27</v>
      </c>
      <c r="N869" t="s">
        <v>63</v>
      </c>
      <c r="O869" t="s">
        <v>113</v>
      </c>
      <c r="P869" t="s">
        <v>114</v>
      </c>
      <c r="Q869" t="s">
        <v>115</v>
      </c>
    </row>
    <row r="870" spans="1:17" x14ac:dyDescent="0.35">
      <c r="A870" t="s">
        <v>326</v>
      </c>
      <c r="B870">
        <v>59</v>
      </c>
      <c r="C870" t="s">
        <v>358</v>
      </c>
      <c r="D870" t="s">
        <v>82</v>
      </c>
      <c r="E870" t="s">
        <v>25</v>
      </c>
      <c r="F870" t="s">
        <v>26</v>
      </c>
      <c r="G870">
        <v>6771</v>
      </c>
      <c r="H870">
        <v>0</v>
      </c>
      <c r="I870">
        <v>652</v>
      </c>
      <c r="J870">
        <v>0</v>
      </c>
      <c r="K870">
        <v>2.3446999999999999E-2</v>
      </c>
      <c r="L870">
        <v>12.449479999999999</v>
      </c>
      <c r="M870" t="s">
        <v>27</v>
      </c>
      <c r="N870" t="s">
        <v>28</v>
      </c>
      <c r="O870" t="s">
        <v>113</v>
      </c>
      <c r="P870" t="s">
        <v>114</v>
      </c>
      <c r="Q870" t="s">
        <v>115</v>
      </c>
    </row>
    <row r="871" spans="1:17" x14ac:dyDescent="0.35">
      <c r="A871" t="s">
        <v>326</v>
      </c>
      <c r="B871">
        <v>60</v>
      </c>
      <c r="C871" t="s">
        <v>359</v>
      </c>
      <c r="D871" t="s">
        <v>82</v>
      </c>
      <c r="E871" t="s">
        <v>25</v>
      </c>
      <c r="F871" t="s">
        <v>26</v>
      </c>
      <c r="G871">
        <v>6973</v>
      </c>
      <c r="H871">
        <v>0</v>
      </c>
      <c r="I871">
        <v>659</v>
      </c>
      <c r="J871">
        <v>0</v>
      </c>
      <c r="K871">
        <v>2.4022000000000002E-2</v>
      </c>
      <c r="L871">
        <v>15.607663000000001</v>
      </c>
      <c r="M871" t="s">
        <v>27</v>
      </c>
      <c r="N871" t="s">
        <v>28</v>
      </c>
      <c r="O871" t="s">
        <v>113</v>
      </c>
      <c r="P871" t="s">
        <v>114</v>
      </c>
      <c r="Q871" t="s">
        <v>115</v>
      </c>
    </row>
    <row r="872" spans="1:17" x14ac:dyDescent="0.35">
      <c r="A872" t="s">
        <v>326</v>
      </c>
      <c r="B872">
        <v>61</v>
      </c>
      <c r="C872" t="s">
        <v>360</v>
      </c>
      <c r="D872" t="s">
        <v>82</v>
      </c>
      <c r="E872" t="s">
        <v>25</v>
      </c>
      <c r="F872" t="s">
        <v>26</v>
      </c>
      <c r="G872">
        <v>7349</v>
      </c>
      <c r="H872">
        <v>0</v>
      </c>
      <c r="I872">
        <v>508</v>
      </c>
      <c r="J872">
        <v>0</v>
      </c>
      <c r="K872">
        <v>2.3453000000000002E-2</v>
      </c>
      <c r="L872">
        <v>15.995285000000001</v>
      </c>
      <c r="M872" t="s">
        <v>27</v>
      </c>
      <c r="N872" t="s">
        <v>28</v>
      </c>
      <c r="O872" t="s">
        <v>113</v>
      </c>
      <c r="P872" t="s">
        <v>114</v>
      </c>
      <c r="Q872" t="s">
        <v>115</v>
      </c>
    </row>
    <row r="873" spans="1:17" x14ac:dyDescent="0.35">
      <c r="A873" t="s">
        <v>326</v>
      </c>
      <c r="B873">
        <v>62</v>
      </c>
      <c r="C873" t="s">
        <v>361</v>
      </c>
      <c r="D873" t="s">
        <v>121</v>
      </c>
      <c r="E873" t="s">
        <v>25</v>
      </c>
      <c r="F873" t="s">
        <v>26</v>
      </c>
      <c r="G873">
        <v>8410</v>
      </c>
      <c r="H873">
        <v>0</v>
      </c>
      <c r="I873">
        <v>599</v>
      </c>
      <c r="J873">
        <v>0</v>
      </c>
      <c r="K873">
        <v>2.7015000000000001E-2</v>
      </c>
      <c r="L873">
        <v>10.567345</v>
      </c>
      <c r="M873" t="s">
        <v>27</v>
      </c>
      <c r="N873" t="s">
        <v>28</v>
      </c>
      <c r="O873" t="s">
        <v>122</v>
      </c>
      <c r="P873" t="s">
        <v>123</v>
      </c>
      <c r="Q873" t="s">
        <v>124</v>
      </c>
    </row>
    <row r="874" spans="1:17" x14ac:dyDescent="0.35">
      <c r="A874" t="s">
        <v>326</v>
      </c>
      <c r="B874">
        <v>63</v>
      </c>
      <c r="C874" t="s">
        <v>362</v>
      </c>
      <c r="D874" t="s">
        <v>121</v>
      </c>
      <c r="E874" t="s">
        <v>25</v>
      </c>
      <c r="F874" t="s">
        <v>26</v>
      </c>
      <c r="G874">
        <v>8388</v>
      </c>
      <c r="H874">
        <v>0</v>
      </c>
      <c r="I874">
        <v>713</v>
      </c>
      <c r="J874">
        <v>0</v>
      </c>
      <c r="K874">
        <v>2.81E-2</v>
      </c>
      <c r="L874">
        <v>11.220737</v>
      </c>
      <c r="M874" t="s">
        <v>27</v>
      </c>
      <c r="N874" t="s">
        <v>28</v>
      </c>
      <c r="O874" t="s">
        <v>122</v>
      </c>
      <c r="P874" t="s">
        <v>123</v>
      </c>
      <c r="Q874" t="s">
        <v>124</v>
      </c>
    </row>
    <row r="875" spans="1:17" x14ac:dyDescent="0.35">
      <c r="A875" t="s">
        <v>326</v>
      </c>
      <c r="B875">
        <v>64</v>
      </c>
      <c r="C875" t="s">
        <v>362</v>
      </c>
      <c r="D875" t="s">
        <v>121</v>
      </c>
      <c r="E875" t="s">
        <v>25</v>
      </c>
      <c r="F875" t="s">
        <v>26</v>
      </c>
      <c r="G875">
        <v>8042</v>
      </c>
      <c r="H875">
        <v>0</v>
      </c>
      <c r="I875">
        <v>853</v>
      </c>
      <c r="J875">
        <v>0</v>
      </c>
      <c r="K875">
        <v>2.8635000000000001E-2</v>
      </c>
      <c r="L875">
        <v>11.708729999999999</v>
      </c>
      <c r="M875" t="s">
        <v>27</v>
      </c>
      <c r="N875" t="s">
        <v>28</v>
      </c>
      <c r="O875" t="s">
        <v>122</v>
      </c>
      <c r="P875" t="s">
        <v>123</v>
      </c>
      <c r="Q875" t="s">
        <v>124</v>
      </c>
    </row>
    <row r="876" spans="1:17" x14ac:dyDescent="0.35">
      <c r="A876" t="s">
        <v>326</v>
      </c>
      <c r="B876">
        <v>65</v>
      </c>
      <c r="C876" t="s">
        <v>363</v>
      </c>
      <c r="D876" t="s">
        <v>121</v>
      </c>
      <c r="E876" t="s">
        <v>25</v>
      </c>
      <c r="F876" t="s">
        <v>26</v>
      </c>
      <c r="G876">
        <v>11209</v>
      </c>
      <c r="H876">
        <v>0</v>
      </c>
      <c r="I876">
        <v>1191</v>
      </c>
      <c r="J876">
        <v>0</v>
      </c>
      <c r="K876">
        <v>3.9933000000000003E-2</v>
      </c>
      <c r="L876">
        <v>19.601838000000001</v>
      </c>
      <c r="M876" t="s">
        <v>27</v>
      </c>
      <c r="N876" t="s">
        <v>28</v>
      </c>
      <c r="O876" t="s">
        <v>122</v>
      </c>
      <c r="P876" t="s">
        <v>123</v>
      </c>
      <c r="Q876" t="s">
        <v>124</v>
      </c>
    </row>
    <row r="877" spans="1:17" x14ac:dyDescent="0.35">
      <c r="A877" t="s">
        <v>326</v>
      </c>
      <c r="B877">
        <v>66</v>
      </c>
      <c r="C877" t="s">
        <v>364</v>
      </c>
      <c r="D877" t="s">
        <v>121</v>
      </c>
      <c r="E877" t="s">
        <v>25</v>
      </c>
      <c r="F877" t="s">
        <v>26</v>
      </c>
      <c r="G877">
        <v>11830</v>
      </c>
      <c r="H877">
        <v>0</v>
      </c>
      <c r="I877">
        <v>1327</v>
      </c>
      <c r="J877">
        <v>0</v>
      </c>
      <c r="K877">
        <v>4.2845000000000001E-2</v>
      </c>
      <c r="L877">
        <v>20.526952000000001</v>
      </c>
      <c r="M877" t="s">
        <v>27</v>
      </c>
      <c r="N877" t="s">
        <v>28</v>
      </c>
      <c r="O877" t="s">
        <v>122</v>
      </c>
      <c r="P877" t="s">
        <v>123</v>
      </c>
      <c r="Q877" t="s">
        <v>124</v>
      </c>
    </row>
    <row r="878" spans="1:17" x14ac:dyDescent="0.35">
      <c r="A878" t="s">
        <v>326</v>
      </c>
      <c r="B878">
        <v>67</v>
      </c>
      <c r="C878" t="s">
        <v>365</v>
      </c>
      <c r="D878" t="s">
        <v>121</v>
      </c>
      <c r="E878" t="s">
        <v>25</v>
      </c>
      <c r="F878" t="s">
        <v>26</v>
      </c>
      <c r="G878">
        <v>11239</v>
      </c>
      <c r="H878">
        <v>0</v>
      </c>
      <c r="I878">
        <v>1202</v>
      </c>
      <c r="J878">
        <v>0</v>
      </c>
      <c r="K878">
        <v>4.0118000000000001E-2</v>
      </c>
      <c r="L878">
        <v>22.860821999999999</v>
      </c>
      <c r="M878" t="s">
        <v>27</v>
      </c>
      <c r="N878" t="s">
        <v>28</v>
      </c>
      <c r="O878" t="s">
        <v>122</v>
      </c>
      <c r="P878" t="s">
        <v>123</v>
      </c>
      <c r="Q878" t="s">
        <v>124</v>
      </c>
    </row>
    <row r="879" spans="1:17" x14ac:dyDescent="0.35">
      <c r="A879" t="s">
        <v>326</v>
      </c>
      <c r="B879">
        <v>68</v>
      </c>
      <c r="C879" t="s">
        <v>366</v>
      </c>
      <c r="D879" t="s">
        <v>121</v>
      </c>
      <c r="E879" t="s">
        <v>25</v>
      </c>
      <c r="F879" t="s">
        <v>26</v>
      </c>
      <c r="G879">
        <v>11298</v>
      </c>
      <c r="H879">
        <v>0</v>
      </c>
      <c r="I879">
        <v>1362</v>
      </c>
      <c r="J879">
        <v>0</v>
      </c>
      <c r="K879">
        <v>4.1864999999999999E-2</v>
      </c>
      <c r="L879">
        <v>25.071943000000001</v>
      </c>
      <c r="M879" t="s">
        <v>27</v>
      </c>
      <c r="N879" t="s">
        <v>28</v>
      </c>
      <c r="O879" t="s">
        <v>122</v>
      </c>
      <c r="P879" t="s">
        <v>123</v>
      </c>
      <c r="Q879" t="s">
        <v>124</v>
      </c>
    </row>
    <row r="880" spans="1:17" x14ac:dyDescent="0.35">
      <c r="A880" t="s">
        <v>326</v>
      </c>
      <c r="B880">
        <v>69</v>
      </c>
      <c r="C880" t="s">
        <v>367</v>
      </c>
      <c r="D880" t="s">
        <v>121</v>
      </c>
      <c r="E880" t="s">
        <v>25</v>
      </c>
      <c r="F880" t="s">
        <v>26</v>
      </c>
      <c r="G880">
        <v>10149</v>
      </c>
      <c r="H880">
        <v>0</v>
      </c>
      <c r="I880">
        <v>1389</v>
      </c>
      <c r="J880">
        <v>0</v>
      </c>
      <c r="K880">
        <v>3.9261999999999998E-2</v>
      </c>
      <c r="L880">
        <v>23.352948999999999</v>
      </c>
      <c r="M880" t="s">
        <v>27</v>
      </c>
      <c r="N880" t="s">
        <v>28</v>
      </c>
      <c r="O880" t="s">
        <v>122</v>
      </c>
      <c r="P880" t="s">
        <v>123</v>
      </c>
      <c r="Q880" t="s">
        <v>124</v>
      </c>
    </row>
    <row r="881" spans="1:17" x14ac:dyDescent="0.35">
      <c r="A881" t="s">
        <v>326</v>
      </c>
      <c r="B881">
        <v>70</v>
      </c>
      <c r="C881" t="s">
        <v>368</v>
      </c>
      <c r="D881" t="s">
        <v>121</v>
      </c>
      <c r="E881" t="s">
        <v>25</v>
      </c>
      <c r="F881" t="s">
        <v>26</v>
      </c>
      <c r="G881">
        <v>13462</v>
      </c>
      <c r="H881">
        <v>0</v>
      </c>
      <c r="I881">
        <v>1720</v>
      </c>
      <c r="J881">
        <v>0</v>
      </c>
      <c r="K881">
        <v>5.0854999999999997E-2</v>
      </c>
      <c r="L881">
        <v>25.6099</v>
      </c>
      <c r="M881" t="s">
        <v>27</v>
      </c>
      <c r="N881" t="s">
        <v>28</v>
      </c>
      <c r="O881" t="s">
        <v>122</v>
      </c>
      <c r="P881" t="s">
        <v>123</v>
      </c>
      <c r="Q881" t="s">
        <v>124</v>
      </c>
    </row>
    <row r="882" spans="1:17" x14ac:dyDescent="0.35">
      <c r="A882" t="s">
        <v>326</v>
      </c>
      <c r="B882">
        <v>71</v>
      </c>
      <c r="C882" t="s">
        <v>369</v>
      </c>
      <c r="D882" t="s">
        <v>133</v>
      </c>
      <c r="E882" t="s">
        <v>25</v>
      </c>
      <c r="F882" t="s">
        <v>26</v>
      </c>
      <c r="G882">
        <v>3185</v>
      </c>
      <c r="H882">
        <v>0</v>
      </c>
      <c r="I882">
        <v>369</v>
      </c>
      <c r="J882">
        <v>0</v>
      </c>
      <c r="K882">
        <v>1.1651999999999999E-2</v>
      </c>
      <c r="L882">
        <v>4.8874890000000004</v>
      </c>
      <c r="M882" t="s">
        <v>27</v>
      </c>
      <c r="N882" t="s">
        <v>28</v>
      </c>
      <c r="O882" t="s">
        <v>122</v>
      </c>
      <c r="P882" t="s">
        <v>123</v>
      </c>
      <c r="Q882" t="s">
        <v>134</v>
      </c>
    </row>
  </sheetData>
  <autoFilter ref="D1:D88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500"/>
  <sheetViews>
    <sheetView zoomScaleNormal="100" workbookViewId="0">
      <pane xSplit="2" ySplit="1" topLeftCell="C489" activePane="bottomRight" state="frozen"/>
      <selection pane="topRight"/>
      <selection pane="bottomLeft"/>
      <selection pane="bottomRight" activeCell="F492" sqref="F492"/>
    </sheetView>
  </sheetViews>
  <sheetFormatPr defaultColWidth="8.6328125" defaultRowHeight="14.5" x14ac:dyDescent="0.35"/>
  <cols>
    <col min="1" max="1" width="24" customWidth="1"/>
    <col min="2" max="2" width="40" customWidth="1"/>
    <col min="3" max="17" width="13" customWidth="1"/>
    <col min="18" max="19" width="16" customWidth="1"/>
    <col min="20" max="20" width="28" customWidth="1"/>
    <col min="21" max="21" width="22" customWidth="1"/>
    <col min="22" max="22" width="17" customWidth="1"/>
    <col min="23" max="51" width="13" customWidth="1"/>
  </cols>
  <sheetData>
    <row r="1" spans="1:22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15" customHeight="1" x14ac:dyDescent="0.35">
      <c r="A2" t="s">
        <v>22</v>
      </c>
      <c r="B2">
        <v>1</v>
      </c>
      <c r="C2" t="s">
        <v>23</v>
      </c>
      <c r="D2" t="s">
        <v>24</v>
      </c>
      <c r="E2" t="s">
        <v>25</v>
      </c>
      <c r="F2" t="s">
        <v>26</v>
      </c>
      <c r="G2">
        <v>1176</v>
      </c>
      <c r="H2">
        <v>1024</v>
      </c>
      <c r="I2">
        <v>48</v>
      </c>
      <c r="J2">
        <v>0</v>
      </c>
      <c r="K2">
        <v>2.14E-3</v>
      </c>
      <c r="L2">
        <v>2.550754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s="22">
        <f t="shared" ref="R2:R65" si="0">S2-L2/86400</f>
        <v>46288.812539921833</v>
      </c>
      <c r="S2" s="22">
        <f t="shared" ref="S2:S65" si="1">DATEVALUE(LEFT(C2,10))+TIMEVALUE(MID(C2,12,8))</f>
        <v>46288.812569444446</v>
      </c>
      <c r="T2" s="23">
        <f t="shared" ref="T2:T65" si="2">MAX(0,S2-MAX(R2,_xlfn.MAXIFS($S$2:$S$486,$A$2:$A$486,A2,$D$2:$D$486,D2,$F$2:$F$486,F2,$R$2:$R$486,"&lt;"&amp;R2)))*86400</f>
        <v>2.5507537415251136</v>
      </c>
      <c r="U2" s="23">
        <f t="shared" ref="U2:U65" si="3">MAX(0,S2-MAX(R2,_xlfn.MAXIFS($S$2:$S$486,$A$2:$A$486,A2,$F$2:$F$486,F2,$R$2:$R$486,"&lt;"&amp;R2)))*86400</f>
        <v>2.5507537415251136</v>
      </c>
      <c r="V2" s="23">
        <f t="shared" ref="V2:V65" si="4">MAX(0,S2-MAX(R2,_xlfn.MAXIFS($S$2:$S$486,$A$2:$A$486,A2,$R$2:$R$486,"&lt;"&amp;R2)))*86400</f>
        <v>2.5507537415251136</v>
      </c>
    </row>
    <row r="3" spans="1:22" ht="15" customHeight="1" x14ac:dyDescent="0.35">
      <c r="A3" t="s">
        <v>22</v>
      </c>
      <c r="B3">
        <v>2</v>
      </c>
      <c r="C3" t="s">
        <v>32</v>
      </c>
      <c r="D3" t="s">
        <v>33</v>
      </c>
      <c r="E3" t="s">
        <v>25</v>
      </c>
      <c r="F3" t="s">
        <v>34</v>
      </c>
      <c r="G3">
        <v>427</v>
      </c>
      <c r="H3">
        <v>0</v>
      </c>
      <c r="I3">
        <v>97</v>
      </c>
      <c r="J3">
        <v>0</v>
      </c>
      <c r="K3">
        <v>1.22E-4</v>
      </c>
      <c r="L3">
        <v>1.996683</v>
      </c>
      <c r="M3" t="s">
        <v>27</v>
      </c>
      <c r="N3" t="s">
        <v>28</v>
      </c>
      <c r="O3" t="s">
        <v>35</v>
      </c>
      <c r="P3" t="s">
        <v>36</v>
      </c>
      <c r="Q3" t="s">
        <v>37</v>
      </c>
      <c r="R3" s="22">
        <f t="shared" si="0"/>
        <v>46288.812569482834</v>
      </c>
      <c r="S3" s="22">
        <f t="shared" si="1"/>
        <v>46288.812592592592</v>
      </c>
      <c r="T3" s="23">
        <f t="shared" si="2"/>
        <v>1.9966831197962165</v>
      </c>
      <c r="U3" s="23">
        <f t="shared" si="3"/>
        <v>1.9966831197962165</v>
      </c>
      <c r="V3" s="23">
        <f t="shared" si="4"/>
        <v>1.9966831197962165</v>
      </c>
    </row>
    <row r="4" spans="1:22" ht="15" customHeight="1" x14ac:dyDescent="0.35">
      <c r="A4" t="s">
        <v>22</v>
      </c>
      <c r="B4">
        <v>3</v>
      </c>
      <c r="C4" t="s">
        <v>38</v>
      </c>
      <c r="D4" t="s">
        <v>39</v>
      </c>
      <c r="E4" t="s">
        <v>40</v>
      </c>
      <c r="F4" t="s">
        <v>41</v>
      </c>
      <c r="G4">
        <v>661</v>
      </c>
      <c r="H4">
        <v>0</v>
      </c>
      <c r="I4">
        <v>2314</v>
      </c>
      <c r="J4">
        <v>5.0000000000000001E-3</v>
      </c>
      <c r="K4">
        <v>7.9799999999999992E-3</v>
      </c>
      <c r="L4">
        <v>32.168193000000002</v>
      </c>
      <c r="M4" t="s">
        <v>27</v>
      </c>
      <c r="N4" t="s">
        <v>42</v>
      </c>
      <c r="O4" t="s">
        <v>43</v>
      </c>
      <c r="P4" t="s">
        <v>44</v>
      </c>
      <c r="Q4" t="s">
        <v>45</v>
      </c>
      <c r="R4" s="22">
        <f t="shared" si="0"/>
        <v>46288.812602219987</v>
      </c>
      <c r="S4" s="22">
        <f t="shared" si="1"/>
        <v>46288.812974537039</v>
      </c>
      <c r="T4" s="23">
        <f t="shared" si="2"/>
        <v>32.168193301185966</v>
      </c>
      <c r="U4" s="23">
        <f t="shared" si="3"/>
        <v>32.168193301185966</v>
      </c>
      <c r="V4" s="23">
        <f t="shared" si="4"/>
        <v>32.168193301185966</v>
      </c>
    </row>
    <row r="5" spans="1:22" ht="15" customHeight="1" x14ac:dyDescent="0.35">
      <c r="A5" t="s">
        <v>22</v>
      </c>
      <c r="B5">
        <v>4</v>
      </c>
      <c r="C5" t="s">
        <v>46</v>
      </c>
      <c r="D5" t="s">
        <v>39</v>
      </c>
      <c r="E5" t="s">
        <v>47</v>
      </c>
      <c r="F5" t="s">
        <v>47</v>
      </c>
      <c r="G5">
        <v>0</v>
      </c>
      <c r="H5">
        <v>0</v>
      </c>
      <c r="I5">
        <v>0</v>
      </c>
      <c r="J5">
        <v>1E-3</v>
      </c>
      <c r="K5">
        <v>1E-3</v>
      </c>
      <c r="L5">
        <v>2.1617060000000001</v>
      </c>
      <c r="M5" t="s">
        <v>27</v>
      </c>
      <c r="N5" t="s">
        <v>48</v>
      </c>
      <c r="O5" t="s">
        <v>49</v>
      </c>
      <c r="P5" t="s">
        <v>50</v>
      </c>
      <c r="Q5" t="s">
        <v>51</v>
      </c>
      <c r="R5" s="22">
        <f t="shared" si="0"/>
        <v>46288.812972665437</v>
      </c>
      <c r="S5" s="22">
        <f t="shared" si="1"/>
        <v>46288.812997685185</v>
      </c>
      <c r="T5" s="23">
        <f t="shared" si="2"/>
        <v>2.1617062389850616</v>
      </c>
      <c r="U5" s="23">
        <f t="shared" si="3"/>
        <v>2.1617062389850616</v>
      </c>
      <c r="V5" s="23">
        <f t="shared" si="4"/>
        <v>1.9999998388811946</v>
      </c>
    </row>
    <row r="6" spans="1:22" ht="15" customHeight="1" x14ac:dyDescent="0.35">
      <c r="A6" t="s">
        <v>22</v>
      </c>
      <c r="B6">
        <v>5</v>
      </c>
      <c r="C6" t="s">
        <v>52</v>
      </c>
      <c r="D6" t="s">
        <v>39</v>
      </c>
      <c r="E6" t="s">
        <v>47</v>
      </c>
      <c r="F6" t="s">
        <v>47</v>
      </c>
      <c r="G6">
        <v>0</v>
      </c>
      <c r="H6">
        <v>0</v>
      </c>
      <c r="I6">
        <v>0</v>
      </c>
      <c r="J6">
        <v>1E-3</v>
      </c>
      <c r="K6">
        <v>1E-3</v>
      </c>
      <c r="L6">
        <v>0.99217999999999995</v>
      </c>
      <c r="M6" t="s">
        <v>27</v>
      </c>
      <c r="N6" t="s">
        <v>48</v>
      </c>
      <c r="O6" t="s">
        <v>49</v>
      </c>
      <c r="P6" t="s">
        <v>50</v>
      </c>
      <c r="Q6" t="s">
        <v>51</v>
      </c>
      <c r="R6" s="22">
        <f t="shared" si="0"/>
        <v>46288.812997775698</v>
      </c>
      <c r="S6" s="22">
        <f t="shared" si="1"/>
        <v>46288.813009259262</v>
      </c>
      <c r="T6" s="23">
        <f t="shared" si="2"/>
        <v>0.99217991810292006</v>
      </c>
      <c r="U6" s="23">
        <f t="shared" si="3"/>
        <v>0.99217991810292006</v>
      </c>
      <c r="V6" s="23">
        <f t="shared" si="4"/>
        <v>0.99217991810292006</v>
      </c>
    </row>
    <row r="7" spans="1:22" ht="15" customHeight="1" x14ac:dyDescent="0.35">
      <c r="A7" t="s">
        <v>22</v>
      </c>
      <c r="B7">
        <v>6</v>
      </c>
      <c r="C7" t="s">
        <v>53</v>
      </c>
      <c r="D7" t="s">
        <v>39</v>
      </c>
      <c r="E7" t="s">
        <v>47</v>
      </c>
      <c r="F7" t="s">
        <v>47</v>
      </c>
      <c r="G7">
        <v>0</v>
      </c>
      <c r="H7">
        <v>0</v>
      </c>
      <c r="I7">
        <v>0</v>
      </c>
      <c r="J7">
        <v>1E-3</v>
      </c>
      <c r="K7">
        <v>1E-3</v>
      </c>
      <c r="L7">
        <v>1.1279330000000001</v>
      </c>
      <c r="M7" t="s">
        <v>27</v>
      </c>
      <c r="N7" t="s">
        <v>48</v>
      </c>
      <c r="O7" t="s">
        <v>49</v>
      </c>
      <c r="P7" t="s">
        <v>50</v>
      </c>
      <c r="Q7" t="s">
        <v>51</v>
      </c>
      <c r="R7" s="22">
        <f t="shared" si="0"/>
        <v>46288.813007778554</v>
      </c>
      <c r="S7" s="22">
        <f t="shared" si="1"/>
        <v>46288.813020833331</v>
      </c>
      <c r="T7" s="23">
        <f t="shared" si="2"/>
        <v>0.99999960511922836</v>
      </c>
      <c r="U7" s="23">
        <f t="shared" si="3"/>
        <v>0.99999960511922836</v>
      </c>
      <c r="V7" s="23">
        <f t="shared" si="4"/>
        <v>0.99999960511922836</v>
      </c>
    </row>
    <row r="8" spans="1:22" ht="15" customHeight="1" x14ac:dyDescent="0.35">
      <c r="A8" t="s">
        <v>22</v>
      </c>
      <c r="B8">
        <v>7</v>
      </c>
      <c r="C8" t="s">
        <v>54</v>
      </c>
      <c r="D8" t="s">
        <v>55</v>
      </c>
      <c r="E8" t="s">
        <v>25</v>
      </c>
      <c r="F8" t="s">
        <v>26</v>
      </c>
      <c r="G8">
        <v>11018</v>
      </c>
      <c r="H8">
        <v>0</v>
      </c>
      <c r="I8">
        <v>1478</v>
      </c>
      <c r="J8">
        <v>0</v>
      </c>
      <c r="K8">
        <v>4.2325000000000002E-2</v>
      </c>
      <c r="L8">
        <v>17.887916000000001</v>
      </c>
      <c r="M8" t="s">
        <v>27</v>
      </c>
      <c r="N8" t="s">
        <v>28</v>
      </c>
      <c r="O8" t="s">
        <v>56</v>
      </c>
      <c r="P8" t="s">
        <v>57</v>
      </c>
      <c r="Q8" t="s">
        <v>58</v>
      </c>
      <c r="R8" s="22">
        <f t="shared" si="0"/>
        <v>46288.813033704675</v>
      </c>
      <c r="S8" s="22">
        <f t="shared" si="1"/>
        <v>46288.813240740739</v>
      </c>
      <c r="T8" s="23">
        <f t="shared" si="2"/>
        <v>17.887915950268507</v>
      </c>
      <c r="U8" s="23">
        <f t="shared" si="3"/>
        <v>17.887915950268507</v>
      </c>
      <c r="V8" s="23">
        <f t="shared" si="4"/>
        <v>17.887915950268507</v>
      </c>
    </row>
    <row r="9" spans="1:22" ht="15" customHeight="1" x14ac:dyDescent="0.35">
      <c r="A9" t="s">
        <v>22</v>
      </c>
      <c r="B9">
        <v>8</v>
      </c>
      <c r="C9" t="s">
        <v>59</v>
      </c>
      <c r="D9" t="s">
        <v>55</v>
      </c>
      <c r="E9" t="s">
        <v>25</v>
      </c>
      <c r="F9" t="s">
        <v>26</v>
      </c>
      <c r="G9">
        <v>12597</v>
      </c>
      <c r="H9">
        <v>12288</v>
      </c>
      <c r="I9">
        <v>1895</v>
      </c>
      <c r="J9">
        <v>0</v>
      </c>
      <c r="K9">
        <v>3.5083000000000003E-2</v>
      </c>
      <c r="L9">
        <v>16.876331</v>
      </c>
      <c r="M9" t="s">
        <v>27</v>
      </c>
      <c r="N9" t="s">
        <v>28</v>
      </c>
      <c r="O9" t="s">
        <v>56</v>
      </c>
      <c r="P9" t="s">
        <v>57</v>
      </c>
      <c r="Q9" t="s">
        <v>58</v>
      </c>
      <c r="R9" s="22">
        <f t="shared" si="0"/>
        <v>46288.813230598018</v>
      </c>
      <c r="S9" s="22">
        <f t="shared" si="1"/>
        <v>46288.813425925924</v>
      </c>
      <c r="T9" s="23">
        <f t="shared" si="2"/>
        <v>15.999999968335032</v>
      </c>
      <c r="U9" s="23">
        <f t="shared" si="3"/>
        <v>15.999999968335032</v>
      </c>
      <c r="V9" s="23">
        <f t="shared" si="4"/>
        <v>15.999999968335032</v>
      </c>
    </row>
    <row r="10" spans="1:22" ht="15" customHeight="1" x14ac:dyDescent="0.35">
      <c r="A10" t="s">
        <v>22</v>
      </c>
      <c r="B10">
        <v>9</v>
      </c>
      <c r="C10" t="s">
        <v>60</v>
      </c>
      <c r="D10" t="s">
        <v>61</v>
      </c>
      <c r="E10" t="s">
        <v>25</v>
      </c>
      <c r="F10" t="s">
        <v>62</v>
      </c>
      <c r="G10">
        <v>6</v>
      </c>
      <c r="H10">
        <v>0</v>
      </c>
      <c r="I10">
        <v>0</v>
      </c>
      <c r="J10">
        <v>0</v>
      </c>
      <c r="K10">
        <v>0</v>
      </c>
      <c r="L10">
        <v>1.243034</v>
      </c>
      <c r="M10" t="s">
        <v>27</v>
      </c>
      <c r="N10" t="s">
        <v>63</v>
      </c>
      <c r="O10" t="s">
        <v>64</v>
      </c>
      <c r="P10" t="s">
        <v>65</v>
      </c>
      <c r="Q10" t="s">
        <v>66</v>
      </c>
      <c r="R10" s="22">
        <f t="shared" si="0"/>
        <v>46288.81389765007</v>
      </c>
      <c r="S10" s="22">
        <f t="shared" si="1"/>
        <v>46288.81391203704</v>
      </c>
      <c r="T10" s="23">
        <f t="shared" si="2"/>
        <v>1.2430341448634863</v>
      </c>
      <c r="U10" s="23">
        <f t="shared" si="3"/>
        <v>1.2430341448634863</v>
      </c>
      <c r="V10" s="23">
        <f t="shared" si="4"/>
        <v>1.2430341448634863</v>
      </c>
    </row>
    <row r="11" spans="1:22" ht="15" customHeight="1" x14ac:dyDescent="0.35">
      <c r="A11" t="s">
        <v>22</v>
      </c>
      <c r="B11">
        <v>10</v>
      </c>
      <c r="C11" t="s">
        <v>67</v>
      </c>
      <c r="D11" t="s">
        <v>61</v>
      </c>
      <c r="E11" t="s">
        <v>25</v>
      </c>
      <c r="F11" t="s">
        <v>62</v>
      </c>
      <c r="G11">
        <v>4</v>
      </c>
      <c r="H11">
        <v>0</v>
      </c>
      <c r="I11">
        <v>0</v>
      </c>
      <c r="J11">
        <v>0</v>
      </c>
      <c r="K11">
        <v>0</v>
      </c>
      <c r="L11">
        <v>0.21359300000000001</v>
      </c>
      <c r="M11" t="s">
        <v>27</v>
      </c>
      <c r="N11" t="s">
        <v>63</v>
      </c>
      <c r="O11" t="s">
        <v>64</v>
      </c>
      <c r="P11" t="s">
        <v>65</v>
      </c>
      <c r="Q11" t="s">
        <v>66</v>
      </c>
      <c r="R11" s="22">
        <f t="shared" si="0"/>
        <v>46288.813921138964</v>
      </c>
      <c r="S11" s="22">
        <f t="shared" si="1"/>
        <v>46288.813923611109</v>
      </c>
      <c r="T11" s="23">
        <f t="shared" si="2"/>
        <v>0.2135933144018054</v>
      </c>
      <c r="U11" s="23">
        <f t="shared" si="3"/>
        <v>0.2135933144018054</v>
      </c>
      <c r="V11" s="23">
        <f t="shared" si="4"/>
        <v>0.2135933144018054</v>
      </c>
    </row>
    <row r="12" spans="1:22" ht="15" customHeight="1" x14ac:dyDescent="0.35">
      <c r="A12" t="s">
        <v>22</v>
      </c>
      <c r="B12">
        <v>11</v>
      </c>
      <c r="C12" t="s">
        <v>68</v>
      </c>
      <c r="D12" t="s">
        <v>61</v>
      </c>
      <c r="E12" t="s">
        <v>25</v>
      </c>
      <c r="F12" t="s">
        <v>62</v>
      </c>
      <c r="G12">
        <v>4</v>
      </c>
      <c r="H12">
        <v>0</v>
      </c>
      <c r="I12">
        <v>0</v>
      </c>
      <c r="J12">
        <v>0</v>
      </c>
      <c r="K12">
        <v>0</v>
      </c>
      <c r="L12">
        <v>0.20965200000000001</v>
      </c>
      <c r="M12" t="s">
        <v>27</v>
      </c>
      <c r="N12" t="s">
        <v>63</v>
      </c>
      <c r="O12" t="s">
        <v>64</v>
      </c>
      <c r="P12" t="s">
        <v>65</v>
      </c>
      <c r="Q12" t="s">
        <v>66</v>
      </c>
      <c r="R12" s="22">
        <f t="shared" si="0"/>
        <v>46288.813932758661</v>
      </c>
      <c r="S12" s="22">
        <f t="shared" si="1"/>
        <v>46288.813935185186</v>
      </c>
      <c r="T12" s="23">
        <f t="shared" si="2"/>
        <v>0</v>
      </c>
      <c r="U12" s="23">
        <f t="shared" si="3"/>
        <v>0</v>
      </c>
      <c r="V12" s="23">
        <f t="shared" si="4"/>
        <v>0</v>
      </c>
    </row>
    <row r="13" spans="1:22" ht="15" customHeight="1" x14ac:dyDescent="0.35">
      <c r="A13" t="s">
        <v>22</v>
      </c>
      <c r="B13">
        <v>12</v>
      </c>
      <c r="C13" t="s">
        <v>68</v>
      </c>
      <c r="D13" t="s">
        <v>61</v>
      </c>
      <c r="E13" t="s">
        <v>25</v>
      </c>
      <c r="F13" t="s">
        <v>62</v>
      </c>
      <c r="G13">
        <v>5</v>
      </c>
      <c r="H13">
        <v>0</v>
      </c>
      <c r="I13">
        <v>0</v>
      </c>
      <c r="J13">
        <v>0</v>
      </c>
      <c r="K13">
        <v>0</v>
      </c>
      <c r="L13">
        <v>0.36295699999999997</v>
      </c>
      <c r="M13" t="s">
        <v>27</v>
      </c>
      <c r="N13" t="s">
        <v>63</v>
      </c>
      <c r="O13" t="s">
        <v>64</v>
      </c>
      <c r="P13" t="s">
        <v>65</v>
      </c>
      <c r="Q13" t="s">
        <v>66</v>
      </c>
      <c r="R13" s="22">
        <f t="shared" si="0"/>
        <v>46288.813930984295</v>
      </c>
      <c r="S13" s="22">
        <f t="shared" si="1"/>
        <v>46288.813935185186</v>
      </c>
      <c r="T13" s="23">
        <f t="shared" si="2"/>
        <v>0.36295694299042225</v>
      </c>
      <c r="U13" s="23">
        <f t="shared" si="3"/>
        <v>0.36295694299042225</v>
      </c>
      <c r="V13" s="23">
        <f t="shared" si="4"/>
        <v>0.36295694299042225</v>
      </c>
    </row>
    <row r="14" spans="1:22" ht="15" customHeight="1" x14ac:dyDescent="0.35">
      <c r="A14" t="s">
        <v>22</v>
      </c>
      <c r="B14">
        <v>13</v>
      </c>
      <c r="C14" t="s">
        <v>69</v>
      </c>
      <c r="D14" t="s">
        <v>61</v>
      </c>
      <c r="E14" t="s">
        <v>25</v>
      </c>
      <c r="F14" t="s">
        <v>62</v>
      </c>
      <c r="G14">
        <v>4</v>
      </c>
      <c r="H14">
        <v>0</v>
      </c>
      <c r="I14">
        <v>0</v>
      </c>
      <c r="J14">
        <v>0</v>
      </c>
      <c r="K14">
        <v>0</v>
      </c>
      <c r="L14">
        <v>0.203985</v>
      </c>
      <c r="M14" t="s">
        <v>27</v>
      </c>
      <c r="N14" t="s">
        <v>63</v>
      </c>
      <c r="O14" t="s">
        <v>64</v>
      </c>
      <c r="P14" t="s">
        <v>65</v>
      </c>
      <c r="Q14" t="s">
        <v>66</v>
      </c>
      <c r="R14" s="22">
        <f t="shared" si="0"/>
        <v>46288.813944398324</v>
      </c>
      <c r="S14" s="22">
        <f t="shared" si="1"/>
        <v>46288.813946759263</v>
      </c>
      <c r="T14" s="23">
        <f t="shared" si="2"/>
        <v>0.20398513879626989</v>
      </c>
      <c r="U14" s="23">
        <f t="shared" si="3"/>
        <v>0.20398513879626989</v>
      </c>
      <c r="V14" s="23">
        <f t="shared" si="4"/>
        <v>0.20398513879626989</v>
      </c>
    </row>
    <row r="15" spans="1:22" ht="15" customHeight="1" x14ac:dyDescent="0.35">
      <c r="A15" t="s">
        <v>22</v>
      </c>
      <c r="B15">
        <v>14</v>
      </c>
      <c r="C15" t="s">
        <v>70</v>
      </c>
      <c r="D15" t="s">
        <v>61</v>
      </c>
      <c r="E15" t="s">
        <v>25</v>
      </c>
      <c r="F15" t="s">
        <v>62</v>
      </c>
      <c r="G15">
        <v>3</v>
      </c>
      <c r="H15">
        <v>0</v>
      </c>
      <c r="I15">
        <v>0</v>
      </c>
      <c r="J15">
        <v>0</v>
      </c>
      <c r="K15">
        <v>0</v>
      </c>
      <c r="L15">
        <v>0.194024</v>
      </c>
      <c r="M15" t="s">
        <v>27</v>
      </c>
      <c r="N15" t="s">
        <v>63</v>
      </c>
      <c r="O15" t="s">
        <v>64</v>
      </c>
      <c r="P15" t="s">
        <v>65</v>
      </c>
      <c r="Q15" t="s">
        <v>66</v>
      </c>
      <c r="R15" s="22">
        <f t="shared" si="0"/>
        <v>46288.813956087681</v>
      </c>
      <c r="S15" s="22">
        <f t="shared" si="1"/>
        <v>46288.813958333332</v>
      </c>
      <c r="T15" s="23">
        <f t="shared" si="2"/>
        <v>0.19402429461479187</v>
      </c>
      <c r="U15" s="23">
        <f t="shared" si="3"/>
        <v>0.19402429461479187</v>
      </c>
      <c r="V15" s="23">
        <f t="shared" si="4"/>
        <v>0.19402429461479187</v>
      </c>
    </row>
    <row r="16" spans="1:22" ht="15" customHeight="1" x14ac:dyDescent="0.35">
      <c r="A16" t="s">
        <v>22</v>
      </c>
      <c r="B16">
        <v>15</v>
      </c>
      <c r="C16" t="s">
        <v>70</v>
      </c>
      <c r="D16" t="s">
        <v>61</v>
      </c>
      <c r="E16" t="s">
        <v>25</v>
      </c>
      <c r="F16" t="s">
        <v>62</v>
      </c>
      <c r="G16">
        <v>4</v>
      </c>
      <c r="H16">
        <v>0</v>
      </c>
      <c r="I16">
        <v>0</v>
      </c>
      <c r="J16">
        <v>0</v>
      </c>
      <c r="K16">
        <v>0</v>
      </c>
      <c r="L16">
        <v>0.19162000000000001</v>
      </c>
      <c r="M16" t="s">
        <v>27</v>
      </c>
      <c r="N16" t="s">
        <v>63</v>
      </c>
      <c r="O16" t="s">
        <v>64</v>
      </c>
      <c r="P16" t="s">
        <v>65</v>
      </c>
      <c r="Q16" t="s">
        <v>66</v>
      </c>
      <c r="R16" s="22">
        <f t="shared" si="0"/>
        <v>46288.813956115511</v>
      </c>
      <c r="S16" s="22">
        <f t="shared" si="1"/>
        <v>46288.813958333332</v>
      </c>
      <c r="T16" s="23">
        <f t="shared" si="2"/>
        <v>0</v>
      </c>
      <c r="U16" s="23">
        <f t="shared" si="3"/>
        <v>0</v>
      </c>
      <c r="V16" s="23">
        <f t="shared" si="4"/>
        <v>0</v>
      </c>
    </row>
    <row r="17" spans="1:22" ht="15" customHeight="1" x14ac:dyDescent="0.35">
      <c r="A17" t="s">
        <v>22</v>
      </c>
      <c r="B17">
        <v>16</v>
      </c>
      <c r="C17" t="s">
        <v>71</v>
      </c>
      <c r="D17" t="s">
        <v>61</v>
      </c>
      <c r="E17" t="s">
        <v>25</v>
      </c>
      <c r="F17" t="s">
        <v>62</v>
      </c>
      <c r="G17">
        <v>4</v>
      </c>
      <c r="H17">
        <v>0</v>
      </c>
      <c r="I17">
        <v>0</v>
      </c>
      <c r="J17">
        <v>0</v>
      </c>
      <c r="K17">
        <v>0</v>
      </c>
      <c r="L17">
        <v>0.19821</v>
      </c>
      <c r="M17" t="s">
        <v>27</v>
      </c>
      <c r="N17" t="s">
        <v>63</v>
      </c>
      <c r="O17" t="s">
        <v>64</v>
      </c>
      <c r="P17" t="s">
        <v>65</v>
      </c>
      <c r="Q17" t="s">
        <v>66</v>
      </c>
      <c r="R17" s="22">
        <f t="shared" si="0"/>
        <v>46288.813967613314</v>
      </c>
      <c r="S17" s="22">
        <f t="shared" si="1"/>
        <v>46288.813969907409</v>
      </c>
      <c r="T17" s="23">
        <f t="shared" si="2"/>
        <v>0</v>
      </c>
      <c r="U17" s="23">
        <f t="shared" si="3"/>
        <v>0</v>
      </c>
      <c r="V17" s="23">
        <f t="shared" si="4"/>
        <v>0</v>
      </c>
    </row>
    <row r="18" spans="1:22" ht="15" customHeight="1" x14ac:dyDescent="0.35">
      <c r="A18" t="s">
        <v>22</v>
      </c>
      <c r="B18">
        <v>17</v>
      </c>
      <c r="C18" t="s">
        <v>71</v>
      </c>
      <c r="D18" t="s">
        <v>61</v>
      </c>
      <c r="E18" t="s">
        <v>25</v>
      </c>
      <c r="F18" t="s">
        <v>62</v>
      </c>
      <c r="G18">
        <v>4</v>
      </c>
      <c r="H18">
        <v>0</v>
      </c>
      <c r="I18">
        <v>0</v>
      </c>
      <c r="J18">
        <v>0</v>
      </c>
      <c r="K18">
        <v>0</v>
      </c>
      <c r="L18">
        <v>0.308116</v>
      </c>
      <c r="M18" t="s">
        <v>27</v>
      </c>
      <c r="N18" t="s">
        <v>63</v>
      </c>
      <c r="O18" t="s">
        <v>64</v>
      </c>
      <c r="P18" t="s">
        <v>65</v>
      </c>
      <c r="Q18" t="s">
        <v>66</v>
      </c>
      <c r="R18" s="22">
        <f t="shared" si="0"/>
        <v>46288.813966341251</v>
      </c>
      <c r="S18" s="22">
        <f t="shared" si="1"/>
        <v>46288.813969907409</v>
      </c>
      <c r="T18" s="23">
        <f t="shared" si="2"/>
        <v>0.30811603646725416</v>
      </c>
      <c r="U18" s="23">
        <f t="shared" si="3"/>
        <v>0.30811603646725416</v>
      </c>
      <c r="V18" s="23">
        <f t="shared" si="4"/>
        <v>0.30811603646725416</v>
      </c>
    </row>
    <row r="19" spans="1:22" ht="15" customHeight="1" x14ac:dyDescent="0.35">
      <c r="A19" t="s">
        <v>22</v>
      </c>
      <c r="B19">
        <v>18</v>
      </c>
      <c r="C19" t="s">
        <v>72</v>
      </c>
      <c r="D19" t="s">
        <v>61</v>
      </c>
      <c r="E19" t="s">
        <v>25</v>
      </c>
      <c r="F19" t="s">
        <v>62</v>
      </c>
      <c r="G19">
        <v>6</v>
      </c>
      <c r="H19">
        <v>0</v>
      </c>
      <c r="I19">
        <v>0</v>
      </c>
      <c r="J19">
        <v>0</v>
      </c>
      <c r="K19">
        <v>0</v>
      </c>
      <c r="L19">
        <v>0.25148100000000001</v>
      </c>
      <c r="M19" t="s">
        <v>27</v>
      </c>
      <c r="N19" t="s">
        <v>63</v>
      </c>
      <c r="O19" t="s">
        <v>64</v>
      </c>
      <c r="P19" t="s">
        <v>65</v>
      </c>
      <c r="Q19" t="s">
        <v>66</v>
      </c>
      <c r="R19" s="22">
        <f t="shared" si="0"/>
        <v>46288.813978570819</v>
      </c>
      <c r="S19" s="22">
        <f t="shared" si="1"/>
        <v>46288.813981481479</v>
      </c>
      <c r="T19" s="23">
        <f t="shared" si="2"/>
        <v>0.25148098357021809</v>
      </c>
      <c r="U19" s="23">
        <f t="shared" si="3"/>
        <v>0.25148098357021809</v>
      </c>
      <c r="V19" s="23">
        <f t="shared" si="4"/>
        <v>0.25148098357021809</v>
      </c>
    </row>
    <row r="20" spans="1:22" ht="15" customHeight="1" x14ac:dyDescent="0.35">
      <c r="A20" t="s">
        <v>22</v>
      </c>
      <c r="B20">
        <v>19</v>
      </c>
      <c r="C20" t="s">
        <v>73</v>
      </c>
      <c r="D20" t="s">
        <v>61</v>
      </c>
      <c r="E20" t="s">
        <v>25</v>
      </c>
      <c r="F20" t="s">
        <v>62</v>
      </c>
      <c r="G20">
        <v>2</v>
      </c>
      <c r="H20">
        <v>0</v>
      </c>
      <c r="I20">
        <v>0</v>
      </c>
      <c r="J20">
        <v>0</v>
      </c>
      <c r="K20">
        <v>0</v>
      </c>
      <c r="L20">
        <v>0.200543</v>
      </c>
      <c r="M20" t="s">
        <v>27</v>
      </c>
      <c r="N20" t="s">
        <v>63</v>
      </c>
      <c r="O20" t="s">
        <v>64</v>
      </c>
      <c r="P20" t="s">
        <v>65</v>
      </c>
      <c r="Q20" t="s">
        <v>66</v>
      </c>
      <c r="R20" s="22">
        <f t="shared" si="0"/>
        <v>46288.813990734459</v>
      </c>
      <c r="S20" s="22">
        <f t="shared" si="1"/>
        <v>46288.813993055555</v>
      </c>
      <c r="T20" s="23">
        <f t="shared" si="2"/>
        <v>0</v>
      </c>
      <c r="U20" s="23">
        <f t="shared" si="3"/>
        <v>0</v>
      </c>
      <c r="V20" s="23">
        <f t="shared" si="4"/>
        <v>0</v>
      </c>
    </row>
    <row r="21" spans="1:22" ht="15" customHeight="1" x14ac:dyDescent="0.35">
      <c r="A21" t="s">
        <v>22</v>
      </c>
      <c r="B21">
        <v>20</v>
      </c>
      <c r="C21" t="s">
        <v>73</v>
      </c>
      <c r="D21" t="s">
        <v>61</v>
      </c>
      <c r="E21" t="s">
        <v>25</v>
      </c>
      <c r="F21" t="s">
        <v>62</v>
      </c>
      <c r="G21">
        <v>3</v>
      </c>
      <c r="H21">
        <v>0</v>
      </c>
      <c r="I21">
        <v>0</v>
      </c>
      <c r="J21">
        <v>0</v>
      </c>
      <c r="K21">
        <v>0</v>
      </c>
      <c r="L21">
        <v>0.276447</v>
      </c>
      <c r="M21" t="s">
        <v>27</v>
      </c>
      <c r="N21" t="s">
        <v>63</v>
      </c>
      <c r="O21" t="s">
        <v>64</v>
      </c>
      <c r="P21" t="s">
        <v>65</v>
      </c>
      <c r="Q21" t="s">
        <v>66</v>
      </c>
      <c r="R21" s="22">
        <f t="shared" si="0"/>
        <v>46288.813989855938</v>
      </c>
      <c r="S21" s="22">
        <f t="shared" si="1"/>
        <v>46288.813993055555</v>
      </c>
      <c r="T21" s="23">
        <f t="shared" si="2"/>
        <v>0.27644690126180649</v>
      </c>
      <c r="U21" s="23">
        <f t="shared" si="3"/>
        <v>0.27644690126180649</v>
      </c>
      <c r="V21" s="23">
        <f t="shared" si="4"/>
        <v>0.27644690126180649</v>
      </c>
    </row>
    <row r="22" spans="1:22" ht="15" customHeight="1" x14ac:dyDescent="0.35">
      <c r="A22" t="s">
        <v>22</v>
      </c>
      <c r="B22">
        <v>21</v>
      </c>
      <c r="C22" t="s">
        <v>74</v>
      </c>
      <c r="D22" t="s">
        <v>61</v>
      </c>
      <c r="E22" t="s">
        <v>25</v>
      </c>
      <c r="F22" t="s">
        <v>62</v>
      </c>
      <c r="G22">
        <v>5</v>
      </c>
      <c r="H22">
        <v>0</v>
      </c>
      <c r="I22">
        <v>0</v>
      </c>
      <c r="J22">
        <v>0</v>
      </c>
      <c r="K22">
        <v>0</v>
      </c>
      <c r="L22">
        <v>0.23230899999999999</v>
      </c>
      <c r="M22" t="s">
        <v>27</v>
      </c>
      <c r="N22" t="s">
        <v>63</v>
      </c>
      <c r="O22" t="s">
        <v>64</v>
      </c>
      <c r="P22" t="s">
        <v>65</v>
      </c>
      <c r="Q22" t="s">
        <v>66</v>
      </c>
      <c r="R22" s="22">
        <f t="shared" si="0"/>
        <v>46288.814001940867</v>
      </c>
      <c r="S22" s="22">
        <f t="shared" si="1"/>
        <v>46288.814004629632</v>
      </c>
      <c r="T22" s="23">
        <f t="shared" si="2"/>
        <v>0.23230926599353552</v>
      </c>
      <c r="U22" s="23">
        <f t="shared" si="3"/>
        <v>0.23230926599353552</v>
      </c>
      <c r="V22" s="23">
        <f t="shared" si="4"/>
        <v>0.23230926599353552</v>
      </c>
    </row>
    <row r="23" spans="1:22" ht="15" customHeight="1" x14ac:dyDescent="0.35">
      <c r="A23" t="s">
        <v>22</v>
      </c>
      <c r="B23">
        <v>22</v>
      </c>
      <c r="C23" t="s">
        <v>75</v>
      </c>
      <c r="D23" t="s">
        <v>61</v>
      </c>
      <c r="E23" t="s">
        <v>25</v>
      </c>
      <c r="F23" t="s">
        <v>62</v>
      </c>
      <c r="G23">
        <v>4</v>
      </c>
      <c r="H23">
        <v>0</v>
      </c>
      <c r="I23">
        <v>0</v>
      </c>
      <c r="J23">
        <v>0</v>
      </c>
      <c r="K23">
        <v>0</v>
      </c>
      <c r="L23">
        <v>0.239203</v>
      </c>
      <c r="M23" t="s">
        <v>27</v>
      </c>
      <c r="N23" t="s">
        <v>63</v>
      </c>
      <c r="O23" t="s">
        <v>64</v>
      </c>
      <c r="P23" t="s">
        <v>65</v>
      </c>
      <c r="Q23" t="s">
        <v>66</v>
      </c>
      <c r="R23" s="22">
        <f t="shared" si="0"/>
        <v>46288.814013435149</v>
      </c>
      <c r="S23" s="22">
        <f t="shared" si="1"/>
        <v>46288.814016203702</v>
      </c>
      <c r="T23" s="23">
        <f t="shared" si="2"/>
        <v>0.23920296225696802</v>
      </c>
      <c r="U23" s="23">
        <f t="shared" si="3"/>
        <v>0.23920296225696802</v>
      </c>
      <c r="V23" s="23">
        <f t="shared" si="4"/>
        <v>0.23920296225696802</v>
      </c>
    </row>
    <row r="24" spans="1:22" ht="15" customHeight="1" x14ac:dyDescent="0.35">
      <c r="A24" t="s">
        <v>22</v>
      </c>
      <c r="B24">
        <v>23</v>
      </c>
      <c r="C24" t="s">
        <v>76</v>
      </c>
      <c r="D24" t="s">
        <v>61</v>
      </c>
      <c r="E24" t="s">
        <v>25</v>
      </c>
      <c r="F24" t="s">
        <v>62</v>
      </c>
      <c r="G24">
        <v>5</v>
      </c>
      <c r="H24">
        <v>0</v>
      </c>
      <c r="I24">
        <v>0</v>
      </c>
      <c r="J24">
        <v>0</v>
      </c>
      <c r="K24">
        <v>0</v>
      </c>
      <c r="L24">
        <v>0.21579400000000001</v>
      </c>
      <c r="M24" t="s">
        <v>27</v>
      </c>
      <c r="N24" t="s">
        <v>63</v>
      </c>
      <c r="O24" t="s">
        <v>64</v>
      </c>
      <c r="P24" t="s">
        <v>65</v>
      </c>
      <c r="Q24" t="s">
        <v>66</v>
      </c>
      <c r="R24" s="22">
        <f t="shared" si="0"/>
        <v>46288.81402528016</v>
      </c>
      <c r="S24" s="22">
        <f t="shared" si="1"/>
        <v>46288.814027777778</v>
      </c>
      <c r="T24" s="23">
        <f t="shared" si="2"/>
        <v>0.21579419262707233</v>
      </c>
      <c r="U24" s="23">
        <f t="shared" si="3"/>
        <v>0.21579419262707233</v>
      </c>
      <c r="V24" s="23">
        <f t="shared" si="4"/>
        <v>0.21579419262707233</v>
      </c>
    </row>
    <row r="25" spans="1:22" ht="15" customHeight="1" x14ac:dyDescent="0.35">
      <c r="A25" t="s">
        <v>22</v>
      </c>
      <c r="B25">
        <v>24</v>
      </c>
      <c r="C25" t="s">
        <v>76</v>
      </c>
      <c r="D25" t="s">
        <v>61</v>
      </c>
      <c r="E25" t="s">
        <v>25</v>
      </c>
      <c r="F25" t="s">
        <v>62</v>
      </c>
      <c r="G25">
        <v>2</v>
      </c>
      <c r="H25">
        <v>0</v>
      </c>
      <c r="I25">
        <v>0</v>
      </c>
      <c r="J25">
        <v>0</v>
      </c>
      <c r="K25">
        <v>0</v>
      </c>
      <c r="L25">
        <v>0.20251</v>
      </c>
      <c r="M25" t="s">
        <v>27</v>
      </c>
      <c r="N25" t="s">
        <v>63</v>
      </c>
      <c r="O25" t="s">
        <v>64</v>
      </c>
      <c r="P25" t="s">
        <v>65</v>
      </c>
      <c r="Q25" t="s">
        <v>66</v>
      </c>
      <c r="R25" s="22">
        <f t="shared" si="0"/>
        <v>46288.814025433916</v>
      </c>
      <c r="S25" s="22">
        <f t="shared" si="1"/>
        <v>46288.814027777778</v>
      </c>
      <c r="T25" s="23">
        <f t="shared" si="2"/>
        <v>0</v>
      </c>
      <c r="U25" s="23">
        <f t="shared" si="3"/>
        <v>0</v>
      </c>
      <c r="V25" s="23">
        <f t="shared" si="4"/>
        <v>0</v>
      </c>
    </row>
    <row r="26" spans="1:22" ht="15" customHeight="1" x14ac:dyDescent="0.35">
      <c r="A26" t="s">
        <v>22</v>
      </c>
      <c r="B26">
        <v>25</v>
      </c>
      <c r="C26" t="s">
        <v>77</v>
      </c>
      <c r="D26" t="s">
        <v>61</v>
      </c>
      <c r="E26" t="s">
        <v>25</v>
      </c>
      <c r="F26" t="s">
        <v>62</v>
      </c>
      <c r="G26">
        <v>6</v>
      </c>
      <c r="H26">
        <v>0</v>
      </c>
      <c r="I26">
        <v>0</v>
      </c>
      <c r="J26">
        <v>0</v>
      </c>
      <c r="K26">
        <v>0</v>
      </c>
      <c r="L26">
        <v>0.19880700000000001</v>
      </c>
      <c r="M26" t="s">
        <v>27</v>
      </c>
      <c r="N26" t="s">
        <v>63</v>
      </c>
      <c r="O26" t="s">
        <v>64</v>
      </c>
      <c r="P26" t="s">
        <v>65</v>
      </c>
      <c r="Q26" t="s">
        <v>66</v>
      </c>
      <c r="R26" s="22">
        <f t="shared" si="0"/>
        <v>46288.814037050848</v>
      </c>
      <c r="S26" s="22">
        <f t="shared" si="1"/>
        <v>46288.814039351855</v>
      </c>
      <c r="T26" s="23">
        <f t="shared" si="2"/>
        <v>0.1988070085644722</v>
      </c>
      <c r="U26" s="23">
        <f t="shared" si="3"/>
        <v>0.1988070085644722</v>
      </c>
      <c r="V26" s="23">
        <f t="shared" si="4"/>
        <v>0.1988070085644722</v>
      </c>
    </row>
    <row r="27" spans="1:22" ht="15" customHeight="1" x14ac:dyDescent="0.35">
      <c r="A27" t="s">
        <v>22</v>
      </c>
      <c r="B27">
        <v>26</v>
      </c>
      <c r="C27" t="s">
        <v>78</v>
      </c>
      <c r="D27" t="s">
        <v>61</v>
      </c>
      <c r="E27" t="s">
        <v>25</v>
      </c>
      <c r="F27" t="s">
        <v>62</v>
      </c>
      <c r="G27">
        <v>6</v>
      </c>
      <c r="H27">
        <v>0</v>
      </c>
      <c r="I27">
        <v>0</v>
      </c>
      <c r="J27">
        <v>0</v>
      </c>
      <c r="K27">
        <v>0</v>
      </c>
      <c r="L27">
        <v>0.24449299999999999</v>
      </c>
      <c r="M27" t="s">
        <v>27</v>
      </c>
      <c r="N27" t="s">
        <v>63</v>
      </c>
      <c r="O27" t="s">
        <v>64</v>
      </c>
      <c r="P27" t="s">
        <v>65</v>
      </c>
      <c r="Q27" t="s">
        <v>66</v>
      </c>
      <c r="R27" s="22">
        <f t="shared" si="0"/>
        <v>46288.814048096145</v>
      </c>
      <c r="S27" s="22">
        <f t="shared" si="1"/>
        <v>46288.814050925925</v>
      </c>
      <c r="T27" s="23">
        <f t="shared" si="2"/>
        <v>0.24449299089610577</v>
      </c>
      <c r="U27" s="23">
        <f t="shared" si="3"/>
        <v>0.24449299089610577</v>
      </c>
      <c r="V27" s="23">
        <f t="shared" si="4"/>
        <v>0.24449299089610577</v>
      </c>
    </row>
    <row r="28" spans="1:22" ht="15" customHeight="1" x14ac:dyDescent="0.35">
      <c r="A28" t="s">
        <v>22</v>
      </c>
      <c r="B28">
        <v>27</v>
      </c>
      <c r="C28" t="s">
        <v>79</v>
      </c>
      <c r="D28" t="s">
        <v>61</v>
      </c>
      <c r="E28" t="s">
        <v>25</v>
      </c>
      <c r="F28" t="s">
        <v>62</v>
      </c>
      <c r="G28">
        <v>5</v>
      </c>
      <c r="H28">
        <v>0</v>
      </c>
      <c r="I28">
        <v>0</v>
      </c>
      <c r="J28">
        <v>0</v>
      </c>
      <c r="K28">
        <v>0</v>
      </c>
      <c r="L28">
        <v>0.21032799999999999</v>
      </c>
      <c r="M28" t="s">
        <v>27</v>
      </c>
      <c r="N28" t="s">
        <v>63</v>
      </c>
      <c r="O28" t="s">
        <v>64</v>
      </c>
      <c r="P28" t="s">
        <v>65</v>
      </c>
      <c r="Q28" t="s">
        <v>66</v>
      </c>
      <c r="R28" s="22">
        <f t="shared" si="0"/>
        <v>46288.814060065648</v>
      </c>
      <c r="S28" s="22">
        <f t="shared" si="1"/>
        <v>46288.814062500001</v>
      </c>
      <c r="T28" s="23">
        <f t="shared" si="2"/>
        <v>0.21032814402133226</v>
      </c>
      <c r="U28" s="23">
        <f t="shared" si="3"/>
        <v>0.21032814402133226</v>
      </c>
      <c r="V28" s="23">
        <f t="shared" si="4"/>
        <v>0.21032814402133226</v>
      </c>
    </row>
    <row r="29" spans="1:22" ht="15" customHeight="1" x14ac:dyDescent="0.35">
      <c r="A29" t="s">
        <v>22</v>
      </c>
      <c r="B29">
        <v>28</v>
      </c>
      <c r="C29" t="s">
        <v>79</v>
      </c>
      <c r="D29" t="s">
        <v>61</v>
      </c>
      <c r="E29" t="s">
        <v>25</v>
      </c>
      <c r="F29" t="s">
        <v>62</v>
      </c>
      <c r="G29">
        <v>5</v>
      </c>
      <c r="H29">
        <v>0</v>
      </c>
      <c r="I29">
        <v>0</v>
      </c>
      <c r="J29">
        <v>0</v>
      </c>
      <c r="K29">
        <v>0</v>
      </c>
      <c r="L29">
        <v>0.17809</v>
      </c>
      <c r="M29" t="s">
        <v>27</v>
      </c>
      <c r="N29" t="s">
        <v>63</v>
      </c>
      <c r="O29" t="s">
        <v>64</v>
      </c>
      <c r="P29" t="s">
        <v>65</v>
      </c>
      <c r="Q29" t="s">
        <v>66</v>
      </c>
      <c r="R29" s="22">
        <f t="shared" si="0"/>
        <v>46288.814060438774</v>
      </c>
      <c r="S29" s="22">
        <f t="shared" si="1"/>
        <v>46288.814062500001</v>
      </c>
      <c r="T29" s="23">
        <f t="shared" si="2"/>
        <v>0</v>
      </c>
      <c r="U29" s="23">
        <f t="shared" si="3"/>
        <v>0</v>
      </c>
      <c r="V29" s="23">
        <f t="shared" si="4"/>
        <v>0</v>
      </c>
    </row>
    <row r="30" spans="1:22" ht="15" customHeight="1" x14ac:dyDescent="0.35">
      <c r="A30" t="s">
        <v>22</v>
      </c>
      <c r="B30">
        <v>29</v>
      </c>
      <c r="C30" t="s">
        <v>80</v>
      </c>
      <c r="D30" t="s">
        <v>61</v>
      </c>
      <c r="E30" t="s">
        <v>25</v>
      </c>
      <c r="F30" t="s">
        <v>62</v>
      </c>
      <c r="G30">
        <v>19</v>
      </c>
      <c r="H30">
        <v>0</v>
      </c>
      <c r="I30">
        <v>0</v>
      </c>
      <c r="J30">
        <v>0</v>
      </c>
      <c r="K30">
        <v>0</v>
      </c>
      <c r="L30">
        <v>0.30699599999999999</v>
      </c>
      <c r="M30" t="s">
        <v>27</v>
      </c>
      <c r="N30" t="s">
        <v>63</v>
      </c>
      <c r="O30" t="s">
        <v>64</v>
      </c>
      <c r="P30" t="s">
        <v>65</v>
      </c>
      <c r="Q30" t="s">
        <v>66</v>
      </c>
      <c r="R30" s="22">
        <f t="shared" si="0"/>
        <v>46288.814070520879</v>
      </c>
      <c r="S30" s="22">
        <f t="shared" si="1"/>
        <v>46288.814074074071</v>
      </c>
      <c r="T30" s="23">
        <f t="shared" si="2"/>
        <v>0.30699579510837793</v>
      </c>
      <c r="U30" s="23">
        <f t="shared" si="3"/>
        <v>0.30699579510837793</v>
      </c>
      <c r="V30" s="23">
        <f t="shared" si="4"/>
        <v>0.30699579510837793</v>
      </c>
    </row>
    <row r="31" spans="1:22" ht="15" customHeight="1" x14ac:dyDescent="0.35">
      <c r="A31" t="s">
        <v>22</v>
      </c>
      <c r="B31">
        <v>30</v>
      </c>
      <c r="C31" t="s">
        <v>81</v>
      </c>
      <c r="D31" t="s">
        <v>82</v>
      </c>
      <c r="E31" t="s">
        <v>25</v>
      </c>
      <c r="F31" t="s">
        <v>62</v>
      </c>
      <c r="G31">
        <v>139</v>
      </c>
      <c r="H31">
        <v>0</v>
      </c>
      <c r="I31">
        <v>0</v>
      </c>
      <c r="J31">
        <v>0</v>
      </c>
      <c r="K31">
        <v>3.0000000000000001E-6</v>
      </c>
      <c r="L31">
        <v>0.89382399999999995</v>
      </c>
      <c r="M31" t="s">
        <v>27</v>
      </c>
      <c r="N31" t="s">
        <v>63</v>
      </c>
      <c r="O31" t="s">
        <v>83</v>
      </c>
      <c r="P31" t="s">
        <v>84</v>
      </c>
      <c r="Q31" t="s">
        <v>85</v>
      </c>
      <c r="R31" s="22">
        <f t="shared" si="0"/>
        <v>46288.814283636297</v>
      </c>
      <c r="S31" s="22">
        <f t="shared" si="1"/>
        <v>46288.814293981479</v>
      </c>
      <c r="T31" s="23">
        <f t="shared" si="2"/>
        <v>0.89382373262196779</v>
      </c>
      <c r="U31" s="23">
        <f t="shared" si="3"/>
        <v>0.89382373262196779</v>
      </c>
      <c r="V31" s="23">
        <f t="shared" si="4"/>
        <v>0.89382373262196779</v>
      </c>
    </row>
    <row r="32" spans="1:22" ht="15" customHeight="1" x14ac:dyDescent="0.35">
      <c r="A32" t="s">
        <v>22</v>
      </c>
      <c r="B32">
        <v>31</v>
      </c>
      <c r="C32" t="s">
        <v>86</v>
      </c>
      <c r="D32" t="s">
        <v>82</v>
      </c>
      <c r="E32" t="s">
        <v>25</v>
      </c>
      <c r="F32" t="s">
        <v>26</v>
      </c>
      <c r="G32">
        <v>3321</v>
      </c>
      <c r="H32">
        <v>0</v>
      </c>
      <c r="I32">
        <v>501</v>
      </c>
      <c r="J32">
        <v>0</v>
      </c>
      <c r="K32">
        <v>1.3311999999999999E-2</v>
      </c>
      <c r="L32">
        <v>7.1496890000000004</v>
      </c>
      <c r="M32" t="s">
        <v>27</v>
      </c>
      <c r="N32" t="s">
        <v>28</v>
      </c>
      <c r="O32" t="s">
        <v>83</v>
      </c>
      <c r="P32" t="s">
        <v>84</v>
      </c>
      <c r="Q32" t="s">
        <v>85</v>
      </c>
      <c r="R32" s="22">
        <f t="shared" si="0"/>
        <v>46288.814315397118</v>
      </c>
      <c r="S32" s="22">
        <f t="shared" si="1"/>
        <v>46288.814398148148</v>
      </c>
      <c r="T32" s="23">
        <f t="shared" si="2"/>
        <v>7.1496890159323812</v>
      </c>
      <c r="U32" s="23">
        <f t="shared" si="3"/>
        <v>7.1496890159323812</v>
      </c>
      <c r="V32" s="23">
        <f t="shared" si="4"/>
        <v>7.1496890159323812</v>
      </c>
    </row>
    <row r="33" spans="1:22" ht="15" customHeight="1" x14ac:dyDescent="0.35">
      <c r="A33" t="s">
        <v>22</v>
      </c>
      <c r="B33">
        <v>32</v>
      </c>
      <c r="C33" t="s">
        <v>86</v>
      </c>
      <c r="D33" t="s">
        <v>61</v>
      </c>
      <c r="E33" t="s">
        <v>25</v>
      </c>
      <c r="F33" t="s">
        <v>62</v>
      </c>
      <c r="G33">
        <v>5</v>
      </c>
      <c r="H33">
        <v>0</v>
      </c>
      <c r="I33">
        <v>0</v>
      </c>
      <c r="J33">
        <v>0</v>
      </c>
      <c r="K33">
        <v>0</v>
      </c>
      <c r="L33">
        <v>0.49986599999999998</v>
      </c>
      <c r="M33" t="s">
        <v>27</v>
      </c>
      <c r="N33" t="s">
        <v>63</v>
      </c>
      <c r="O33" t="s">
        <v>64</v>
      </c>
      <c r="P33" t="s">
        <v>65</v>
      </c>
      <c r="Q33" t="s">
        <v>66</v>
      </c>
      <c r="R33" s="22">
        <f t="shared" si="0"/>
        <v>46288.814392362663</v>
      </c>
      <c r="S33" s="22">
        <f t="shared" si="1"/>
        <v>46288.814398148148</v>
      </c>
      <c r="T33" s="23">
        <f t="shared" si="2"/>
        <v>0.49986590165644884</v>
      </c>
      <c r="U33" s="23">
        <f t="shared" si="3"/>
        <v>0.49986590165644884</v>
      </c>
      <c r="V33" s="23">
        <f t="shared" si="4"/>
        <v>0</v>
      </c>
    </row>
    <row r="34" spans="1:22" ht="15" customHeight="1" x14ac:dyDescent="0.35">
      <c r="A34" t="s">
        <v>22</v>
      </c>
      <c r="B34">
        <v>33</v>
      </c>
      <c r="C34" t="s">
        <v>87</v>
      </c>
      <c r="D34" t="s">
        <v>61</v>
      </c>
      <c r="E34" t="s">
        <v>25</v>
      </c>
      <c r="F34" t="s">
        <v>62</v>
      </c>
      <c r="G34">
        <v>2</v>
      </c>
      <c r="H34">
        <v>0</v>
      </c>
      <c r="I34">
        <v>0</v>
      </c>
      <c r="J34">
        <v>0</v>
      </c>
      <c r="K34">
        <v>0</v>
      </c>
      <c r="L34">
        <v>0.32279999999999998</v>
      </c>
      <c r="M34" t="s">
        <v>27</v>
      </c>
      <c r="N34" t="s">
        <v>63</v>
      </c>
      <c r="O34" t="s">
        <v>64</v>
      </c>
      <c r="P34" t="s">
        <v>65</v>
      </c>
      <c r="Q34" t="s">
        <v>66</v>
      </c>
      <c r="R34" s="22">
        <f t="shared" si="0"/>
        <v>46288.814405986115</v>
      </c>
      <c r="S34" s="22">
        <f t="shared" si="1"/>
        <v>46288.814409722225</v>
      </c>
      <c r="T34" s="23">
        <f t="shared" si="2"/>
        <v>0.3227998735383153</v>
      </c>
      <c r="U34" s="23">
        <f t="shared" si="3"/>
        <v>0.3227998735383153</v>
      </c>
      <c r="V34" s="23">
        <f t="shared" si="4"/>
        <v>0.3227998735383153</v>
      </c>
    </row>
    <row r="35" spans="1:22" ht="15" customHeight="1" x14ac:dyDescent="0.35">
      <c r="A35" t="s">
        <v>22</v>
      </c>
      <c r="B35">
        <v>34</v>
      </c>
      <c r="C35" t="s">
        <v>88</v>
      </c>
      <c r="D35" t="s">
        <v>61</v>
      </c>
      <c r="E35" t="s">
        <v>25</v>
      </c>
      <c r="F35" t="s">
        <v>62</v>
      </c>
      <c r="G35">
        <v>4</v>
      </c>
      <c r="H35">
        <v>0</v>
      </c>
      <c r="I35">
        <v>0</v>
      </c>
      <c r="J35">
        <v>0</v>
      </c>
      <c r="K35">
        <v>0</v>
      </c>
      <c r="L35">
        <v>0.2409</v>
      </c>
      <c r="M35" t="s">
        <v>27</v>
      </c>
      <c r="N35" t="s">
        <v>63</v>
      </c>
      <c r="O35" t="s">
        <v>64</v>
      </c>
      <c r="P35" t="s">
        <v>65</v>
      </c>
      <c r="Q35" t="s">
        <v>66</v>
      </c>
      <c r="R35" s="22">
        <f t="shared" si="0"/>
        <v>46288.814418508096</v>
      </c>
      <c r="S35" s="22">
        <f t="shared" si="1"/>
        <v>46288.814421296294</v>
      </c>
      <c r="T35" s="23">
        <f t="shared" si="2"/>
        <v>0.24090029764920473</v>
      </c>
      <c r="U35" s="23">
        <f t="shared" si="3"/>
        <v>0.24090029764920473</v>
      </c>
      <c r="V35" s="23">
        <f t="shared" si="4"/>
        <v>0.24090029764920473</v>
      </c>
    </row>
    <row r="36" spans="1:22" ht="15" customHeight="1" x14ac:dyDescent="0.35">
      <c r="A36" t="s">
        <v>22</v>
      </c>
      <c r="B36">
        <v>35</v>
      </c>
      <c r="C36" t="s">
        <v>89</v>
      </c>
      <c r="D36" t="s">
        <v>61</v>
      </c>
      <c r="E36" t="s">
        <v>25</v>
      </c>
      <c r="F36" t="s">
        <v>62</v>
      </c>
      <c r="G36">
        <v>4</v>
      </c>
      <c r="H36">
        <v>0</v>
      </c>
      <c r="I36">
        <v>0</v>
      </c>
      <c r="J36">
        <v>0</v>
      </c>
      <c r="K36">
        <v>0</v>
      </c>
      <c r="L36">
        <v>0.21187300000000001</v>
      </c>
      <c r="M36" t="s">
        <v>27</v>
      </c>
      <c r="N36" t="s">
        <v>63</v>
      </c>
      <c r="O36" t="s">
        <v>64</v>
      </c>
      <c r="P36" t="s">
        <v>65</v>
      </c>
      <c r="Q36" t="s">
        <v>66</v>
      </c>
      <c r="R36" s="22">
        <f t="shared" si="0"/>
        <v>46288.814430418141</v>
      </c>
      <c r="S36" s="22">
        <f t="shared" si="1"/>
        <v>46288.814432870371</v>
      </c>
      <c r="T36" s="23">
        <f t="shared" si="2"/>
        <v>0.21187271922826767</v>
      </c>
      <c r="U36" s="23">
        <f t="shared" si="3"/>
        <v>0.21187271922826767</v>
      </c>
      <c r="V36" s="23">
        <f t="shared" si="4"/>
        <v>0.21187271922826767</v>
      </c>
    </row>
    <row r="37" spans="1:22" ht="15" customHeight="1" x14ac:dyDescent="0.35">
      <c r="A37" t="s">
        <v>22</v>
      </c>
      <c r="B37">
        <v>36</v>
      </c>
      <c r="C37" t="s">
        <v>89</v>
      </c>
      <c r="D37" t="s">
        <v>61</v>
      </c>
      <c r="E37" t="s">
        <v>25</v>
      </c>
      <c r="F37" t="s">
        <v>62</v>
      </c>
      <c r="G37">
        <v>4</v>
      </c>
      <c r="H37">
        <v>0</v>
      </c>
      <c r="I37">
        <v>0</v>
      </c>
      <c r="J37">
        <v>0</v>
      </c>
      <c r="K37">
        <v>0</v>
      </c>
      <c r="L37">
        <v>0.192937</v>
      </c>
      <c r="M37" t="s">
        <v>27</v>
      </c>
      <c r="N37" t="s">
        <v>63</v>
      </c>
      <c r="O37" t="s">
        <v>64</v>
      </c>
      <c r="P37" t="s">
        <v>65</v>
      </c>
      <c r="Q37" t="s">
        <v>66</v>
      </c>
      <c r="R37" s="22">
        <f t="shared" si="0"/>
        <v>46288.814430637307</v>
      </c>
      <c r="S37" s="22">
        <f t="shared" si="1"/>
        <v>46288.814432870371</v>
      </c>
      <c r="T37" s="23">
        <f t="shared" si="2"/>
        <v>0</v>
      </c>
      <c r="U37" s="23">
        <f t="shared" si="3"/>
        <v>0</v>
      </c>
      <c r="V37" s="23">
        <f t="shared" si="4"/>
        <v>0</v>
      </c>
    </row>
    <row r="38" spans="1:22" ht="15" customHeight="1" x14ac:dyDescent="0.35">
      <c r="A38" t="s">
        <v>22</v>
      </c>
      <c r="B38">
        <v>37</v>
      </c>
      <c r="C38" t="s">
        <v>90</v>
      </c>
      <c r="D38" t="s">
        <v>61</v>
      </c>
      <c r="E38" t="s">
        <v>25</v>
      </c>
      <c r="F38" t="s">
        <v>62</v>
      </c>
      <c r="G38">
        <v>17</v>
      </c>
      <c r="H38">
        <v>0</v>
      </c>
      <c r="I38">
        <v>0</v>
      </c>
      <c r="J38">
        <v>0</v>
      </c>
      <c r="K38">
        <v>0</v>
      </c>
      <c r="L38">
        <v>0.19303300000000001</v>
      </c>
      <c r="M38" t="s">
        <v>27</v>
      </c>
      <c r="N38" t="s">
        <v>63</v>
      </c>
      <c r="O38" t="s">
        <v>64</v>
      </c>
      <c r="P38" t="s">
        <v>65</v>
      </c>
      <c r="Q38" t="s">
        <v>66</v>
      </c>
      <c r="R38" s="22">
        <f t="shared" si="0"/>
        <v>46288.81444221027</v>
      </c>
      <c r="S38" s="22">
        <f t="shared" si="1"/>
        <v>46288.814444444448</v>
      </c>
      <c r="T38" s="23">
        <f t="shared" si="2"/>
        <v>0.19303292501717806</v>
      </c>
      <c r="U38" s="23">
        <f t="shared" si="3"/>
        <v>0.19303292501717806</v>
      </c>
      <c r="V38" s="23">
        <f t="shared" si="4"/>
        <v>0.19303292501717806</v>
      </c>
    </row>
    <row r="39" spans="1:22" ht="15" customHeight="1" x14ac:dyDescent="0.35">
      <c r="A39" t="s">
        <v>22</v>
      </c>
      <c r="B39">
        <v>38</v>
      </c>
      <c r="C39" t="s">
        <v>91</v>
      </c>
      <c r="D39" t="s">
        <v>61</v>
      </c>
      <c r="E39" t="s">
        <v>25</v>
      </c>
      <c r="F39" t="s">
        <v>62</v>
      </c>
      <c r="G39">
        <v>2</v>
      </c>
      <c r="H39">
        <v>0</v>
      </c>
      <c r="I39">
        <v>0</v>
      </c>
      <c r="J39">
        <v>0</v>
      </c>
      <c r="K39">
        <v>0</v>
      </c>
      <c r="L39">
        <v>0.20407400000000001</v>
      </c>
      <c r="M39" t="s">
        <v>27</v>
      </c>
      <c r="N39" t="s">
        <v>63</v>
      </c>
      <c r="O39" t="s">
        <v>64</v>
      </c>
      <c r="P39" t="s">
        <v>65</v>
      </c>
      <c r="Q39" t="s">
        <v>66</v>
      </c>
      <c r="R39" s="22">
        <f t="shared" si="0"/>
        <v>46288.814488378775</v>
      </c>
      <c r="S39" s="22">
        <f t="shared" si="1"/>
        <v>46288.81449074074</v>
      </c>
      <c r="T39" s="23">
        <f t="shared" si="2"/>
        <v>0.20407377742230892</v>
      </c>
      <c r="U39" s="23">
        <f t="shared" si="3"/>
        <v>0.20407377742230892</v>
      </c>
      <c r="V39" s="23">
        <f t="shared" si="4"/>
        <v>0.20407377742230892</v>
      </c>
    </row>
    <row r="40" spans="1:22" ht="15" customHeight="1" x14ac:dyDescent="0.35">
      <c r="A40" t="s">
        <v>22</v>
      </c>
      <c r="B40">
        <v>39</v>
      </c>
      <c r="C40" t="s">
        <v>92</v>
      </c>
      <c r="D40" t="s">
        <v>61</v>
      </c>
      <c r="E40" t="s">
        <v>25</v>
      </c>
      <c r="F40" t="s">
        <v>62</v>
      </c>
      <c r="G40">
        <v>4</v>
      </c>
      <c r="H40">
        <v>0</v>
      </c>
      <c r="I40">
        <v>0</v>
      </c>
      <c r="J40">
        <v>0</v>
      </c>
      <c r="K40">
        <v>0</v>
      </c>
      <c r="L40">
        <v>0.196211</v>
      </c>
      <c r="M40" t="s">
        <v>27</v>
      </c>
      <c r="N40" t="s">
        <v>63</v>
      </c>
      <c r="O40" t="s">
        <v>64</v>
      </c>
      <c r="P40" t="s">
        <v>65</v>
      </c>
      <c r="Q40" t="s">
        <v>66</v>
      </c>
      <c r="R40" s="22">
        <f t="shared" si="0"/>
        <v>46288.81450004386</v>
      </c>
      <c r="S40" s="22">
        <f t="shared" si="1"/>
        <v>46288.814502314817</v>
      </c>
      <c r="T40" s="23">
        <f t="shared" si="2"/>
        <v>0</v>
      </c>
      <c r="U40" s="23">
        <f t="shared" si="3"/>
        <v>0</v>
      </c>
      <c r="V40" s="23">
        <f t="shared" si="4"/>
        <v>0</v>
      </c>
    </row>
    <row r="41" spans="1:22" ht="15" customHeight="1" x14ac:dyDescent="0.35">
      <c r="A41" t="s">
        <v>22</v>
      </c>
      <c r="B41">
        <v>40</v>
      </c>
      <c r="C41" t="s">
        <v>92</v>
      </c>
      <c r="D41" t="s">
        <v>61</v>
      </c>
      <c r="E41" t="s">
        <v>25</v>
      </c>
      <c r="F41" t="s">
        <v>62</v>
      </c>
      <c r="G41">
        <v>4</v>
      </c>
      <c r="H41">
        <v>0</v>
      </c>
      <c r="I41">
        <v>0</v>
      </c>
      <c r="J41">
        <v>0</v>
      </c>
      <c r="K41">
        <v>0</v>
      </c>
      <c r="L41">
        <v>0.21038100000000001</v>
      </c>
      <c r="M41" t="s">
        <v>27</v>
      </c>
      <c r="N41" t="s">
        <v>63</v>
      </c>
      <c r="O41" t="s">
        <v>64</v>
      </c>
      <c r="P41" t="s">
        <v>65</v>
      </c>
      <c r="Q41" t="s">
        <v>66</v>
      </c>
      <c r="R41" s="22">
        <f t="shared" si="0"/>
        <v>46288.814499879853</v>
      </c>
      <c r="S41" s="22">
        <f t="shared" si="1"/>
        <v>46288.814502314817</v>
      </c>
      <c r="T41" s="23">
        <f t="shared" si="2"/>
        <v>0.21038095001131296</v>
      </c>
      <c r="U41" s="23">
        <f t="shared" si="3"/>
        <v>0.21038095001131296</v>
      </c>
      <c r="V41" s="23">
        <f t="shared" si="4"/>
        <v>0.21038095001131296</v>
      </c>
    </row>
    <row r="42" spans="1:22" ht="15" customHeight="1" x14ac:dyDescent="0.35">
      <c r="A42" t="s">
        <v>22</v>
      </c>
      <c r="B42">
        <v>41</v>
      </c>
      <c r="C42" t="s">
        <v>93</v>
      </c>
      <c r="D42" t="s">
        <v>61</v>
      </c>
      <c r="E42" t="s">
        <v>25</v>
      </c>
      <c r="F42" t="s">
        <v>62</v>
      </c>
      <c r="G42">
        <v>6</v>
      </c>
      <c r="H42">
        <v>0</v>
      </c>
      <c r="I42">
        <v>0</v>
      </c>
      <c r="J42">
        <v>0</v>
      </c>
      <c r="K42">
        <v>0</v>
      </c>
      <c r="L42">
        <v>0.24277399999999999</v>
      </c>
      <c r="M42" t="s">
        <v>27</v>
      </c>
      <c r="N42" t="s">
        <v>63</v>
      </c>
      <c r="O42" t="s">
        <v>64</v>
      </c>
      <c r="P42" t="s">
        <v>65</v>
      </c>
      <c r="Q42" t="s">
        <v>66</v>
      </c>
      <c r="R42" s="22">
        <f t="shared" si="0"/>
        <v>46288.814511078999</v>
      </c>
      <c r="S42" s="22">
        <f t="shared" si="1"/>
        <v>46288.814513888887</v>
      </c>
      <c r="T42" s="23">
        <f t="shared" si="2"/>
        <v>0.24277428165078163</v>
      </c>
      <c r="U42" s="23">
        <f t="shared" si="3"/>
        <v>0.24277428165078163</v>
      </c>
      <c r="V42" s="23">
        <f t="shared" si="4"/>
        <v>0.24277428165078163</v>
      </c>
    </row>
    <row r="43" spans="1:22" ht="15" customHeight="1" x14ac:dyDescent="0.35">
      <c r="A43" t="s">
        <v>22</v>
      </c>
      <c r="B43">
        <v>42</v>
      </c>
      <c r="C43" t="s">
        <v>93</v>
      </c>
      <c r="D43" t="s">
        <v>61</v>
      </c>
      <c r="E43" t="s">
        <v>25</v>
      </c>
      <c r="F43" t="s">
        <v>62</v>
      </c>
      <c r="G43">
        <v>4</v>
      </c>
      <c r="H43">
        <v>0</v>
      </c>
      <c r="I43">
        <v>0</v>
      </c>
      <c r="J43">
        <v>0</v>
      </c>
      <c r="K43">
        <v>0</v>
      </c>
      <c r="L43">
        <v>0.19970499999999999</v>
      </c>
      <c r="M43" t="s">
        <v>27</v>
      </c>
      <c r="N43" t="s">
        <v>63</v>
      </c>
      <c r="O43" t="s">
        <v>64</v>
      </c>
      <c r="P43" t="s">
        <v>65</v>
      </c>
      <c r="Q43" t="s">
        <v>66</v>
      </c>
      <c r="R43" s="22">
        <f t="shared" si="0"/>
        <v>46288.81451157749</v>
      </c>
      <c r="S43" s="22">
        <f t="shared" si="1"/>
        <v>46288.814513888887</v>
      </c>
      <c r="T43" s="23">
        <f t="shared" si="2"/>
        <v>0</v>
      </c>
      <c r="U43" s="23">
        <f t="shared" si="3"/>
        <v>0</v>
      </c>
      <c r="V43" s="23">
        <f t="shared" si="4"/>
        <v>0</v>
      </c>
    </row>
    <row r="44" spans="1:22" ht="15" customHeight="1" x14ac:dyDescent="0.35">
      <c r="A44" t="s">
        <v>22</v>
      </c>
      <c r="B44">
        <v>43</v>
      </c>
      <c r="C44" t="s">
        <v>94</v>
      </c>
      <c r="D44" t="s">
        <v>61</v>
      </c>
      <c r="E44" t="s">
        <v>25</v>
      </c>
      <c r="F44" t="s">
        <v>62</v>
      </c>
      <c r="G44">
        <v>19</v>
      </c>
      <c r="H44">
        <v>0</v>
      </c>
      <c r="I44">
        <v>0</v>
      </c>
      <c r="J44">
        <v>0</v>
      </c>
      <c r="K44">
        <v>0</v>
      </c>
      <c r="L44">
        <v>0.21998100000000001</v>
      </c>
      <c r="M44" t="s">
        <v>27</v>
      </c>
      <c r="N44" t="s">
        <v>63</v>
      </c>
      <c r="O44" t="s">
        <v>64</v>
      </c>
      <c r="P44" t="s">
        <v>65</v>
      </c>
      <c r="Q44" t="s">
        <v>66</v>
      </c>
      <c r="R44" s="22">
        <f t="shared" si="0"/>
        <v>46288.814522916888</v>
      </c>
      <c r="S44" s="22">
        <f t="shared" si="1"/>
        <v>46288.814525462964</v>
      </c>
      <c r="T44" s="23">
        <f t="shared" si="2"/>
        <v>0.21998095326125622</v>
      </c>
      <c r="U44" s="23">
        <f t="shared" si="3"/>
        <v>0.21998095326125622</v>
      </c>
      <c r="V44" s="23">
        <f t="shared" si="4"/>
        <v>0.21998095326125622</v>
      </c>
    </row>
    <row r="45" spans="1:22" ht="15" customHeight="1" x14ac:dyDescent="0.35">
      <c r="A45" t="s">
        <v>22</v>
      </c>
      <c r="B45">
        <v>44</v>
      </c>
      <c r="C45" t="s">
        <v>95</v>
      </c>
      <c r="D45" t="s">
        <v>82</v>
      </c>
      <c r="E45" t="s">
        <v>25</v>
      </c>
      <c r="F45" t="s">
        <v>62</v>
      </c>
      <c r="G45">
        <v>145</v>
      </c>
      <c r="H45">
        <v>0</v>
      </c>
      <c r="I45">
        <v>0</v>
      </c>
      <c r="J45">
        <v>0</v>
      </c>
      <c r="K45">
        <v>3.0000000000000001E-6</v>
      </c>
      <c r="L45">
        <v>0.56835899999999995</v>
      </c>
      <c r="M45" t="s">
        <v>27</v>
      </c>
      <c r="N45" t="s">
        <v>63</v>
      </c>
      <c r="O45" t="s">
        <v>83</v>
      </c>
      <c r="P45" t="s">
        <v>84</v>
      </c>
      <c r="Q45" t="s">
        <v>85</v>
      </c>
      <c r="R45" s="22">
        <f t="shared" si="0"/>
        <v>46288.81491240325</v>
      </c>
      <c r="S45" s="22">
        <f t="shared" si="1"/>
        <v>46288.814918981479</v>
      </c>
      <c r="T45" s="23">
        <f t="shared" si="2"/>
        <v>0.56835904251784086</v>
      </c>
      <c r="U45" s="23">
        <f t="shared" si="3"/>
        <v>0.56835904251784086</v>
      </c>
      <c r="V45" s="23">
        <f t="shared" si="4"/>
        <v>0.56835904251784086</v>
      </c>
    </row>
    <row r="46" spans="1:22" ht="15" customHeight="1" x14ac:dyDescent="0.35">
      <c r="A46" t="s">
        <v>22</v>
      </c>
      <c r="B46">
        <v>45</v>
      </c>
      <c r="C46" t="s">
        <v>96</v>
      </c>
      <c r="D46" t="s">
        <v>82</v>
      </c>
      <c r="E46" t="s">
        <v>25</v>
      </c>
      <c r="F46" t="s">
        <v>26</v>
      </c>
      <c r="G46">
        <v>5137</v>
      </c>
      <c r="H46">
        <v>0</v>
      </c>
      <c r="I46">
        <v>502</v>
      </c>
      <c r="J46">
        <v>0</v>
      </c>
      <c r="K46">
        <v>1.7861999999999999E-2</v>
      </c>
      <c r="L46">
        <v>7.5583939999999998</v>
      </c>
      <c r="M46" t="s">
        <v>27</v>
      </c>
      <c r="N46" t="s">
        <v>28</v>
      </c>
      <c r="O46" t="s">
        <v>83</v>
      </c>
      <c r="P46" t="s">
        <v>84</v>
      </c>
      <c r="Q46" t="s">
        <v>85</v>
      </c>
      <c r="R46" s="22">
        <f t="shared" si="0"/>
        <v>46288.814935666735</v>
      </c>
      <c r="S46" s="22">
        <f t="shared" si="1"/>
        <v>46288.815023148149</v>
      </c>
      <c r="T46" s="23">
        <f t="shared" si="2"/>
        <v>7.5583941768854856</v>
      </c>
      <c r="U46" s="23">
        <f t="shared" si="3"/>
        <v>7.5583941768854856</v>
      </c>
      <c r="V46" s="23">
        <f t="shared" si="4"/>
        <v>7.5583941768854856</v>
      </c>
    </row>
    <row r="47" spans="1:22" ht="15" customHeight="1" x14ac:dyDescent="0.35">
      <c r="A47" t="s">
        <v>22</v>
      </c>
      <c r="B47">
        <v>46</v>
      </c>
      <c r="C47" t="s">
        <v>96</v>
      </c>
      <c r="D47" t="s">
        <v>61</v>
      </c>
      <c r="E47" t="s">
        <v>25</v>
      </c>
      <c r="F47" t="s">
        <v>62</v>
      </c>
      <c r="G47">
        <v>3</v>
      </c>
      <c r="H47">
        <v>0</v>
      </c>
      <c r="I47">
        <v>0</v>
      </c>
      <c r="J47">
        <v>0</v>
      </c>
      <c r="K47">
        <v>0</v>
      </c>
      <c r="L47">
        <v>0.486321</v>
      </c>
      <c r="M47" t="s">
        <v>27</v>
      </c>
      <c r="N47" t="s">
        <v>63</v>
      </c>
      <c r="O47" t="s">
        <v>64</v>
      </c>
      <c r="P47" t="s">
        <v>65</v>
      </c>
      <c r="Q47" t="s">
        <v>66</v>
      </c>
      <c r="R47" s="22">
        <f t="shared" si="0"/>
        <v>46288.815017519431</v>
      </c>
      <c r="S47" s="22">
        <f t="shared" si="1"/>
        <v>46288.815023148149</v>
      </c>
      <c r="T47" s="23">
        <f t="shared" si="2"/>
        <v>0.4863211652263999</v>
      </c>
      <c r="U47" s="23">
        <f t="shared" si="3"/>
        <v>0.4863211652263999</v>
      </c>
      <c r="V47" s="23">
        <f t="shared" si="4"/>
        <v>0</v>
      </c>
    </row>
    <row r="48" spans="1:22" ht="15" customHeight="1" x14ac:dyDescent="0.35">
      <c r="A48" t="s">
        <v>22</v>
      </c>
      <c r="B48">
        <v>47</v>
      </c>
      <c r="C48" t="s">
        <v>97</v>
      </c>
      <c r="D48" t="s">
        <v>61</v>
      </c>
      <c r="E48" t="s">
        <v>25</v>
      </c>
      <c r="F48" t="s">
        <v>62</v>
      </c>
      <c r="G48">
        <v>2</v>
      </c>
      <c r="H48">
        <v>0</v>
      </c>
      <c r="I48">
        <v>0</v>
      </c>
      <c r="J48">
        <v>0</v>
      </c>
      <c r="K48">
        <v>0</v>
      </c>
      <c r="L48">
        <v>0.18725900000000001</v>
      </c>
      <c r="M48" t="s">
        <v>27</v>
      </c>
      <c r="N48" t="s">
        <v>63</v>
      </c>
      <c r="O48" t="s">
        <v>64</v>
      </c>
      <c r="P48" t="s">
        <v>65</v>
      </c>
      <c r="Q48" t="s">
        <v>66</v>
      </c>
      <c r="R48" s="22">
        <f t="shared" si="0"/>
        <v>46288.815032554878</v>
      </c>
      <c r="S48" s="22">
        <f t="shared" si="1"/>
        <v>46288.815034722225</v>
      </c>
      <c r="T48" s="23">
        <f t="shared" si="2"/>
        <v>0</v>
      </c>
      <c r="U48" s="23">
        <f t="shared" si="3"/>
        <v>0</v>
      </c>
      <c r="V48" s="23">
        <f t="shared" si="4"/>
        <v>0</v>
      </c>
    </row>
    <row r="49" spans="1:22" ht="15" customHeight="1" x14ac:dyDescent="0.35">
      <c r="A49" t="s">
        <v>22</v>
      </c>
      <c r="B49">
        <v>48</v>
      </c>
      <c r="C49" t="s">
        <v>97</v>
      </c>
      <c r="D49" t="s">
        <v>61</v>
      </c>
      <c r="E49" t="s">
        <v>25</v>
      </c>
      <c r="F49" t="s">
        <v>62</v>
      </c>
      <c r="G49">
        <v>5</v>
      </c>
      <c r="H49">
        <v>0</v>
      </c>
      <c r="I49">
        <v>0</v>
      </c>
      <c r="J49">
        <v>0</v>
      </c>
      <c r="K49">
        <v>0</v>
      </c>
      <c r="L49">
        <v>0.23636799999999999</v>
      </c>
      <c r="M49" t="s">
        <v>27</v>
      </c>
      <c r="N49" t="s">
        <v>63</v>
      </c>
      <c r="O49" t="s">
        <v>64</v>
      </c>
      <c r="P49" t="s">
        <v>65</v>
      </c>
      <c r="Q49" t="s">
        <v>66</v>
      </c>
      <c r="R49" s="22">
        <f t="shared" si="0"/>
        <v>46288.815031986487</v>
      </c>
      <c r="S49" s="22">
        <f t="shared" si="1"/>
        <v>46288.815034722225</v>
      </c>
      <c r="T49" s="23">
        <f t="shared" si="2"/>
        <v>0.23636778350919485</v>
      </c>
      <c r="U49" s="23">
        <f t="shared" si="3"/>
        <v>0.23636778350919485</v>
      </c>
      <c r="V49" s="23">
        <f t="shared" si="4"/>
        <v>0.23636778350919485</v>
      </c>
    </row>
    <row r="50" spans="1:22" ht="15" customHeight="1" x14ac:dyDescent="0.35">
      <c r="A50" t="s">
        <v>22</v>
      </c>
      <c r="B50">
        <v>49</v>
      </c>
      <c r="C50" t="s">
        <v>98</v>
      </c>
      <c r="D50" t="s">
        <v>61</v>
      </c>
      <c r="E50" t="s">
        <v>25</v>
      </c>
      <c r="F50" t="s">
        <v>62</v>
      </c>
      <c r="G50">
        <v>4</v>
      </c>
      <c r="H50">
        <v>0</v>
      </c>
      <c r="I50">
        <v>0</v>
      </c>
      <c r="J50">
        <v>0</v>
      </c>
      <c r="K50">
        <v>0</v>
      </c>
      <c r="L50">
        <v>0.217386</v>
      </c>
      <c r="M50" t="s">
        <v>27</v>
      </c>
      <c r="N50" t="s">
        <v>63</v>
      </c>
      <c r="O50" t="s">
        <v>64</v>
      </c>
      <c r="P50" t="s">
        <v>65</v>
      </c>
      <c r="Q50" t="s">
        <v>66</v>
      </c>
      <c r="R50" s="22">
        <f t="shared" si="0"/>
        <v>46288.815043780254</v>
      </c>
      <c r="S50" s="22">
        <f t="shared" si="1"/>
        <v>46288.815046296295</v>
      </c>
      <c r="T50" s="23">
        <f t="shared" si="2"/>
        <v>0.21738591603934765</v>
      </c>
      <c r="U50" s="23">
        <f t="shared" si="3"/>
        <v>0.21738591603934765</v>
      </c>
      <c r="V50" s="23">
        <f t="shared" si="4"/>
        <v>0.21738591603934765</v>
      </c>
    </row>
    <row r="51" spans="1:22" ht="15" customHeight="1" x14ac:dyDescent="0.35">
      <c r="A51" t="s">
        <v>22</v>
      </c>
      <c r="B51">
        <v>50</v>
      </c>
      <c r="C51" t="s">
        <v>98</v>
      </c>
      <c r="D51" t="s">
        <v>61</v>
      </c>
      <c r="E51" t="s">
        <v>25</v>
      </c>
      <c r="F51" t="s">
        <v>62</v>
      </c>
      <c r="G51">
        <v>4</v>
      </c>
      <c r="H51">
        <v>0</v>
      </c>
      <c r="I51">
        <v>0</v>
      </c>
      <c r="J51">
        <v>0</v>
      </c>
      <c r="K51">
        <v>0</v>
      </c>
      <c r="L51">
        <v>0.190548</v>
      </c>
      <c r="M51" t="s">
        <v>27</v>
      </c>
      <c r="N51" t="s">
        <v>63</v>
      </c>
      <c r="O51" t="s">
        <v>64</v>
      </c>
      <c r="P51" t="s">
        <v>65</v>
      </c>
      <c r="Q51" t="s">
        <v>66</v>
      </c>
      <c r="R51" s="22">
        <f t="shared" si="0"/>
        <v>46288.815044090879</v>
      </c>
      <c r="S51" s="22">
        <f t="shared" si="1"/>
        <v>46288.815046296295</v>
      </c>
      <c r="T51" s="23">
        <f t="shared" si="2"/>
        <v>0</v>
      </c>
      <c r="U51" s="23">
        <f t="shared" si="3"/>
        <v>0</v>
      </c>
      <c r="V51" s="23">
        <f t="shared" si="4"/>
        <v>0</v>
      </c>
    </row>
    <row r="52" spans="1:22" ht="15" customHeight="1" x14ac:dyDescent="0.35">
      <c r="A52" t="s">
        <v>22</v>
      </c>
      <c r="B52">
        <v>51</v>
      </c>
      <c r="C52" t="s">
        <v>99</v>
      </c>
      <c r="D52" t="s">
        <v>61</v>
      </c>
      <c r="E52" t="s">
        <v>25</v>
      </c>
      <c r="F52" t="s">
        <v>62</v>
      </c>
      <c r="G52">
        <v>16</v>
      </c>
      <c r="H52">
        <v>0</v>
      </c>
      <c r="I52">
        <v>0</v>
      </c>
      <c r="J52">
        <v>0</v>
      </c>
      <c r="K52">
        <v>0</v>
      </c>
      <c r="L52">
        <v>0.25220100000000001</v>
      </c>
      <c r="M52" t="s">
        <v>27</v>
      </c>
      <c r="N52" t="s">
        <v>63</v>
      </c>
      <c r="O52" t="s">
        <v>64</v>
      </c>
      <c r="P52" t="s">
        <v>65</v>
      </c>
      <c r="Q52" t="s">
        <v>66</v>
      </c>
      <c r="R52" s="22">
        <f t="shared" si="0"/>
        <v>46288.815054951381</v>
      </c>
      <c r="S52" s="22">
        <f t="shared" si="1"/>
        <v>46288.815057870372</v>
      </c>
      <c r="T52" s="23">
        <f t="shared" si="2"/>
        <v>0.25220077950507402</v>
      </c>
      <c r="U52" s="23">
        <f t="shared" si="3"/>
        <v>0.25220077950507402</v>
      </c>
      <c r="V52" s="23">
        <f t="shared" si="4"/>
        <v>0.25220077950507402</v>
      </c>
    </row>
    <row r="53" spans="1:22" ht="15" customHeight="1" x14ac:dyDescent="0.35">
      <c r="A53" t="s">
        <v>22</v>
      </c>
      <c r="B53">
        <v>52</v>
      </c>
      <c r="C53" t="s">
        <v>100</v>
      </c>
      <c r="D53" t="s">
        <v>82</v>
      </c>
      <c r="E53" t="s">
        <v>25</v>
      </c>
      <c r="F53" t="s">
        <v>62</v>
      </c>
      <c r="G53">
        <v>142</v>
      </c>
      <c r="H53">
        <v>0</v>
      </c>
      <c r="I53">
        <v>0</v>
      </c>
      <c r="J53">
        <v>0</v>
      </c>
      <c r="K53">
        <v>3.0000000000000001E-6</v>
      </c>
      <c r="L53">
        <v>0.57363299999999995</v>
      </c>
      <c r="M53" t="s">
        <v>27</v>
      </c>
      <c r="N53" t="s">
        <v>63</v>
      </c>
      <c r="O53" t="s">
        <v>83</v>
      </c>
      <c r="P53" t="s">
        <v>84</v>
      </c>
      <c r="Q53" t="s">
        <v>85</v>
      </c>
      <c r="R53" s="22">
        <f t="shared" si="0"/>
        <v>46288.81543317555</v>
      </c>
      <c r="S53" s="22">
        <f t="shared" si="1"/>
        <v>46288.815439814818</v>
      </c>
      <c r="T53" s="23">
        <f t="shared" si="2"/>
        <v>0.57363272644579411</v>
      </c>
      <c r="U53" s="23">
        <f t="shared" si="3"/>
        <v>0.57363272644579411</v>
      </c>
      <c r="V53" s="23">
        <f t="shared" si="4"/>
        <v>0.57363272644579411</v>
      </c>
    </row>
    <row r="54" spans="1:22" ht="15" customHeight="1" x14ac:dyDescent="0.35">
      <c r="A54" t="s">
        <v>22</v>
      </c>
      <c r="B54">
        <v>53</v>
      </c>
      <c r="C54" t="s">
        <v>101</v>
      </c>
      <c r="D54" t="s">
        <v>82</v>
      </c>
      <c r="E54" t="s">
        <v>25</v>
      </c>
      <c r="F54" t="s">
        <v>26</v>
      </c>
      <c r="G54">
        <v>4574</v>
      </c>
      <c r="H54">
        <v>0</v>
      </c>
      <c r="I54">
        <v>388</v>
      </c>
      <c r="J54">
        <v>0</v>
      </c>
      <c r="K54">
        <v>1.5315E-2</v>
      </c>
      <c r="L54">
        <v>8.1788959999999999</v>
      </c>
      <c r="M54" t="s">
        <v>27</v>
      </c>
      <c r="N54" t="s">
        <v>28</v>
      </c>
      <c r="O54" t="s">
        <v>83</v>
      </c>
      <c r="P54" t="s">
        <v>84</v>
      </c>
      <c r="Q54" t="s">
        <v>85</v>
      </c>
      <c r="R54" s="22">
        <f t="shared" si="0"/>
        <v>46288.815449318332</v>
      </c>
      <c r="S54" s="22">
        <f t="shared" si="1"/>
        <v>46288.81554398148</v>
      </c>
      <c r="T54" s="23">
        <f t="shared" si="2"/>
        <v>8.1788959912955761</v>
      </c>
      <c r="U54" s="23">
        <f t="shared" si="3"/>
        <v>8.1788959912955761</v>
      </c>
      <c r="V54" s="23">
        <f t="shared" si="4"/>
        <v>8.1788959912955761</v>
      </c>
    </row>
    <row r="55" spans="1:22" ht="15" customHeight="1" x14ac:dyDescent="0.35">
      <c r="A55" t="s">
        <v>22</v>
      </c>
      <c r="B55">
        <v>54</v>
      </c>
      <c r="C55" t="s">
        <v>101</v>
      </c>
      <c r="D55" t="s">
        <v>61</v>
      </c>
      <c r="E55" t="s">
        <v>25</v>
      </c>
      <c r="F55" t="s">
        <v>62</v>
      </c>
      <c r="G55">
        <v>6</v>
      </c>
      <c r="H55">
        <v>0</v>
      </c>
      <c r="I55">
        <v>0</v>
      </c>
      <c r="J55">
        <v>0</v>
      </c>
      <c r="K55">
        <v>0</v>
      </c>
      <c r="L55">
        <v>0.46223799999999998</v>
      </c>
      <c r="M55" t="s">
        <v>27</v>
      </c>
      <c r="N55" t="s">
        <v>63</v>
      </c>
      <c r="O55" t="s">
        <v>64</v>
      </c>
      <c r="P55" t="s">
        <v>65</v>
      </c>
      <c r="Q55" t="s">
        <v>66</v>
      </c>
      <c r="R55" s="22">
        <f t="shared" si="0"/>
        <v>46288.815538631505</v>
      </c>
      <c r="S55" s="22">
        <f t="shared" si="1"/>
        <v>46288.81554398148</v>
      </c>
      <c r="T55" s="23">
        <f t="shared" si="2"/>
        <v>0.46223786193877459</v>
      </c>
      <c r="U55" s="23">
        <f t="shared" si="3"/>
        <v>0.46223786193877459</v>
      </c>
      <c r="V55" s="23">
        <f t="shared" si="4"/>
        <v>0</v>
      </c>
    </row>
    <row r="56" spans="1:22" ht="15" customHeight="1" x14ac:dyDescent="0.35">
      <c r="A56" t="s">
        <v>22</v>
      </c>
      <c r="B56">
        <v>55</v>
      </c>
      <c r="C56" t="s">
        <v>102</v>
      </c>
      <c r="D56" t="s">
        <v>61</v>
      </c>
      <c r="E56" t="s">
        <v>25</v>
      </c>
      <c r="F56" t="s">
        <v>62</v>
      </c>
      <c r="G56">
        <v>4</v>
      </c>
      <c r="H56">
        <v>0</v>
      </c>
      <c r="I56">
        <v>0</v>
      </c>
      <c r="J56">
        <v>0</v>
      </c>
      <c r="K56">
        <v>0</v>
      </c>
      <c r="L56">
        <v>0.276393</v>
      </c>
      <c r="M56" t="s">
        <v>27</v>
      </c>
      <c r="N56" t="s">
        <v>63</v>
      </c>
      <c r="O56" t="s">
        <v>64</v>
      </c>
      <c r="P56" t="s">
        <v>65</v>
      </c>
      <c r="Q56" t="s">
        <v>66</v>
      </c>
      <c r="R56" s="22">
        <f t="shared" si="0"/>
        <v>46288.815552356566</v>
      </c>
      <c r="S56" s="22">
        <f t="shared" si="1"/>
        <v>46288.815555555557</v>
      </c>
      <c r="T56" s="23">
        <f t="shared" si="2"/>
        <v>0.27639283798635006</v>
      </c>
      <c r="U56" s="23">
        <f t="shared" si="3"/>
        <v>0.27639283798635006</v>
      </c>
      <c r="V56" s="23">
        <f t="shared" si="4"/>
        <v>0.27639283798635006</v>
      </c>
    </row>
    <row r="57" spans="1:22" ht="15" customHeight="1" x14ac:dyDescent="0.35">
      <c r="A57" t="s">
        <v>22</v>
      </c>
      <c r="B57">
        <v>56</v>
      </c>
      <c r="C57" t="s">
        <v>102</v>
      </c>
      <c r="D57" t="s">
        <v>61</v>
      </c>
      <c r="E57" t="s">
        <v>25</v>
      </c>
      <c r="F57" t="s">
        <v>62</v>
      </c>
      <c r="G57">
        <v>4</v>
      </c>
      <c r="H57">
        <v>0</v>
      </c>
      <c r="I57">
        <v>0</v>
      </c>
      <c r="J57">
        <v>0</v>
      </c>
      <c r="K57">
        <v>0</v>
      </c>
      <c r="L57">
        <v>0.201431</v>
      </c>
      <c r="M57" t="s">
        <v>27</v>
      </c>
      <c r="N57" t="s">
        <v>63</v>
      </c>
      <c r="O57" t="s">
        <v>64</v>
      </c>
      <c r="P57" t="s">
        <v>65</v>
      </c>
      <c r="Q57" t="s">
        <v>66</v>
      </c>
      <c r="R57" s="22">
        <f t="shared" si="0"/>
        <v>46288.81555322418</v>
      </c>
      <c r="S57" s="22">
        <f t="shared" si="1"/>
        <v>46288.815555555557</v>
      </c>
      <c r="T57" s="23">
        <f t="shared" si="2"/>
        <v>0</v>
      </c>
      <c r="U57" s="23">
        <f t="shared" si="3"/>
        <v>0</v>
      </c>
      <c r="V57" s="23">
        <f t="shared" si="4"/>
        <v>0</v>
      </c>
    </row>
    <row r="58" spans="1:22" ht="15" customHeight="1" x14ac:dyDescent="0.35">
      <c r="A58" t="s">
        <v>22</v>
      </c>
      <c r="B58">
        <v>57</v>
      </c>
      <c r="C58" t="s">
        <v>103</v>
      </c>
      <c r="D58" t="s">
        <v>61</v>
      </c>
      <c r="E58" t="s">
        <v>25</v>
      </c>
      <c r="F58" t="s">
        <v>62</v>
      </c>
      <c r="G58">
        <v>5</v>
      </c>
      <c r="H58">
        <v>0</v>
      </c>
      <c r="I58">
        <v>0</v>
      </c>
      <c r="J58">
        <v>0</v>
      </c>
      <c r="K58">
        <v>0</v>
      </c>
      <c r="L58">
        <v>0.213259</v>
      </c>
      <c r="M58" t="s">
        <v>27</v>
      </c>
      <c r="N58" t="s">
        <v>63</v>
      </c>
      <c r="O58" t="s">
        <v>64</v>
      </c>
      <c r="P58" t="s">
        <v>65</v>
      </c>
      <c r="Q58" t="s">
        <v>66</v>
      </c>
      <c r="R58" s="22">
        <f t="shared" si="0"/>
        <v>46288.815564661352</v>
      </c>
      <c r="S58" s="22">
        <f t="shared" si="1"/>
        <v>46288.815567129626</v>
      </c>
      <c r="T58" s="23">
        <f t="shared" si="2"/>
        <v>0</v>
      </c>
      <c r="U58" s="23">
        <f t="shared" si="3"/>
        <v>0</v>
      </c>
      <c r="V58" s="23">
        <f t="shared" si="4"/>
        <v>0</v>
      </c>
    </row>
    <row r="59" spans="1:22" ht="15" customHeight="1" x14ac:dyDescent="0.35">
      <c r="A59" t="s">
        <v>22</v>
      </c>
      <c r="B59">
        <v>58</v>
      </c>
      <c r="C59" t="s">
        <v>103</v>
      </c>
      <c r="D59" t="s">
        <v>61</v>
      </c>
      <c r="E59" t="s">
        <v>25</v>
      </c>
      <c r="F59" t="s">
        <v>62</v>
      </c>
      <c r="G59">
        <v>5</v>
      </c>
      <c r="H59">
        <v>0</v>
      </c>
      <c r="I59">
        <v>0</v>
      </c>
      <c r="J59">
        <v>0</v>
      </c>
      <c r="K59">
        <v>0</v>
      </c>
      <c r="L59">
        <v>0.26674399999999998</v>
      </c>
      <c r="M59" t="s">
        <v>27</v>
      </c>
      <c r="N59" t="s">
        <v>63</v>
      </c>
      <c r="O59" t="s">
        <v>64</v>
      </c>
      <c r="P59" t="s">
        <v>65</v>
      </c>
      <c r="Q59" t="s">
        <v>66</v>
      </c>
      <c r="R59" s="22">
        <f t="shared" si="0"/>
        <v>46288.815564042314</v>
      </c>
      <c r="S59" s="22">
        <f t="shared" si="1"/>
        <v>46288.815567129626</v>
      </c>
      <c r="T59" s="23">
        <f t="shared" si="2"/>
        <v>0.2667438006028533</v>
      </c>
      <c r="U59" s="23">
        <f t="shared" si="3"/>
        <v>0.2667438006028533</v>
      </c>
      <c r="V59" s="23">
        <f t="shared" si="4"/>
        <v>0.2667438006028533</v>
      </c>
    </row>
    <row r="60" spans="1:22" ht="15" customHeight="1" x14ac:dyDescent="0.35">
      <c r="A60" t="s">
        <v>22</v>
      </c>
      <c r="B60">
        <v>59</v>
      </c>
      <c r="C60" t="s">
        <v>104</v>
      </c>
      <c r="D60" t="s">
        <v>61</v>
      </c>
      <c r="E60" t="s">
        <v>25</v>
      </c>
      <c r="F60" t="s">
        <v>62</v>
      </c>
      <c r="G60">
        <v>14</v>
      </c>
      <c r="H60">
        <v>0</v>
      </c>
      <c r="I60">
        <v>0</v>
      </c>
      <c r="J60">
        <v>0</v>
      </c>
      <c r="K60">
        <v>0</v>
      </c>
      <c r="L60">
        <v>0.23636799999999999</v>
      </c>
      <c r="M60" t="s">
        <v>27</v>
      </c>
      <c r="N60" t="s">
        <v>63</v>
      </c>
      <c r="O60" t="s">
        <v>64</v>
      </c>
      <c r="P60" t="s">
        <v>65</v>
      </c>
      <c r="Q60" t="s">
        <v>66</v>
      </c>
      <c r="R60" s="22">
        <f t="shared" si="0"/>
        <v>46288.815575967965</v>
      </c>
      <c r="S60" s="22">
        <f t="shared" si="1"/>
        <v>46288.815578703703</v>
      </c>
      <c r="T60" s="23">
        <f t="shared" si="2"/>
        <v>0.23636778350919485</v>
      </c>
      <c r="U60" s="23">
        <f t="shared" si="3"/>
        <v>0.23636778350919485</v>
      </c>
      <c r="V60" s="23">
        <f t="shared" si="4"/>
        <v>0.23636778350919485</v>
      </c>
    </row>
    <row r="61" spans="1:22" ht="15" customHeight="1" x14ac:dyDescent="0.35">
      <c r="A61" t="s">
        <v>22</v>
      </c>
      <c r="B61">
        <v>60</v>
      </c>
      <c r="C61" t="s">
        <v>105</v>
      </c>
      <c r="D61" t="s">
        <v>61</v>
      </c>
      <c r="E61" t="s">
        <v>25</v>
      </c>
      <c r="F61" t="s">
        <v>62</v>
      </c>
      <c r="G61">
        <v>4</v>
      </c>
      <c r="H61">
        <v>0</v>
      </c>
      <c r="I61">
        <v>0</v>
      </c>
      <c r="J61">
        <v>0</v>
      </c>
      <c r="K61">
        <v>0</v>
      </c>
      <c r="L61">
        <v>0.257492</v>
      </c>
      <c r="M61" t="s">
        <v>27</v>
      </c>
      <c r="N61" t="s">
        <v>63</v>
      </c>
      <c r="O61" t="s">
        <v>64</v>
      </c>
      <c r="P61" t="s">
        <v>65</v>
      </c>
      <c r="Q61" t="s">
        <v>66</v>
      </c>
      <c r="R61" s="22">
        <f t="shared" si="0"/>
        <v>46288.815610445694</v>
      </c>
      <c r="S61" s="22">
        <f t="shared" si="1"/>
        <v>46288.815613425926</v>
      </c>
      <c r="T61" s="23">
        <f t="shared" si="2"/>
        <v>0.2574920654296875</v>
      </c>
      <c r="U61" s="23">
        <f t="shared" si="3"/>
        <v>0.2574920654296875</v>
      </c>
      <c r="V61" s="23">
        <f t="shared" si="4"/>
        <v>0.2574920654296875</v>
      </c>
    </row>
    <row r="62" spans="1:22" ht="15" customHeight="1" x14ac:dyDescent="0.35">
      <c r="A62" t="s">
        <v>22</v>
      </c>
      <c r="B62">
        <v>61</v>
      </c>
      <c r="C62" t="s">
        <v>105</v>
      </c>
      <c r="D62" t="s">
        <v>61</v>
      </c>
      <c r="E62" t="s">
        <v>25</v>
      </c>
      <c r="F62" t="s">
        <v>62</v>
      </c>
      <c r="G62">
        <v>5</v>
      </c>
      <c r="H62">
        <v>0</v>
      </c>
      <c r="I62">
        <v>0</v>
      </c>
      <c r="J62">
        <v>0</v>
      </c>
      <c r="K62">
        <v>0</v>
      </c>
      <c r="L62">
        <v>0.221299</v>
      </c>
      <c r="M62" t="s">
        <v>27</v>
      </c>
      <c r="N62" t="s">
        <v>63</v>
      </c>
      <c r="O62" t="s">
        <v>64</v>
      </c>
      <c r="P62" t="s">
        <v>65</v>
      </c>
      <c r="Q62" t="s">
        <v>66</v>
      </c>
      <c r="R62" s="22">
        <f t="shared" si="0"/>
        <v>46288.815610864593</v>
      </c>
      <c r="S62" s="22">
        <f t="shared" si="1"/>
        <v>46288.815613425926</v>
      </c>
      <c r="T62" s="23">
        <f t="shared" si="2"/>
        <v>0</v>
      </c>
      <c r="U62" s="23">
        <f t="shared" si="3"/>
        <v>0</v>
      </c>
      <c r="V62" s="23">
        <f t="shared" si="4"/>
        <v>0</v>
      </c>
    </row>
    <row r="63" spans="1:22" ht="15" customHeight="1" x14ac:dyDescent="0.35">
      <c r="A63" t="s">
        <v>22</v>
      </c>
      <c r="B63">
        <v>62</v>
      </c>
      <c r="C63" t="s">
        <v>106</v>
      </c>
      <c r="D63" t="s">
        <v>61</v>
      </c>
      <c r="E63" t="s">
        <v>25</v>
      </c>
      <c r="F63" t="s">
        <v>62</v>
      </c>
      <c r="G63">
        <v>4</v>
      </c>
      <c r="H63">
        <v>0</v>
      </c>
      <c r="I63">
        <v>0</v>
      </c>
      <c r="J63">
        <v>0</v>
      </c>
      <c r="K63">
        <v>0</v>
      </c>
      <c r="L63">
        <v>0.25625399999999998</v>
      </c>
      <c r="M63" t="s">
        <v>27</v>
      </c>
      <c r="N63" t="s">
        <v>63</v>
      </c>
      <c r="O63" t="s">
        <v>64</v>
      </c>
      <c r="P63" t="s">
        <v>65</v>
      </c>
      <c r="Q63" t="s">
        <v>66</v>
      </c>
      <c r="R63" s="22">
        <f t="shared" si="0"/>
        <v>46288.815622034097</v>
      </c>
      <c r="S63" s="22">
        <f t="shared" si="1"/>
        <v>46288.815625000003</v>
      </c>
      <c r="T63" s="23">
        <f t="shared" si="2"/>
        <v>0.25625426787883043</v>
      </c>
      <c r="U63" s="23">
        <f t="shared" si="3"/>
        <v>0.25625426787883043</v>
      </c>
      <c r="V63" s="23">
        <f t="shared" si="4"/>
        <v>0.25625426787883043</v>
      </c>
    </row>
    <row r="64" spans="1:22" ht="15" customHeight="1" x14ac:dyDescent="0.35">
      <c r="A64" t="s">
        <v>22</v>
      </c>
      <c r="B64">
        <v>63</v>
      </c>
      <c r="C64" t="s">
        <v>106</v>
      </c>
      <c r="D64" t="s">
        <v>61</v>
      </c>
      <c r="E64" t="s">
        <v>25</v>
      </c>
      <c r="F64" t="s">
        <v>62</v>
      </c>
      <c r="G64">
        <v>5</v>
      </c>
      <c r="H64">
        <v>0</v>
      </c>
      <c r="I64">
        <v>0</v>
      </c>
      <c r="J64">
        <v>0</v>
      </c>
      <c r="K64">
        <v>0</v>
      </c>
      <c r="L64">
        <v>0.22958999999999999</v>
      </c>
      <c r="M64" t="s">
        <v>27</v>
      </c>
      <c r="N64" t="s">
        <v>63</v>
      </c>
      <c r="O64" t="s">
        <v>64</v>
      </c>
      <c r="P64" t="s">
        <v>65</v>
      </c>
      <c r="Q64" t="s">
        <v>66</v>
      </c>
      <c r="R64" s="22">
        <f t="shared" si="0"/>
        <v>46288.815622342714</v>
      </c>
      <c r="S64" s="22">
        <f t="shared" si="1"/>
        <v>46288.815625000003</v>
      </c>
      <c r="T64" s="23">
        <f t="shared" si="2"/>
        <v>0</v>
      </c>
      <c r="U64" s="23">
        <f t="shared" si="3"/>
        <v>0</v>
      </c>
      <c r="V64" s="23">
        <f t="shared" si="4"/>
        <v>0</v>
      </c>
    </row>
    <row r="65" spans="1:22" ht="15" customHeight="1" x14ac:dyDescent="0.35">
      <c r="A65" t="s">
        <v>22</v>
      </c>
      <c r="B65">
        <v>64</v>
      </c>
      <c r="C65" t="s">
        <v>107</v>
      </c>
      <c r="D65" t="s">
        <v>61</v>
      </c>
      <c r="E65" t="s">
        <v>25</v>
      </c>
      <c r="F65" t="s">
        <v>62</v>
      </c>
      <c r="G65">
        <v>19</v>
      </c>
      <c r="H65">
        <v>0</v>
      </c>
      <c r="I65">
        <v>0</v>
      </c>
      <c r="J65">
        <v>0</v>
      </c>
      <c r="K65">
        <v>0</v>
      </c>
      <c r="L65">
        <v>0.20361399999999999</v>
      </c>
      <c r="M65" t="s">
        <v>27</v>
      </c>
      <c r="N65" t="s">
        <v>63</v>
      </c>
      <c r="O65" t="s">
        <v>64</v>
      </c>
      <c r="P65" t="s">
        <v>65</v>
      </c>
      <c r="Q65" t="s">
        <v>66</v>
      </c>
      <c r="R65" s="22">
        <f t="shared" si="0"/>
        <v>46288.815634217426</v>
      </c>
      <c r="S65" s="22">
        <f t="shared" si="1"/>
        <v>46288.815636574072</v>
      </c>
      <c r="T65" s="23">
        <f t="shared" si="2"/>
        <v>0.20361423958092928</v>
      </c>
      <c r="U65" s="23">
        <f t="shared" si="3"/>
        <v>0.20361423958092928</v>
      </c>
      <c r="V65" s="23">
        <f t="shared" si="4"/>
        <v>0.20361423958092928</v>
      </c>
    </row>
    <row r="66" spans="1:22" ht="15" customHeight="1" x14ac:dyDescent="0.35">
      <c r="A66" t="s">
        <v>22</v>
      </c>
      <c r="B66">
        <v>65</v>
      </c>
      <c r="C66" t="s">
        <v>108</v>
      </c>
      <c r="D66" t="s">
        <v>82</v>
      </c>
      <c r="E66" t="s">
        <v>25</v>
      </c>
      <c r="F66" t="s">
        <v>62</v>
      </c>
      <c r="G66">
        <v>4137</v>
      </c>
      <c r="H66">
        <v>0</v>
      </c>
      <c r="I66">
        <v>0</v>
      </c>
      <c r="J66">
        <v>0</v>
      </c>
      <c r="K66">
        <v>8.2999999999999998E-5</v>
      </c>
      <c r="L66">
        <v>1.3123940000000001</v>
      </c>
      <c r="M66" t="s">
        <v>27</v>
      </c>
      <c r="N66" t="s">
        <v>63</v>
      </c>
      <c r="O66" t="s">
        <v>109</v>
      </c>
      <c r="P66" t="s">
        <v>110</v>
      </c>
      <c r="Q66" t="s">
        <v>111</v>
      </c>
      <c r="R66" s="22">
        <f t="shared" ref="R66:R129" si="5">S66-L66/86400</f>
        <v>46288.815771847287</v>
      </c>
      <c r="S66" s="22">
        <f t="shared" ref="S66:S129" si="6">DATEVALUE(LEFT(C66,10))+TIMEVALUE(MID(C66,12,8))</f>
        <v>46288.815787037034</v>
      </c>
      <c r="T66" s="23">
        <f t="shared" ref="T66:T129" si="7">MAX(0,S66-MAX(R66,_xlfn.MAXIFS($S$2:$S$486,$A$2:$A$486,A66,$D$2:$D$486,D66,$F$2:$F$486,F66,$R$2:$R$486,"&lt;"&amp;R66)))*86400</f>
        <v>1.3123941840603948</v>
      </c>
      <c r="U66" s="23">
        <f t="shared" ref="U66:U129" si="8">MAX(0,S66-MAX(R66,_xlfn.MAXIFS($S$2:$S$486,$A$2:$A$486,A66,$F$2:$F$486,F66,$R$2:$R$486,"&lt;"&amp;R66)))*86400</f>
        <v>1.3123941840603948</v>
      </c>
      <c r="V66" s="23">
        <f t="shared" ref="V66:V129" si="9">MAX(0,S66-MAX(R66,_xlfn.MAXIFS($S$2:$S$486,$A$2:$A$486,A66,$R$2:$R$486,"&lt;"&amp;R66)))*86400</f>
        <v>1.3123941840603948</v>
      </c>
    </row>
    <row r="67" spans="1:22" ht="15" customHeight="1" x14ac:dyDescent="0.35">
      <c r="A67" t="s">
        <v>22</v>
      </c>
      <c r="B67">
        <v>66</v>
      </c>
      <c r="C67" t="s">
        <v>112</v>
      </c>
      <c r="D67" t="s">
        <v>82</v>
      </c>
      <c r="E67" t="s">
        <v>25</v>
      </c>
      <c r="F67" t="s">
        <v>62</v>
      </c>
      <c r="G67">
        <v>223</v>
      </c>
      <c r="H67">
        <v>0</v>
      </c>
      <c r="I67">
        <v>0</v>
      </c>
      <c r="J67">
        <v>0</v>
      </c>
      <c r="K67">
        <v>3.9999999999999998E-6</v>
      </c>
      <c r="L67">
        <v>0.26185599999999998</v>
      </c>
      <c r="M67" t="s">
        <v>27</v>
      </c>
      <c r="N67" t="s">
        <v>63</v>
      </c>
      <c r="O67" t="s">
        <v>113</v>
      </c>
      <c r="P67" t="s">
        <v>114</v>
      </c>
      <c r="Q67" t="s">
        <v>115</v>
      </c>
      <c r="R67" s="22">
        <f t="shared" si="5"/>
        <v>46288.815795580369</v>
      </c>
      <c r="S67" s="22">
        <f t="shared" si="6"/>
        <v>46288.815798611111</v>
      </c>
      <c r="T67" s="23">
        <f t="shared" si="7"/>
        <v>0.26185610331594944</v>
      </c>
      <c r="U67" s="23">
        <f t="shared" si="8"/>
        <v>0.26185610331594944</v>
      </c>
      <c r="V67" s="23">
        <f t="shared" si="9"/>
        <v>0.26185610331594944</v>
      </c>
    </row>
    <row r="68" spans="1:22" ht="15" customHeight="1" x14ac:dyDescent="0.35">
      <c r="A68" t="s">
        <v>22</v>
      </c>
      <c r="B68">
        <v>67</v>
      </c>
      <c r="C68" t="s">
        <v>116</v>
      </c>
      <c r="D68" t="s">
        <v>82</v>
      </c>
      <c r="E68" t="s">
        <v>25</v>
      </c>
      <c r="F68" t="s">
        <v>62</v>
      </c>
      <c r="G68">
        <v>228</v>
      </c>
      <c r="H68">
        <v>0</v>
      </c>
      <c r="I68">
        <v>0</v>
      </c>
      <c r="J68">
        <v>0</v>
      </c>
      <c r="K68">
        <v>5.0000000000000004E-6</v>
      </c>
      <c r="L68">
        <v>0.58757499999999996</v>
      </c>
      <c r="M68" t="s">
        <v>27</v>
      </c>
      <c r="N68" t="s">
        <v>63</v>
      </c>
      <c r="O68" t="s">
        <v>113</v>
      </c>
      <c r="P68" t="s">
        <v>114</v>
      </c>
      <c r="Q68" t="s">
        <v>115</v>
      </c>
      <c r="R68" s="22">
        <f t="shared" si="5"/>
        <v>46288.815803384554</v>
      </c>
      <c r="S68" s="22">
        <f t="shared" si="6"/>
        <v>46288.815810185188</v>
      </c>
      <c r="T68" s="23">
        <f t="shared" si="7"/>
        <v>0</v>
      </c>
      <c r="U68" s="23">
        <f t="shared" si="8"/>
        <v>0</v>
      </c>
      <c r="V68" s="23">
        <f t="shared" si="9"/>
        <v>0</v>
      </c>
    </row>
    <row r="69" spans="1:22" ht="15" customHeight="1" x14ac:dyDescent="0.35">
      <c r="A69" t="s">
        <v>22</v>
      </c>
      <c r="B69">
        <v>68</v>
      </c>
      <c r="C69" t="s">
        <v>116</v>
      </c>
      <c r="D69" t="s">
        <v>82</v>
      </c>
      <c r="E69" t="s">
        <v>25</v>
      </c>
      <c r="F69" t="s">
        <v>62</v>
      </c>
      <c r="G69">
        <v>228</v>
      </c>
      <c r="H69">
        <v>0</v>
      </c>
      <c r="I69">
        <v>0</v>
      </c>
      <c r="J69">
        <v>0</v>
      </c>
      <c r="K69">
        <v>5.0000000000000004E-6</v>
      </c>
      <c r="L69">
        <v>0.75227699999999997</v>
      </c>
      <c r="M69" t="s">
        <v>27</v>
      </c>
      <c r="N69" t="s">
        <v>63</v>
      </c>
      <c r="O69" t="s">
        <v>113</v>
      </c>
      <c r="P69" t="s">
        <v>114</v>
      </c>
      <c r="Q69" t="s">
        <v>115</v>
      </c>
      <c r="R69" s="22">
        <f t="shared" si="5"/>
        <v>46288.815801478275</v>
      </c>
      <c r="S69" s="22">
        <f t="shared" si="6"/>
        <v>46288.815810185188</v>
      </c>
      <c r="T69" s="23">
        <f t="shared" si="7"/>
        <v>0.75227727647870779</v>
      </c>
      <c r="U69" s="23">
        <f t="shared" si="8"/>
        <v>0.75227727647870779</v>
      </c>
      <c r="V69" s="23">
        <f t="shared" si="9"/>
        <v>0.75227727647870779</v>
      </c>
    </row>
    <row r="70" spans="1:22" ht="15" customHeight="1" x14ac:dyDescent="0.35">
      <c r="A70" t="s">
        <v>22</v>
      </c>
      <c r="B70">
        <v>69</v>
      </c>
      <c r="C70" t="s">
        <v>117</v>
      </c>
      <c r="D70" t="s">
        <v>82</v>
      </c>
      <c r="E70" t="s">
        <v>25</v>
      </c>
      <c r="F70" t="s">
        <v>26</v>
      </c>
      <c r="G70">
        <v>4495</v>
      </c>
      <c r="H70">
        <v>0</v>
      </c>
      <c r="I70">
        <v>492</v>
      </c>
      <c r="J70">
        <v>0</v>
      </c>
      <c r="K70">
        <v>1.6157999999999999E-2</v>
      </c>
      <c r="L70">
        <v>7.3834299999999997</v>
      </c>
      <c r="M70" t="s">
        <v>27</v>
      </c>
      <c r="N70" t="s">
        <v>28</v>
      </c>
      <c r="O70" t="s">
        <v>113</v>
      </c>
      <c r="P70" t="s">
        <v>114</v>
      </c>
      <c r="Q70" t="s">
        <v>115</v>
      </c>
      <c r="R70" s="22">
        <f t="shared" si="5"/>
        <v>46288.815817321418</v>
      </c>
      <c r="S70" s="22">
        <f t="shared" si="6"/>
        <v>46288.81590277778</v>
      </c>
      <c r="T70" s="23">
        <f t="shared" si="7"/>
        <v>0</v>
      </c>
      <c r="U70" s="23">
        <f t="shared" si="8"/>
        <v>0</v>
      </c>
      <c r="V70" s="23">
        <f t="shared" si="9"/>
        <v>0</v>
      </c>
    </row>
    <row r="71" spans="1:22" ht="15" customHeight="1" x14ac:dyDescent="0.35">
      <c r="A71" t="s">
        <v>22</v>
      </c>
      <c r="B71">
        <v>70</v>
      </c>
      <c r="C71" t="s">
        <v>118</v>
      </c>
      <c r="D71" t="s">
        <v>82</v>
      </c>
      <c r="E71" t="s">
        <v>25</v>
      </c>
      <c r="F71" t="s">
        <v>26</v>
      </c>
      <c r="G71">
        <v>6393</v>
      </c>
      <c r="H71">
        <v>0</v>
      </c>
      <c r="I71">
        <v>679</v>
      </c>
      <c r="J71">
        <v>0</v>
      </c>
      <c r="K71">
        <v>2.2773000000000002E-2</v>
      </c>
      <c r="L71">
        <v>9.1406759999999991</v>
      </c>
      <c r="M71" t="s">
        <v>27</v>
      </c>
      <c r="N71" t="s">
        <v>28</v>
      </c>
      <c r="O71" t="s">
        <v>113</v>
      </c>
      <c r="P71" t="s">
        <v>114</v>
      </c>
      <c r="Q71" t="s">
        <v>115</v>
      </c>
      <c r="R71" s="22">
        <f t="shared" si="5"/>
        <v>46288.815808556988</v>
      </c>
      <c r="S71" s="22">
        <f t="shared" si="6"/>
        <v>46288.81591435185</v>
      </c>
      <c r="T71" s="23">
        <f t="shared" si="7"/>
        <v>9.1406760038807988</v>
      </c>
      <c r="U71" s="23">
        <f t="shared" si="8"/>
        <v>9.1406760038807988</v>
      </c>
      <c r="V71" s="23">
        <f t="shared" si="9"/>
        <v>8.9999995892867446</v>
      </c>
    </row>
    <row r="72" spans="1:22" ht="15" customHeight="1" x14ac:dyDescent="0.35">
      <c r="A72" t="s">
        <v>22</v>
      </c>
      <c r="B72">
        <v>71</v>
      </c>
      <c r="C72" t="s">
        <v>119</v>
      </c>
      <c r="D72" t="s">
        <v>82</v>
      </c>
      <c r="E72" t="s">
        <v>25</v>
      </c>
      <c r="F72" t="s">
        <v>26</v>
      </c>
      <c r="G72">
        <v>6828</v>
      </c>
      <c r="H72">
        <v>0</v>
      </c>
      <c r="I72">
        <v>800</v>
      </c>
      <c r="J72">
        <v>0</v>
      </c>
      <c r="K72">
        <v>2.5069999999999999E-2</v>
      </c>
      <c r="L72">
        <v>11.252473999999999</v>
      </c>
      <c r="M72" t="s">
        <v>27</v>
      </c>
      <c r="N72" t="s">
        <v>28</v>
      </c>
      <c r="O72" t="s">
        <v>113</v>
      </c>
      <c r="P72" t="s">
        <v>114</v>
      </c>
      <c r="Q72" t="s">
        <v>115</v>
      </c>
      <c r="R72" s="22">
        <f t="shared" si="5"/>
        <v>46288.815818837102</v>
      </c>
      <c r="S72" s="22">
        <f t="shared" si="6"/>
        <v>46288.815949074073</v>
      </c>
      <c r="T72" s="23">
        <f t="shared" si="7"/>
        <v>3.0000000726431608</v>
      </c>
      <c r="U72" s="23">
        <f t="shared" si="8"/>
        <v>3.0000000726431608</v>
      </c>
      <c r="V72" s="23">
        <f t="shared" si="9"/>
        <v>3.0000000726431608</v>
      </c>
    </row>
    <row r="73" spans="1:22" ht="15" customHeight="1" x14ac:dyDescent="0.35">
      <c r="A73" t="s">
        <v>22</v>
      </c>
      <c r="B73">
        <v>72</v>
      </c>
      <c r="C73" t="s">
        <v>120</v>
      </c>
      <c r="D73" t="s">
        <v>121</v>
      </c>
      <c r="E73" t="s">
        <v>25</v>
      </c>
      <c r="F73" t="s">
        <v>26</v>
      </c>
      <c r="G73">
        <v>7359</v>
      </c>
      <c r="H73">
        <v>0</v>
      </c>
      <c r="I73">
        <v>642</v>
      </c>
      <c r="J73">
        <v>0</v>
      </c>
      <c r="K73">
        <v>2.4816999999999999E-2</v>
      </c>
      <c r="L73">
        <v>7.8269469999999997</v>
      </c>
      <c r="M73" t="s">
        <v>27</v>
      </c>
      <c r="N73" t="s">
        <v>28</v>
      </c>
      <c r="O73" t="s">
        <v>122</v>
      </c>
      <c r="P73" t="s">
        <v>123</v>
      </c>
      <c r="Q73" t="s">
        <v>124</v>
      </c>
      <c r="R73" s="22">
        <f t="shared" si="5"/>
        <v>46288.815974225145</v>
      </c>
      <c r="S73" s="22">
        <f t="shared" si="6"/>
        <v>46288.816064814811</v>
      </c>
      <c r="T73" s="23">
        <f t="shared" si="7"/>
        <v>7.8269472112879157</v>
      </c>
      <c r="U73" s="23">
        <f t="shared" si="8"/>
        <v>7.8269472112879157</v>
      </c>
      <c r="V73" s="23">
        <f t="shared" si="9"/>
        <v>7.8269472112879157</v>
      </c>
    </row>
    <row r="74" spans="1:22" ht="15" customHeight="1" x14ac:dyDescent="0.35">
      <c r="A74" t="s">
        <v>22</v>
      </c>
      <c r="B74">
        <v>73</v>
      </c>
      <c r="C74" t="s">
        <v>125</v>
      </c>
      <c r="D74" t="s">
        <v>121</v>
      </c>
      <c r="E74" t="s">
        <v>25</v>
      </c>
      <c r="F74" t="s">
        <v>26</v>
      </c>
      <c r="G74">
        <v>7734</v>
      </c>
      <c r="H74">
        <v>0</v>
      </c>
      <c r="I74">
        <v>700</v>
      </c>
      <c r="J74">
        <v>0</v>
      </c>
      <c r="K74">
        <v>2.6335000000000001E-2</v>
      </c>
      <c r="L74">
        <v>8.61646</v>
      </c>
      <c r="M74" t="s">
        <v>27</v>
      </c>
      <c r="N74" t="s">
        <v>28</v>
      </c>
      <c r="O74" t="s">
        <v>122</v>
      </c>
      <c r="P74" t="s">
        <v>123</v>
      </c>
      <c r="Q74" t="s">
        <v>124</v>
      </c>
      <c r="R74" s="22">
        <f t="shared" si="5"/>
        <v>46288.815976661339</v>
      </c>
      <c r="S74" s="22">
        <f t="shared" si="6"/>
        <v>46288.816076388888</v>
      </c>
      <c r="T74" s="23">
        <f t="shared" si="7"/>
        <v>0</v>
      </c>
      <c r="U74" s="23">
        <f t="shared" si="8"/>
        <v>0</v>
      </c>
      <c r="V74" s="23">
        <f t="shared" si="9"/>
        <v>0</v>
      </c>
    </row>
    <row r="75" spans="1:22" ht="15" customHeight="1" x14ac:dyDescent="0.35">
      <c r="A75" t="s">
        <v>22</v>
      </c>
      <c r="B75">
        <v>74</v>
      </c>
      <c r="C75" t="s">
        <v>126</v>
      </c>
      <c r="D75" t="s">
        <v>121</v>
      </c>
      <c r="E75" t="s">
        <v>25</v>
      </c>
      <c r="F75" t="s">
        <v>26</v>
      </c>
      <c r="G75">
        <v>7667</v>
      </c>
      <c r="H75">
        <v>0</v>
      </c>
      <c r="I75">
        <v>792</v>
      </c>
      <c r="J75">
        <v>0</v>
      </c>
      <c r="K75">
        <v>2.7088000000000001E-2</v>
      </c>
      <c r="L75">
        <v>9.6762730000000001</v>
      </c>
      <c r="M75" t="s">
        <v>27</v>
      </c>
      <c r="N75" t="s">
        <v>28</v>
      </c>
      <c r="O75" t="s">
        <v>122</v>
      </c>
      <c r="P75" t="s">
        <v>123</v>
      </c>
      <c r="Q75" t="s">
        <v>124</v>
      </c>
      <c r="R75" s="22">
        <f t="shared" si="5"/>
        <v>46288.815975969068</v>
      </c>
      <c r="S75" s="22">
        <f t="shared" si="6"/>
        <v>46288.816087962965</v>
      </c>
      <c r="T75" s="23">
        <f t="shared" si="7"/>
        <v>2.0000004675239325</v>
      </c>
      <c r="U75" s="23">
        <f t="shared" si="8"/>
        <v>2.0000004675239325</v>
      </c>
      <c r="V75" s="23">
        <f t="shared" si="9"/>
        <v>2.0000004675239325</v>
      </c>
    </row>
    <row r="76" spans="1:22" ht="15" customHeight="1" x14ac:dyDescent="0.35">
      <c r="A76" t="s">
        <v>22</v>
      </c>
      <c r="B76">
        <v>75</v>
      </c>
      <c r="C76" t="s">
        <v>127</v>
      </c>
      <c r="D76" t="s">
        <v>121</v>
      </c>
      <c r="E76" t="s">
        <v>25</v>
      </c>
      <c r="F76" t="s">
        <v>26</v>
      </c>
      <c r="G76">
        <v>11265</v>
      </c>
      <c r="H76">
        <v>0</v>
      </c>
      <c r="I76">
        <v>1108</v>
      </c>
      <c r="J76">
        <v>0</v>
      </c>
      <c r="K76">
        <v>3.9241999999999999E-2</v>
      </c>
      <c r="L76">
        <v>14.910988</v>
      </c>
      <c r="M76" t="s">
        <v>27</v>
      </c>
      <c r="N76" t="s">
        <v>28</v>
      </c>
      <c r="O76" t="s">
        <v>122</v>
      </c>
      <c r="P76" t="s">
        <v>123</v>
      </c>
      <c r="Q76" t="s">
        <v>124</v>
      </c>
      <c r="R76" s="22">
        <f t="shared" si="5"/>
        <v>46288.816088993197</v>
      </c>
      <c r="S76" s="22">
        <f t="shared" si="6"/>
        <v>46288.816261574073</v>
      </c>
      <c r="T76" s="23">
        <f t="shared" si="7"/>
        <v>0</v>
      </c>
      <c r="U76" s="23">
        <f t="shared" si="8"/>
        <v>0</v>
      </c>
      <c r="V76" s="23">
        <f t="shared" si="9"/>
        <v>0</v>
      </c>
    </row>
    <row r="77" spans="1:22" ht="15" customHeight="1" x14ac:dyDescent="0.35">
      <c r="A77" t="s">
        <v>22</v>
      </c>
      <c r="B77">
        <v>76</v>
      </c>
      <c r="C77" t="s">
        <v>127</v>
      </c>
      <c r="D77" t="s">
        <v>121</v>
      </c>
      <c r="E77" t="s">
        <v>25</v>
      </c>
      <c r="F77" t="s">
        <v>26</v>
      </c>
      <c r="G77">
        <v>10957</v>
      </c>
      <c r="H77">
        <v>0</v>
      </c>
      <c r="I77">
        <v>1143</v>
      </c>
      <c r="J77">
        <v>0</v>
      </c>
      <c r="K77">
        <v>3.8823000000000003E-2</v>
      </c>
      <c r="L77">
        <v>15.182829</v>
      </c>
      <c r="M77" t="s">
        <v>27</v>
      </c>
      <c r="N77" t="s">
        <v>28</v>
      </c>
      <c r="O77" t="s">
        <v>122</v>
      </c>
      <c r="P77" t="s">
        <v>123</v>
      </c>
      <c r="Q77" t="s">
        <v>124</v>
      </c>
      <c r="R77" s="22">
        <f t="shared" si="5"/>
        <v>46288.816085846884</v>
      </c>
      <c r="S77" s="22">
        <f t="shared" si="6"/>
        <v>46288.816261574073</v>
      </c>
      <c r="T77" s="23">
        <f t="shared" si="7"/>
        <v>14.999999734573066</v>
      </c>
      <c r="U77" s="23">
        <f t="shared" si="8"/>
        <v>14.999999734573066</v>
      </c>
      <c r="V77" s="23">
        <f t="shared" si="9"/>
        <v>14.999999734573066</v>
      </c>
    </row>
    <row r="78" spans="1:22" ht="15" customHeight="1" x14ac:dyDescent="0.35">
      <c r="A78" t="s">
        <v>22</v>
      </c>
      <c r="B78">
        <v>77</v>
      </c>
      <c r="C78" t="s">
        <v>128</v>
      </c>
      <c r="D78" t="s">
        <v>121</v>
      </c>
      <c r="E78" t="s">
        <v>25</v>
      </c>
      <c r="F78" t="s">
        <v>26</v>
      </c>
      <c r="G78">
        <v>10489</v>
      </c>
      <c r="H78">
        <v>0</v>
      </c>
      <c r="I78">
        <v>1209</v>
      </c>
      <c r="J78">
        <v>0</v>
      </c>
      <c r="K78">
        <v>3.8311999999999999E-2</v>
      </c>
      <c r="L78">
        <v>16.547272</v>
      </c>
      <c r="M78" t="s">
        <v>27</v>
      </c>
      <c r="N78" t="s">
        <v>28</v>
      </c>
      <c r="O78" t="s">
        <v>122</v>
      </c>
      <c r="P78" t="s">
        <v>123</v>
      </c>
      <c r="Q78" t="s">
        <v>124</v>
      </c>
      <c r="R78" s="22">
        <f t="shared" si="5"/>
        <v>46288.81609320287</v>
      </c>
      <c r="S78" s="22">
        <f t="shared" si="6"/>
        <v>46288.816284722219</v>
      </c>
      <c r="T78" s="23">
        <f t="shared" si="7"/>
        <v>0</v>
      </c>
      <c r="U78" s="23">
        <f t="shared" si="8"/>
        <v>0</v>
      </c>
      <c r="V78" s="23">
        <f t="shared" si="9"/>
        <v>0</v>
      </c>
    </row>
    <row r="79" spans="1:22" ht="15" customHeight="1" x14ac:dyDescent="0.35">
      <c r="A79" t="s">
        <v>22</v>
      </c>
      <c r="B79">
        <v>78</v>
      </c>
      <c r="C79" t="s">
        <v>128</v>
      </c>
      <c r="D79" t="s">
        <v>121</v>
      </c>
      <c r="E79" t="s">
        <v>25</v>
      </c>
      <c r="F79" t="s">
        <v>26</v>
      </c>
      <c r="G79">
        <v>10558</v>
      </c>
      <c r="H79">
        <v>0</v>
      </c>
      <c r="I79">
        <v>1206</v>
      </c>
      <c r="J79">
        <v>0</v>
      </c>
      <c r="K79">
        <v>3.8455000000000003E-2</v>
      </c>
      <c r="L79">
        <v>16.913240999999999</v>
      </c>
      <c r="M79" t="s">
        <v>27</v>
      </c>
      <c r="N79" t="s">
        <v>28</v>
      </c>
      <c r="O79" t="s">
        <v>122</v>
      </c>
      <c r="P79" t="s">
        <v>123</v>
      </c>
      <c r="Q79" t="s">
        <v>124</v>
      </c>
      <c r="R79" s="22">
        <f t="shared" si="5"/>
        <v>46288.816088967113</v>
      </c>
      <c r="S79" s="22">
        <f t="shared" si="6"/>
        <v>46288.816284722219</v>
      </c>
      <c r="T79" s="23">
        <f t="shared" si="7"/>
        <v>1.9999998388811946</v>
      </c>
      <c r="U79" s="23">
        <f t="shared" si="8"/>
        <v>1.9999998388811946</v>
      </c>
      <c r="V79" s="23">
        <f t="shared" si="9"/>
        <v>1.9999998388811946</v>
      </c>
    </row>
    <row r="80" spans="1:22" ht="15" customHeight="1" x14ac:dyDescent="0.35">
      <c r="A80" t="s">
        <v>22</v>
      </c>
      <c r="B80">
        <v>79</v>
      </c>
      <c r="C80" t="s">
        <v>129</v>
      </c>
      <c r="D80" t="s">
        <v>121</v>
      </c>
      <c r="E80" t="s">
        <v>25</v>
      </c>
      <c r="F80" t="s">
        <v>26</v>
      </c>
      <c r="G80">
        <v>10359</v>
      </c>
      <c r="H80">
        <v>0</v>
      </c>
      <c r="I80">
        <v>1105</v>
      </c>
      <c r="J80">
        <v>0</v>
      </c>
      <c r="K80">
        <v>3.6948000000000002E-2</v>
      </c>
      <c r="L80">
        <v>14.074894</v>
      </c>
      <c r="M80" t="s">
        <v>27</v>
      </c>
      <c r="N80" t="s">
        <v>28</v>
      </c>
      <c r="O80" t="s">
        <v>122</v>
      </c>
      <c r="P80" t="s">
        <v>123</v>
      </c>
      <c r="Q80" t="s">
        <v>124</v>
      </c>
      <c r="R80" s="22">
        <f t="shared" si="5"/>
        <v>46288.816260707245</v>
      </c>
      <c r="S80" s="22">
        <f t="shared" si="6"/>
        <v>46288.816423611112</v>
      </c>
      <c r="T80" s="23">
        <f t="shared" si="7"/>
        <v>12.000000290572643</v>
      </c>
      <c r="U80" s="23">
        <f t="shared" si="8"/>
        <v>12.000000290572643</v>
      </c>
      <c r="V80" s="23">
        <f t="shared" si="9"/>
        <v>12.000000290572643</v>
      </c>
    </row>
    <row r="81" spans="1:22" ht="15" customHeight="1" x14ac:dyDescent="0.35">
      <c r="A81" t="s">
        <v>22</v>
      </c>
      <c r="B81">
        <v>80</v>
      </c>
      <c r="C81" t="s">
        <v>130</v>
      </c>
      <c r="D81" t="s">
        <v>121</v>
      </c>
      <c r="E81" t="s">
        <v>25</v>
      </c>
      <c r="F81" t="s">
        <v>26</v>
      </c>
      <c r="G81">
        <v>12019</v>
      </c>
      <c r="H81">
        <v>0</v>
      </c>
      <c r="I81">
        <v>2147</v>
      </c>
      <c r="J81">
        <v>0</v>
      </c>
      <c r="K81">
        <v>5.1518000000000001E-2</v>
      </c>
      <c r="L81">
        <v>22.623137</v>
      </c>
      <c r="M81" t="s">
        <v>27</v>
      </c>
      <c r="N81" t="s">
        <v>28</v>
      </c>
      <c r="O81" t="s">
        <v>122</v>
      </c>
      <c r="P81" t="s">
        <v>123</v>
      </c>
      <c r="Q81" t="s">
        <v>124</v>
      </c>
      <c r="R81" s="22">
        <f t="shared" si="5"/>
        <v>46288.816265935915</v>
      </c>
      <c r="S81" s="22">
        <f t="shared" si="6"/>
        <v>46288.816527777781</v>
      </c>
      <c r="T81" s="23">
        <f t="shared" si="7"/>
        <v>9.0000002179294825</v>
      </c>
      <c r="U81" s="23">
        <f t="shared" si="8"/>
        <v>9.0000002179294825</v>
      </c>
      <c r="V81" s="23">
        <f t="shared" si="9"/>
        <v>9.0000002179294825</v>
      </c>
    </row>
    <row r="82" spans="1:22" ht="15" customHeight="1" x14ac:dyDescent="0.35">
      <c r="A82" t="s">
        <v>22</v>
      </c>
      <c r="B82">
        <v>81</v>
      </c>
      <c r="C82" t="s">
        <v>131</v>
      </c>
      <c r="D82" t="s">
        <v>121</v>
      </c>
      <c r="E82" t="s">
        <v>25</v>
      </c>
      <c r="F82" t="s">
        <v>26</v>
      </c>
      <c r="G82">
        <v>14242</v>
      </c>
      <c r="H82">
        <v>13952</v>
      </c>
      <c r="I82">
        <v>2294</v>
      </c>
      <c r="J82">
        <v>0</v>
      </c>
      <c r="K82">
        <v>4.1105000000000003E-2</v>
      </c>
      <c r="L82">
        <v>19.201146000000001</v>
      </c>
      <c r="M82" t="s">
        <v>27</v>
      </c>
      <c r="N82" t="s">
        <v>28</v>
      </c>
      <c r="O82" t="s">
        <v>122</v>
      </c>
      <c r="P82" t="s">
        <v>123</v>
      </c>
      <c r="Q82" t="s">
        <v>124</v>
      </c>
      <c r="R82" s="22">
        <f t="shared" si="5"/>
        <v>46288.8165254497</v>
      </c>
      <c r="S82" s="22">
        <f t="shared" si="6"/>
        <v>46288.816747685189</v>
      </c>
      <c r="T82" s="23">
        <f t="shared" si="7"/>
        <v>19.000000040978193</v>
      </c>
      <c r="U82" s="23">
        <f t="shared" si="8"/>
        <v>19.000000040978193</v>
      </c>
      <c r="V82" s="23">
        <f t="shared" si="9"/>
        <v>19.000000040978193</v>
      </c>
    </row>
    <row r="83" spans="1:22" ht="15" customHeight="1" x14ac:dyDescent="0.35">
      <c r="A83" t="s">
        <v>22</v>
      </c>
      <c r="B83">
        <v>82</v>
      </c>
      <c r="C83" t="s">
        <v>132</v>
      </c>
      <c r="D83" t="s">
        <v>133</v>
      </c>
      <c r="E83" t="s">
        <v>25</v>
      </c>
      <c r="F83" t="s">
        <v>26</v>
      </c>
      <c r="G83">
        <v>3163</v>
      </c>
      <c r="H83">
        <v>0</v>
      </c>
      <c r="I83">
        <v>347</v>
      </c>
      <c r="J83">
        <v>0</v>
      </c>
      <c r="K83">
        <v>1.1377999999999999E-2</v>
      </c>
      <c r="L83">
        <v>6.182493</v>
      </c>
      <c r="M83" t="s">
        <v>27</v>
      </c>
      <c r="N83" t="s">
        <v>28</v>
      </c>
      <c r="O83" t="s">
        <v>122</v>
      </c>
      <c r="P83" t="s">
        <v>123</v>
      </c>
      <c r="Q83" t="s">
        <v>134</v>
      </c>
      <c r="R83" s="22">
        <f t="shared" si="5"/>
        <v>46288.816757147069</v>
      </c>
      <c r="S83" s="22">
        <f t="shared" si="6"/>
        <v>46288.816828703704</v>
      </c>
      <c r="T83" s="23">
        <f t="shared" si="7"/>
        <v>6.1824932461604476</v>
      </c>
      <c r="U83" s="23">
        <f t="shared" si="8"/>
        <v>6.1824932461604476</v>
      </c>
      <c r="V83" s="23">
        <f t="shared" si="9"/>
        <v>6.1824932461604476</v>
      </c>
    </row>
    <row r="84" spans="1:22" ht="15" customHeight="1" x14ac:dyDescent="0.35">
      <c r="A84" t="s">
        <v>135</v>
      </c>
      <c r="B84">
        <v>1</v>
      </c>
      <c r="C84" t="s">
        <v>136</v>
      </c>
      <c r="D84" t="s">
        <v>24</v>
      </c>
      <c r="E84" t="s">
        <v>25</v>
      </c>
      <c r="F84" t="s">
        <v>26</v>
      </c>
      <c r="G84">
        <v>1174</v>
      </c>
      <c r="H84">
        <v>1024</v>
      </c>
      <c r="I84">
        <v>54</v>
      </c>
      <c r="J84">
        <v>0</v>
      </c>
      <c r="K84">
        <v>2.1949999999999999E-3</v>
      </c>
      <c r="L84">
        <v>2.2338209999999998</v>
      </c>
      <c r="M84" t="s">
        <v>27</v>
      </c>
      <c r="N84" t="s">
        <v>28</v>
      </c>
      <c r="O84" t="s">
        <v>29</v>
      </c>
      <c r="P84" t="s">
        <v>30</v>
      </c>
      <c r="Q84" t="s">
        <v>31</v>
      </c>
      <c r="R84" s="22">
        <f t="shared" si="5"/>
        <v>46288.820228775221</v>
      </c>
      <c r="S84" s="22">
        <f t="shared" si="6"/>
        <v>46288.820254629631</v>
      </c>
      <c r="T84" s="23">
        <f t="shared" si="7"/>
        <v>2.2338209906592965</v>
      </c>
      <c r="U84" s="23">
        <f t="shared" si="8"/>
        <v>2.2338209906592965</v>
      </c>
      <c r="V84" s="23">
        <f t="shared" si="9"/>
        <v>2.2338209906592965</v>
      </c>
    </row>
    <row r="85" spans="1:22" ht="15" customHeight="1" x14ac:dyDescent="0.35">
      <c r="A85" t="s">
        <v>135</v>
      </c>
      <c r="B85">
        <v>2</v>
      </c>
      <c r="C85" t="s">
        <v>137</v>
      </c>
      <c r="D85" t="s">
        <v>33</v>
      </c>
      <c r="E85" t="s">
        <v>25</v>
      </c>
      <c r="F85" t="s">
        <v>34</v>
      </c>
      <c r="G85">
        <v>425</v>
      </c>
      <c r="H85">
        <v>0</v>
      </c>
      <c r="I85">
        <v>73</v>
      </c>
      <c r="J85">
        <v>0</v>
      </c>
      <c r="K85">
        <v>1.08E-4</v>
      </c>
      <c r="L85">
        <v>2.266537</v>
      </c>
      <c r="M85" t="s">
        <v>27</v>
      </c>
      <c r="N85" t="s">
        <v>28</v>
      </c>
      <c r="O85" t="s">
        <v>35</v>
      </c>
      <c r="P85" t="s">
        <v>36</v>
      </c>
      <c r="Q85" t="s">
        <v>37</v>
      </c>
      <c r="R85" s="22">
        <f t="shared" si="5"/>
        <v>46288.820263118789</v>
      </c>
      <c r="S85" s="22">
        <f t="shared" si="6"/>
        <v>46288.820289351854</v>
      </c>
      <c r="T85" s="23">
        <f t="shared" si="7"/>
        <v>2.2665368160232902</v>
      </c>
      <c r="U85" s="23">
        <f t="shared" si="8"/>
        <v>2.2665368160232902</v>
      </c>
      <c r="V85" s="23">
        <f t="shared" si="9"/>
        <v>2.2665368160232902</v>
      </c>
    </row>
    <row r="86" spans="1:22" ht="15" customHeight="1" x14ac:dyDescent="0.35">
      <c r="A86" t="s">
        <v>135</v>
      </c>
      <c r="B86">
        <v>3</v>
      </c>
      <c r="C86" t="s">
        <v>138</v>
      </c>
      <c r="D86" t="s">
        <v>39</v>
      </c>
      <c r="E86" t="s">
        <v>40</v>
      </c>
      <c r="F86" t="s">
        <v>41</v>
      </c>
      <c r="G86">
        <v>670</v>
      </c>
      <c r="H86">
        <v>0</v>
      </c>
      <c r="I86">
        <v>2630</v>
      </c>
      <c r="J86">
        <v>5.0000000000000001E-3</v>
      </c>
      <c r="K86">
        <v>8.3000000000000001E-3</v>
      </c>
      <c r="L86">
        <v>31.82978</v>
      </c>
      <c r="M86" t="s">
        <v>27</v>
      </c>
      <c r="N86" t="s">
        <v>42</v>
      </c>
      <c r="O86" t="s">
        <v>43</v>
      </c>
      <c r="P86" t="s">
        <v>44</v>
      </c>
      <c r="Q86" t="s">
        <v>45</v>
      </c>
      <c r="R86" s="22">
        <f t="shared" si="5"/>
        <v>46288.820279747917</v>
      </c>
      <c r="S86" s="22">
        <f t="shared" si="6"/>
        <v>46288.820648148147</v>
      </c>
      <c r="T86" s="23">
        <f t="shared" si="7"/>
        <v>31.829779827967286</v>
      </c>
      <c r="U86" s="23">
        <f t="shared" si="8"/>
        <v>31.829779827967286</v>
      </c>
      <c r="V86" s="23">
        <f t="shared" si="9"/>
        <v>30.999999702908099</v>
      </c>
    </row>
    <row r="87" spans="1:22" ht="15" customHeight="1" x14ac:dyDescent="0.35">
      <c r="A87" t="s">
        <v>135</v>
      </c>
      <c r="B87">
        <v>4</v>
      </c>
      <c r="C87" t="s">
        <v>139</v>
      </c>
      <c r="D87" t="s">
        <v>39</v>
      </c>
      <c r="E87" t="s">
        <v>47</v>
      </c>
      <c r="F87" t="s">
        <v>47</v>
      </c>
      <c r="G87">
        <v>0</v>
      </c>
      <c r="H87">
        <v>0</v>
      </c>
      <c r="I87">
        <v>0</v>
      </c>
      <c r="J87">
        <v>1E-3</v>
      </c>
      <c r="K87">
        <v>1E-3</v>
      </c>
      <c r="L87">
        <v>2.0250110000000001</v>
      </c>
      <c r="M87" t="s">
        <v>27</v>
      </c>
      <c r="N87" t="s">
        <v>48</v>
      </c>
      <c r="O87" t="s">
        <v>49</v>
      </c>
      <c r="P87" t="s">
        <v>50</v>
      </c>
      <c r="Q87" t="s">
        <v>51</v>
      </c>
      <c r="R87" s="22">
        <f t="shared" si="5"/>
        <v>46288.820647858665</v>
      </c>
      <c r="S87" s="22">
        <f t="shared" si="6"/>
        <v>46288.820671296293</v>
      </c>
      <c r="T87" s="23">
        <f t="shared" si="7"/>
        <v>2.0250110188499093</v>
      </c>
      <c r="U87" s="23">
        <f t="shared" si="8"/>
        <v>2.0250110188499093</v>
      </c>
      <c r="V87" s="23">
        <f t="shared" si="9"/>
        <v>1.9999998388811946</v>
      </c>
    </row>
    <row r="88" spans="1:22" ht="15" customHeight="1" x14ac:dyDescent="0.35">
      <c r="A88" t="s">
        <v>135</v>
      </c>
      <c r="B88">
        <v>5</v>
      </c>
      <c r="C88" t="s">
        <v>140</v>
      </c>
      <c r="D88" t="s">
        <v>39</v>
      </c>
      <c r="E88" t="s">
        <v>47</v>
      </c>
      <c r="F88" t="s">
        <v>47</v>
      </c>
      <c r="G88">
        <v>0</v>
      </c>
      <c r="H88">
        <v>0</v>
      </c>
      <c r="I88">
        <v>0</v>
      </c>
      <c r="J88">
        <v>1E-3</v>
      </c>
      <c r="K88">
        <v>1E-3</v>
      </c>
      <c r="L88">
        <v>0.93689800000000001</v>
      </c>
      <c r="M88" t="s">
        <v>27</v>
      </c>
      <c r="N88" t="s">
        <v>48</v>
      </c>
      <c r="O88" t="s">
        <v>49</v>
      </c>
      <c r="P88" t="s">
        <v>50</v>
      </c>
      <c r="Q88" t="s">
        <v>51</v>
      </c>
      <c r="R88" s="22">
        <f t="shared" si="5"/>
        <v>46288.820672026646</v>
      </c>
      <c r="S88" s="22">
        <f t="shared" si="6"/>
        <v>46288.82068287037</v>
      </c>
      <c r="T88" s="23">
        <f t="shared" si="7"/>
        <v>0.93689770437777042</v>
      </c>
      <c r="U88" s="23">
        <f t="shared" si="8"/>
        <v>0.93689770437777042</v>
      </c>
      <c r="V88" s="23">
        <f t="shared" si="9"/>
        <v>0.93689770437777042</v>
      </c>
    </row>
    <row r="89" spans="1:22" ht="15" customHeight="1" x14ac:dyDescent="0.35">
      <c r="A89" t="s">
        <v>135</v>
      </c>
      <c r="B89">
        <v>6</v>
      </c>
      <c r="C89" t="s">
        <v>141</v>
      </c>
      <c r="D89" t="s">
        <v>39</v>
      </c>
      <c r="E89" t="s">
        <v>47</v>
      </c>
      <c r="F89" t="s">
        <v>47</v>
      </c>
      <c r="G89">
        <v>0</v>
      </c>
      <c r="H89">
        <v>0</v>
      </c>
      <c r="I89">
        <v>0</v>
      </c>
      <c r="J89">
        <v>1E-3</v>
      </c>
      <c r="K89">
        <v>1E-3</v>
      </c>
      <c r="L89">
        <v>0.73698300000000005</v>
      </c>
      <c r="M89" t="s">
        <v>27</v>
      </c>
      <c r="N89" t="s">
        <v>48</v>
      </c>
      <c r="O89" t="s">
        <v>49</v>
      </c>
      <c r="P89" t="s">
        <v>50</v>
      </c>
      <c r="Q89" t="s">
        <v>51</v>
      </c>
      <c r="R89" s="22">
        <f t="shared" si="5"/>
        <v>46288.82068591455</v>
      </c>
      <c r="S89" s="22">
        <f t="shared" si="6"/>
        <v>46288.820694444446</v>
      </c>
      <c r="T89" s="23">
        <f t="shared" si="7"/>
        <v>0.73698302730917931</v>
      </c>
      <c r="U89" s="23">
        <f t="shared" si="8"/>
        <v>0.73698302730917931</v>
      </c>
      <c r="V89" s="23">
        <f t="shared" si="9"/>
        <v>0.73698302730917931</v>
      </c>
    </row>
    <row r="90" spans="1:22" ht="15" customHeight="1" x14ac:dyDescent="0.35">
      <c r="A90" t="s">
        <v>135</v>
      </c>
      <c r="B90">
        <v>7</v>
      </c>
      <c r="C90" t="s">
        <v>142</v>
      </c>
      <c r="D90" t="s">
        <v>39</v>
      </c>
      <c r="E90" t="s">
        <v>47</v>
      </c>
      <c r="F90" t="s">
        <v>47</v>
      </c>
      <c r="G90">
        <v>0</v>
      </c>
      <c r="H90">
        <v>0</v>
      </c>
      <c r="I90">
        <v>0</v>
      </c>
      <c r="J90">
        <v>1E-3</v>
      </c>
      <c r="K90">
        <v>1E-3</v>
      </c>
      <c r="L90">
        <v>1.0152460000000001</v>
      </c>
      <c r="M90" t="s">
        <v>27</v>
      </c>
      <c r="N90" t="s">
        <v>48</v>
      </c>
      <c r="O90" t="s">
        <v>49</v>
      </c>
      <c r="P90" t="s">
        <v>50</v>
      </c>
      <c r="Q90" t="s">
        <v>51</v>
      </c>
      <c r="R90" s="22">
        <f t="shared" si="5"/>
        <v>46288.820694267983</v>
      </c>
      <c r="S90" s="22">
        <f t="shared" si="6"/>
        <v>46288.820706018516</v>
      </c>
      <c r="T90" s="23">
        <f t="shared" si="7"/>
        <v>0.99999960511922836</v>
      </c>
      <c r="U90" s="23">
        <f t="shared" si="8"/>
        <v>0.99999960511922836</v>
      </c>
      <c r="V90" s="23">
        <f t="shared" si="9"/>
        <v>0.99999960511922836</v>
      </c>
    </row>
    <row r="91" spans="1:22" ht="15" customHeight="1" x14ac:dyDescent="0.35">
      <c r="A91" t="s">
        <v>135</v>
      </c>
      <c r="B91">
        <v>8</v>
      </c>
      <c r="C91" t="s">
        <v>143</v>
      </c>
      <c r="D91" t="s">
        <v>39</v>
      </c>
      <c r="E91" t="s">
        <v>47</v>
      </c>
      <c r="F91" t="s">
        <v>47</v>
      </c>
      <c r="G91">
        <v>0</v>
      </c>
      <c r="H91">
        <v>0</v>
      </c>
      <c r="I91">
        <v>0</v>
      </c>
      <c r="J91">
        <v>1E-3</v>
      </c>
      <c r="K91">
        <v>1E-3</v>
      </c>
      <c r="L91">
        <v>1.0127390000000001</v>
      </c>
      <c r="M91" t="s">
        <v>27</v>
      </c>
      <c r="N91" t="s">
        <v>48</v>
      </c>
      <c r="O91" t="s">
        <v>49</v>
      </c>
      <c r="P91" t="s">
        <v>50</v>
      </c>
      <c r="Q91" t="s">
        <v>51</v>
      </c>
      <c r="R91" s="22">
        <f t="shared" si="5"/>
        <v>46288.820705871076</v>
      </c>
      <c r="S91" s="22">
        <f t="shared" si="6"/>
        <v>46288.820717592593</v>
      </c>
      <c r="T91" s="23">
        <f t="shared" si="7"/>
        <v>1.0000002337619662</v>
      </c>
      <c r="U91" s="23">
        <f t="shared" si="8"/>
        <v>1.0000002337619662</v>
      </c>
      <c r="V91" s="23">
        <f t="shared" si="9"/>
        <v>1.0000002337619662</v>
      </c>
    </row>
    <row r="92" spans="1:22" ht="15" customHeight="1" x14ac:dyDescent="0.35">
      <c r="A92" t="s">
        <v>135</v>
      </c>
      <c r="B92">
        <v>9</v>
      </c>
      <c r="C92" t="s">
        <v>144</v>
      </c>
      <c r="D92" t="s">
        <v>39</v>
      </c>
      <c r="E92" t="s">
        <v>47</v>
      </c>
      <c r="F92" t="s">
        <v>47</v>
      </c>
      <c r="G92">
        <v>0</v>
      </c>
      <c r="H92">
        <v>0</v>
      </c>
      <c r="I92">
        <v>0</v>
      </c>
      <c r="J92">
        <v>1E-3</v>
      </c>
      <c r="K92">
        <v>1E-3</v>
      </c>
      <c r="L92">
        <v>1.1604639999999999</v>
      </c>
      <c r="M92" t="s">
        <v>27</v>
      </c>
      <c r="N92" t="s">
        <v>48</v>
      </c>
      <c r="O92" t="s">
        <v>49</v>
      </c>
      <c r="P92" t="s">
        <v>50</v>
      </c>
      <c r="Q92" t="s">
        <v>51</v>
      </c>
      <c r="R92" s="22">
        <f t="shared" si="5"/>
        <v>46288.820715735375</v>
      </c>
      <c r="S92" s="22">
        <f t="shared" si="6"/>
        <v>46288.820729166669</v>
      </c>
      <c r="T92" s="23">
        <f t="shared" si="7"/>
        <v>1.0000002337619662</v>
      </c>
      <c r="U92" s="23">
        <f t="shared" si="8"/>
        <v>1.0000002337619662</v>
      </c>
      <c r="V92" s="23">
        <f t="shared" si="9"/>
        <v>1.0000002337619662</v>
      </c>
    </row>
    <row r="93" spans="1:22" ht="15" customHeight="1" x14ac:dyDescent="0.35">
      <c r="A93" t="s">
        <v>135</v>
      </c>
      <c r="B93">
        <v>10</v>
      </c>
      <c r="C93" t="s">
        <v>145</v>
      </c>
      <c r="D93" t="s">
        <v>39</v>
      </c>
      <c r="E93" t="s">
        <v>47</v>
      </c>
      <c r="F93" t="s">
        <v>47</v>
      </c>
      <c r="G93">
        <v>0</v>
      </c>
      <c r="H93">
        <v>0</v>
      </c>
      <c r="I93">
        <v>0</v>
      </c>
      <c r="J93">
        <v>1E-3</v>
      </c>
      <c r="K93">
        <v>1E-3</v>
      </c>
      <c r="L93">
        <v>1.8754500000000001</v>
      </c>
      <c r="M93" t="s">
        <v>27</v>
      </c>
      <c r="N93" t="s">
        <v>48</v>
      </c>
      <c r="O93" t="s">
        <v>49</v>
      </c>
      <c r="P93" t="s">
        <v>50</v>
      </c>
      <c r="Q93" t="s">
        <v>51</v>
      </c>
      <c r="R93" s="22">
        <f t="shared" si="5"/>
        <v>46288.820730608219</v>
      </c>
      <c r="S93" s="22">
        <f t="shared" si="6"/>
        <v>46288.820752314816</v>
      </c>
      <c r="T93" s="23">
        <f t="shared" si="7"/>
        <v>1.8754499964416027</v>
      </c>
      <c r="U93" s="23">
        <f t="shared" si="8"/>
        <v>1.8754499964416027</v>
      </c>
      <c r="V93" s="23">
        <f t="shared" si="9"/>
        <v>1.8754499964416027</v>
      </c>
    </row>
    <row r="94" spans="1:22" ht="15" customHeight="1" x14ac:dyDescent="0.35">
      <c r="A94" t="s">
        <v>135</v>
      </c>
      <c r="B94">
        <v>11</v>
      </c>
      <c r="C94" t="s">
        <v>146</v>
      </c>
      <c r="D94" t="s">
        <v>39</v>
      </c>
      <c r="E94" t="s">
        <v>47</v>
      </c>
      <c r="F94" t="s">
        <v>47</v>
      </c>
      <c r="G94">
        <v>0</v>
      </c>
      <c r="H94">
        <v>0</v>
      </c>
      <c r="I94">
        <v>0</v>
      </c>
      <c r="J94">
        <v>1E-3</v>
      </c>
      <c r="K94">
        <v>1E-3</v>
      </c>
      <c r="L94">
        <v>1.161624</v>
      </c>
      <c r="M94" t="s">
        <v>27</v>
      </c>
      <c r="N94" t="s">
        <v>48</v>
      </c>
      <c r="O94" t="s">
        <v>49</v>
      </c>
      <c r="P94" t="s">
        <v>50</v>
      </c>
      <c r="Q94" t="s">
        <v>51</v>
      </c>
      <c r="R94" s="22">
        <f t="shared" si="5"/>
        <v>46288.82075044416</v>
      </c>
      <c r="S94" s="22">
        <f t="shared" si="6"/>
        <v>46288.820763888885</v>
      </c>
      <c r="T94" s="23">
        <f t="shared" si="7"/>
        <v>0.99999960511922836</v>
      </c>
      <c r="U94" s="23">
        <f t="shared" si="8"/>
        <v>0.99999960511922836</v>
      </c>
      <c r="V94" s="23">
        <f t="shared" si="9"/>
        <v>0.99999960511922836</v>
      </c>
    </row>
    <row r="95" spans="1:22" ht="15" customHeight="1" x14ac:dyDescent="0.35">
      <c r="A95" t="s">
        <v>135</v>
      </c>
      <c r="B95">
        <v>12</v>
      </c>
      <c r="C95" t="s">
        <v>147</v>
      </c>
      <c r="D95" t="s">
        <v>39</v>
      </c>
      <c r="E95" t="s">
        <v>47</v>
      </c>
      <c r="F95" t="s">
        <v>47</v>
      </c>
      <c r="G95">
        <v>0</v>
      </c>
      <c r="H95">
        <v>0</v>
      </c>
      <c r="I95">
        <v>0</v>
      </c>
      <c r="J95">
        <v>1E-3</v>
      </c>
      <c r="K95">
        <v>1E-3</v>
      </c>
      <c r="L95">
        <v>0.99680599999999997</v>
      </c>
      <c r="M95" t="s">
        <v>27</v>
      </c>
      <c r="N95" t="s">
        <v>48</v>
      </c>
      <c r="O95" t="s">
        <v>49</v>
      </c>
      <c r="P95" t="s">
        <v>50</v>
      </c>
      <c r="Q95" t="s">
        <v>51</v>
      </c>
      <c r="R95" s="22">
        <f t="shared" si="5"/>
        <v>46288.820763925854</v>
      </c>
      <c r="S95" s="22">
        <f t="shared" si="6"/>
        <v>46288.820775462962</v>
      </c>
      <c r="T95" s="23">
        <f t="shared" si="7"/>
        <v>0.99680610001087189</v>
      </c>
      <c r="U95" s="23">
        <f t="shared" si="8"/>
        <v>0.99680610001087189</v>
      </c>
      <c r="V95" s="23">
        <f t="shared" si="9"/>
        <v>0.99680610001087189</v>
      </c>
    </row>
    <row r="96" spans="1:22" ht="15" customHeight="1" x14ac:dyDescent="0.35">
      <c r="A96" t="s">
        <v>135</v>
      </c>
      <c r="B96">
        <v>13</v>
      </c>
      <c r="C96" t="s">
        <v>148</v>
      </c>
      <c r="D96" t="s">
        <v>39</v>
      </c>
      <c r="E96" t="s">
        <v>47</v>
      </c>
      <c r="F96" t="s">
        <v>47</v>
      </c>
      <c r="G96">
        <v>0</v>
      </c>
      <c r="H96">
        <v>0</v>
      </c>
      <c r="I96">
        <v>0</v>
      </c>
      <c r="J96">
        <v>1E-3</v>
      </c>
      <c r="K96">
        <v>1E-3</v>
      </c>
      <c r="L96">
        <v>0.90595700000000001</v>
      </c>
      <c r="M96" t="s">
        <v>27</v>
      </c>
      <c r="N96" t="s">
        <v>48</v>
      </c>
      <c r="O96" t="s">
        <v>49</v>
      </c>
      <c r="P96" t="s">
        <v>50</v>
      </c>
      <c r="Q96" t="s">
        <v>51</v>
      </c>
      <c r="R96" s="22">
        <f t="shared" si="5"/>
        <v>46288.820776551423</v>
      </c>
      <c r="S96" s="22">
        <f t="shared" si="6"/>
        <v>46288.820787037039</v>
      </c>
      <c r="T96" s="23">
        <f t="shared" si="7"/>
        <v>0.9059571661055088</v>
      </c>
      <c r="U96" s="23">
        <f t="shared" si="8"/>
        <v>0.9059571661055088</v>
      </c>
      <c r="V96" s="23">
        <f t="shared" si="9"/>
        <v>0.9059571661055088</v>
      </c>
    </row>
    <row r="97" spans="1:22" ht="15" customHeight="1" x14ac:dyDescent="0.35">
      <c r="A97" t="s">
        <v>135</v>
      </c>
      <c r="B97">
        <v>14</v>
      </c>
      <c r="C97" t="s">
        <v>149</v>
      </c>
      <c r="D97" t="s">
        <v>55</v>
      </c>
      <c r="E97" t="s">
        <v>25</v>
      </c>
      <c r="F97" t="s">
        <v>26</v>
      </c>
      <c r="G97">
        <v>10993</v>
      </c>
      <c r="H97">
        <v>10880</v>
      </c>
      <c r="I97">
        <v>1719</v>
      </c>
      <c r="J97">
        <v>0</v>
      </c>
      <c r="K97">
        <v>3.1071999999999999E-2</v>
      </c>
      <c r="L97">
        <v>22.011227999999999</v>
      </c>
      <c r="M97" t="s">
        <v>27</v>
      </c>
      <c r="N97" t="s">
        <v>28</v>
      </c>
      <c r="O97" t="s">
        <v>56</v>
      </c>
      <c r="P97" t="s">
        <v>57</v>
      </c>
      <c r="Q97" t="s">
        <v>58</v>
      </c>
      <c r="R97" s="22">
        <f t="shared" si="5"/>
        <v>46288.820786907083</v>
      </c>
      <c r="S97" s="22">
        <f t="shared" si="6"/>
        <v>46288.82104166667</v>
      </c>
      <c r="T97" s="23">
        <f t="shared" si="7"/>
        <v>22.011228301562369</v>
      </c>
      <c r="U97" s="23">
        <f t="shared" si="8"/>
        <v>22.011228301562369</v>
      </c>
      <c r="V97" s="23">
        <f t="shared" si="9"/>
        <v>22.000000113621354</v>
      </c>
    </row>
    <row r="98" spans="1:22" ht="15" customHeight="1" x14ac:dyDescent="0.35">
      <c r="A98" t="s">
        <v>135</v>
      </c>
      <c r="B98">
        <v>15</v>
      </c>
      <c r="C98" t="s">
        <v>150</v>
      </c>
      <c r="D98" t="s">
        <v>61</v>
      </c>
      <c r="E98" t="s">
        <v>25</v>
      </c>
      <c r="F98" t="s">
        <v>62</v>
      </c>
      <c r="G98">
        <v>3</v>
      </c>
      <c r="H98">
        <v>0</v>
      </c>
      <c r="I98">
        <v>0</v>
      </c>
      <c r="J98">
        <v>0</v>
      </c>
      <c r="K98">
        <v>0</v>
      </c>
      <c r="L98">
        <v>1.056781</v>
      </c>
      <c r="M98" t="s">
        <v>27</v>
      </c>
      <c r="N98" t="s">
        <v>63</v>
      </c>
      <c r="O98" t="s">
        <v>64</v>
      </c>
      <c r="P98" t="s">
        <v>65</v>
      </c>
      <c r="Q98" t="s">
        <v>66</v>
      </c>
      <c r="R98" s="22">
        <f t="shared" si="5"/>
        <v>46288.821041009476</v>
      </c>
      <c r="S98" s="22">
        <f t="shared" si="6"/>
        <v>46288.821053240739</v>
      </c>
      <c r="T98" s="23">
        <f t="shared" si="7"/>
        <v>1.0567811317741871</v>
      </c>
      <c r="U98" s="23">
        <f t="shared" si="8"/>
        <v>1.0567811317741871</v>
      </c>
      <c r="V98" s="23">
        <f t="shared" si="9"/>
        <v>0.99999960511922836</v>
      </c>
    </row>
    <row r="99" spans="1:22" ht="15" customHeight="1" x14ac:dyDescent="0.35">
      <c r="A99" t="s">
        <v>135</v>
      </c>
      <c r="B99">
        <v>16</v>
      </c>
      <c r="C99" t="s">
        <v>151</v>
      </c>
      <c r="D99" t="s">
        <v>61</v>
      </c>
      <c r="E99" t="s">
        <v>25</v>
      </c>
      <c r="F99" t="s">
        <v>62</v>
      </c>
      <c r="G99">
        <v>5</v>
      </c>
      <c r="H99">
        <v>0</v>
      </c>
      <c r="I99">
        <v>0</v>
      </c>
      <c r="J99">
        <v>0</v>
      </c>
      <c r="K99">
        <v>0</v>
      </c>
      <c r="L99">
        <v>0.61669799999999997</v>
      </c>
      <c r="M99" t="s">
        <v>27</v>
      </c>
      <c r="N99" t="s">
        <v>63</v>
      </c>
      <c r="O99" t="s">
        <v>64</v>
      </c>
      <c r="P99" t="s">
        <v>65</v>
      </c>
      <c r="Q99" t="s">
        <v>66</v>
      </c>
      <c r="R99" s="22">
        <f t="shared" si="5"/>
        <v>46288.821057677109</v>
      </c>
      <c r="S99" s="22">
        <f t="shared" si="6"/>
        <v>46288.821064814816</v>
      </c>
      <c r="T99" s="23">
        <f t="shared" si="7"/>
        <v>0.61669789720326662</v>
      </c>
      <c r="U99" s="23">
        <f t="shared" si="8"/>
        <v>0.61669789720326662</v>
      </c>
      <c r="V99" s="23">
        <f t="shared" si="9"/>
        <v>0.61669789720326662</v>
      </c>
    </row>
    <row r="100" spans="1:22" ht="15" customHeight="1" x14ac:dyDescent="0.35">
      <c r="A100" t="s">
        <v>135</v>
      </c>
      <c r="B100">
        <v>17</v>
      </c>
      <c r="C100" t="s">
        <v>152</v>
      </c>
      <c r="D100" t="s">
        <v>61</v>
      </c>
      <c r="E100" t="s">
        <v>25</v>
      </c>
      <c r="F100" t="s">
        <v>62</v>
      </c>
      <c r="G100">
        <v>6</v>
      </c>
      <c r="H100">
        <v>0</v>
      </c>
      <c r="I100">
        <v>0</v>
      </c>
      <c r="J100">
        <v>0</v>
      </c>
      <c r="K100">
        <v>0</v>
      </c>
      <c r="L100">
        <v>1.322997</v>
      </c>
      <c r="M100" t="s">
        <v>27</v>
      </c>
      <c r="N100" t="s">
        <v>63</v>
      </c>
      <c r="O100" t="s">
        <v>64</v>
      </c>
      <c r="P100" t="s">
        <v>65</v>
      </c>
      <c r="Q100" t="s">
        <v>66</v>
      </c>
      <c r="R100" s="22">
        <f t="shared" si="5"/>
        <v>46288.821072650499</v>
      </c>
      <c r="S100" s="22">
        <f t="shared" si="6"/>
        <v>46288.821087962962</v>
      </c>
      <c r="T100" s="23">
        <f t="shared" si="7"/>
        <v>1.3229968724772334</v>
      </c>
      <c r="U100" s="23">
        <f t="shared" si="8"/>
        <v>1.3229968724772334</v>
      </c>
      <c r="V100" s="23">
        <f t="shared" si="9"/>
        <v>1.3229968724772334</v>
      </c>
    </row>
    <row r="101" spans="1:22" ht="15" customHeight="1" x14ac:dyDescent="0.35">
      <c r="A101" t="s">
        <v>135</v>
      </c>
      <c r="B101">
        <v>18</v>
      </c>
      <c r="C101" t="s">
        <v>152</v>
      </c>
      <c r="D101" t="s">
        <v>61</v>
      </c>
      <c r="E101" t="s">
        <v>25</v>
      </c>
      <c r="F101" t="s">
        <v>62</v>
      </c>
      <c r="G101">
        <v>5</v>
      </c>
      <c r="H101">
        <v>0</v>
      </c>
      <c r="I101">
        <v>0</v>
      </c>
      <c r="J101">
        <v>0</v>
      </c>
      <c r="K101">
        <v>0</v>
      </c>
      <c r="L101">
        <v>0.22272700000000001</v>
      </c>
      <c r="M101" t="s">
        <v>27</v>
      </c>
      <c r="N101" t="s">
        <v>63</v>
      </c>
      <c r="O101" t="s">
        <v>64</v>
      </c>
      <c r="P101" t="s">
        <v>65</v>
      </c>
      <c r="Q101" t="s">
        <v>66</v>
      </c>
      <c r="R101" s="22">
        <f t="shared" si="5"/>
        <v>46288.821085385105</v>
      </c>
      <c r="S101" s="22">
        <f t="shared" si="6"/>
        <v>46288.821087962962</v>
      </c>
      <c r="T101" s="23">
        <f t="shared" si="7"/>
        <v>0</v>
      </c>
      <c r="U101" s="23">
        <f t="shared" si="8"/>
        <v>0</v>
      </c>
      <c r="V101" s="23">
        <f t="shared" si="9"/>
        <v>0</v>
      </c>
    </row>
    <row r="102" spans="1:22" ht="15" customHeight="1" x14ac:dyDescent="0.35">
      <c r="A102" t="s">
        <v>135</v>
      </c>
      <c r="B102">
        <v>19</v>
      </c>
      <c r="C102" t="s">
        <v>152</v>
      </c>
      <c r="D102" t="s">
        <v>61</v>
      </c>
      <c r="E102" t="s">
        <v>25</v>
      </c>
      <c r="F102" t="s">
        <v>62</v>
      </c>
      <c r="G102">
        <v>4</v>
      </c>
      <c r="H102">
        <v>0</v>
      </c>
      <c r="I102">
        <v>0</v>
      </c>
      <c r="J102">
        <v>0</v>
      </c>
      <c r="K102">
        <v>0</v>
      </c>
      <c r="L102">
        <v>0.33979599999999999</v>
      </c>
      <c r="M102" t="s">
        <v>27</v>
      </c>
      <c r="N102" t="s">
        <v>63</v>
      </c>
      <c r="O102" t="s">
        <v>64</v>
      </c>
      <c r="P102" t="s">
        <v>65</v>
      </c>
      <c r="Q102" t="s">
        <v>66</v>
      </c>
      <c r="R102" s="22">
        <f t="shared" si="5"/>
        <v>46288.82108403014</v>
      </c>
      <c r="S102" s="22">
        <f t="shared" si="6"/>
        <v>46288.821087962962</v>
      </c>
      <c r="T102" s="23">
        <f t="shared" si="7"/>
        <v>0</v>
      </c>
      <c r="U102" s="23">
        <f t="shared" si="8"/>
        <v>0</v>
      </c>
      <c r="V102" s="23">
        <f t="shared" si="9"/>
        <v>0</v>
      </c>
    </row>
    <row r="103" spans="1:22" ht="15" customHeight="1" x14ac:dyDescent="0.35">
      <c r="A103" t="s">
        <v>135</v>
      </c>
      <c r="B103">
        <v>20</v>
      </c>
      <c r="C103" t="s">
        <v>153</v>
      </c>
      <c r="D103" t="s">
        <v>61</v>
      </c>
      <c r="E103" t="s">
        <v>25</v>
      </c>
      <c r="F103" t="s">
        <v>62</v>
      </c>
      <c r="G103">
        <v>4</v>
      </c>
      <c r="H103">
        <v>0</v>
      </c>
      <c r="I103">
        <v>0</v>
      </c>
      <c r="J103">
        <v>0</v>
      </c>
      <c r="K103">
        <v>0</v>
      </c>
      <c r="L103">
        <v>0.21499199999999999</v>
      </c>
      <c r="M103" t="s">
        <v>27</v>
      </c>
      <c r="N103" t="s">
        <v>63</v>
      </c>
      <c r="O103" t="s">
        <v>64</v>
      </c>
      <c r="P103" t="s">
        <v>65</v>
      </c>
      <c r="Q103" t="s">
        <v>66</v>
      </c>
      <c r="R103" s="22">
        <f t="shared" si="5"/>
        <v>46288.821097048705</v>
      </c>
      <c r="S103" s="22">
        <f t="shared" si="6"/>
        <v>46288.821099537039</v>
      </c>
      <c r="T103" s="23">
        <f t="shared" si="7"/>
        <v>0</v>
      </c>
      <c r="U103" s="23">
        <f t="shared" si="8"/>
        <v>0</v>
      </c>
      <c r="V103" s="23">
        <f t="shared" si="9"/>
        <v>0</v>
      </c>
    </row>
    <row r="104" spans="1:22" ht="15" customHeight="1" x14ac:dyDescent="0.35">
      <c r="A104" t="s">
        <v>135</v>
      </c>
      <c r="B104">
        <v>21</v>
      </c>
      <c r="C104" t="s">
        <v>153</v>
      </c>
      <c r="D104" t="s">
        <v>61</v>
      </c>
      <c r="E104" t="s">
        <v>25</v>
      </c>
      <c r="F104" t="s">
        <v>62</v>
      </c>
      <c r="G104">
        <v>6</v>
      </c>
      <c r="H104">
        <v>0</v>
      </c>
      <c r="I104">
        <v>0</v>
      </c>
      <c r="J104">
        <v>0</v>
      </c>
      <c r="K104">
        <v>0</v>
      </c>
      <c r="L104">
        <v>0.22813</v>
      </c>
      <c r="M104" t="s">
        <v>27</v>
      </c>
      <c r="N104" t="s">
        <v>63</v>
      </c>
      <c r="O104" t="s">
        <v>64</v>
      </c>
      <c r="P104" t="s">
        <v>65</v>
      </c>
      <c r="Q104" t="s">
        <v>66</v>
      </c>
      <c r="R104" s="22">
        <f t="shared" si="5"/>
        <v>46288.821096896645</v>
      </c>
      <c r="S104" s="22">
        <f t="shared" si="6"/>
        <v>46288.821099537039</v>
      </c>
      <c r="T104" s="23">
        <f t="shared" si="7"/>
        <v>0</v>
      </c>
      <c r="U104" s="23">
        <f t="shared" si="8"/>
        <v>0</v>
      </c>
      <c r="V104" s="23">
        <f t="shared" si="9"/>
        <v>0</v>
      </c>
    </row>
    <row r="105" spans="1:22" ht="15" customHeight="1" x14ac:dyDescent="0.35">
      <c r="A105" t="s">
        <v>135</v>
      </c>
      <c r="B105">
        <v>22</v>
      </c>
      <c r="C105" t="s">
        <v>153</v>
      </c>
      <c r="D105" t="s">
        <v>61</v>
      </c>
      <c r="E105" t="s">
        <v>25</v>
      </c>
      <c r="F105" t="s">
        <v>62</v>
      </c>
      <c r="G105">
        <v>7</v>
      </c>
      <c r="H105">
        <v>0</v>
      </c>
      <c r="I105">
        <v>0</v>
      </c>
      <c r="J105">
        <v>0</v>
      </c>
      <c r="K105">
        <v>0</v>
      </c>
      <c r="L105">
        <v>0.26078600000000002</v>
      </c>
      <c r="M105" t="s">
        <v>27</v>
      </c>
      <c r="N105" t="s">
        <v>63</v>
      </c>
      <c r="O105" t="s">
        <v>64</v>
      </c>
      <c r="P105" t="s">
        <v>65</v>
      </c>
      <c r="Q105" t="s">
        <v>66</v>
      </c>
      <c r="R105" s="22">
        <f t="shared" si="5"/>
        <v>46288.821096518681</v>
      </c>
      <c r="S105" s="22">
        <f t="shared" si="6"/>
        <v>46288.821099537039</v>
      </c>
      <c r="T105" s="23">
        <f t="shared" si="7"/>
        <v>0.26078615337610245</v>
      </c>
      <c r="U105" s="23">
        <f t="shared" si="8"/>
        <v>0.26078615337610245</v>
      </c>
      <c r="V105" s="23">
        <f t="shared" si="9"/>
        <v>0.26078615337610245</v>
      </c>
    </row>
    <row r="106" spans="1:22" ht="15" customHeight="1" x14ac:dyDescent="0.35">
      <c r="A106" t="s">
        <v>135</v>
      </c>
      <c r="B106">
        <v>23</v>
      </c>
      <c r="C106" t="s">
        <v>154</v>
      </c>
      <c r="D106" t="s">
        <v>61</v>
      </c>
      <c r="E106" t="s">
        <v>25</v>
      </c>
      <c r="F106" t="s">
        <v>62</v>
      </c>
      <c r="G106">
        <v>4</v>
      </c>
      <c r="H106">
        <v>0</v>
      </c>
      <c r="I106">
        <v>0</v>
      </c>
      <c r="J106">
        <v>0</v>
      </c>
      <c r="K106">
        <v>0</v>
      </c>
      <c r="L106">
        <v>0.19938600000000001</v>
      </c>
      <c r="M106" t="s">
        <v>27</v>
      </c>
      <c r="N106" t="s">
        <v>63</v>
      </c>
      <c r="O106" t="s">
        <v>64</v>
      </c>
      <c r="P106" t="s">
        <v>65</v>
      </c>
      <c r="Q106" t="s">
        <v>66</v>
      </c>
      <c r="R106" s="22">
        <f t="shared" si="5"/>
        <v>46288.8211088034</v>
      </c>
      <c r="S106" s="22">
        <f t="shared" si="6"/>
        <v>46288.821111111109</v>
      </c>
      <c r="T106" s="23">
        <f t="shared" si="7"/>
        <v>0</v>
      </c>
      <c r="U106" s="23">
        <f t="shared" si="8"/>
        <v>0</v>
      </c>
      <c r="V106" s="23">
        <f t="shared" si="9"/>
        <v>0</v>
      </c>
    </row>
    <row r="107" spans="1:22" ht="15" customHeight="1" x14ac:dyDescent="0.35">
      <c r="A107" t="s">
        <v>135</v>
      </c>
      <c r="B107">
        <v>24</v>
      </c>
      <c r="C107" t="s">
        <v>154</v>
      </c>
      <c r="D107" t="s">
        <v>61</v>
      </c>
      <c r="E107" t="s">
        <v>25</v>
      </c>
      <c r="F107" t="s">
        <v>62</v>
      </c>
      <c r="G107">
        <v>3</v>
      </c>
      <c r="H107">
        <v>0</v>
      </c>
      <c r="I107">
        <v>0</v>
      </c>
      <c r="J107">
        <v>0</v>
      </c>
      <c r="K107">
        <v>0</v>
      </c>
      <c r="L107">
        <v>0.26451799999999998</v>
      </c>
      <c r="M107" t="s">
        <v>27</v>
      </c>
      <c r="N107" t="s">
        <v>63</v>
      </c>
      <c r="O107" t="s">
        <v>64</v>
      </c>
      <c r="P107" t="s">
        <v>65</v>
      </c>
      <c r="Q107" t="s">
        <v>66</v>
      </c>
      <c r="R107" s="22">
        <f t="shared" si="5"/>
        <v>46288.82110804956</v>
      </c>
      <c r="S107" s="22">
        <f t="shared" si="6"/>
        <v>46288.821111111109</v>
      </c>
      <c r="T107" s="23">
        <f t="shared" si="7"/>
        <v>0.26451777666807175</v>
      </c>
      <c r="U107" s="23">
        <f t="shared" si="8"/>
        <v>0.26451777666807175</v>
      </c>
      <c r="V107" s="23">
        <f t="shared" si="9"/>
        <v>0.26451777666807175</v>
      </c>
    </row>
    <row r="108" spans="1:22" ht="15" customHeight="1" x14ac:dyDescent="0.35">
      <c r="A108" t="s">
        <v>135</v>
      </c>
      <c r="B108">
        <v>25</v>
      </c>
      <c r="C108" t="s">
        <v>154</v>
      </c>
      <c r="D108" t="s">
        <v>61</v>
      </c>
      <c r="E108" t="s">
        <v>25</v>
      </c>
      <c r="F108" t="s">
        <v>62</v>
      </c>
      <c r="G108">
        <v>3</v>
      </c>
      <c r="H108">
        <v>0</v>
      </c>
      <c r="I108">
        <v>0</v>
      </c>
      <c r="J108">
        <v>0</v>
      </c>
      <c r="K108">
        <v>0</v>
      </c>
      <c r="L108">
        <v>0.21795999999999999</v>
      </c>
      <c r="M108" t="s">
        <v>27</v>
      </c>
      <c r="N108" t="s">
        <v>63</v>
      </c>
      <c r="O108" t="s">
        <v>64</v>
      </c>
      <c r="P108" t="s">
        <v>65</v>
      </c>
      <c r="Q108" t="s">
        <v>66</v>
      </c>
      <c r="R108" s="22">
        <f t="shared" si="5"/>
        <v>46288.821108588425</v>
      </c>
      <c r="S108" s="22">
        <f t="shared" si="6"/>
        <v>46288.821111111109</v>
      </c>
      <c r="T108" s="23">
        <f t="shared" si="7"/>
        <v>0</v>
      </c>
      <c r="U108" s="23">
        <f t="shared" si="8"/>
        <v>0</v>
      </c>
      <c r="V108" s="23">
        <f t="shared" si="9"/>
        <v>0</v>
      </c>
    </row>
    <row r="109" spans="1:22" ht="15" customHeight="1" x14ac:dyDescent="0.35">
      <c r="A109" t="s">
        <v>135</v>
      </c>
      <c r="B109">
        <v>26</v>
      </c>
      <c r="C109" t="s">
        <v>155</v>
      </c>
      <c r="D109" t="s">
        <v>61</v>
      </c>
      <c r="E109" t="s">
        <v>25</v>
      </c>
      <c r="F109" t="s">
        <v>62</v>
      </c>
      <c r="G109">
        <v>3</v>
      </c>
      <c r="H109">
        <v>0</v>
      </c>
      <c r="I109">
        <v>0</v>
      </c>
      <c r="J109">
        <v>0</v>
      </c>
      <c r="K109">
        <v>0</v>
      </c>
      <c r="L109">
        <v>0.27056400000000003</v>
      </c>
      <c r="M109" t="s">
        <v>27</v>
      </c>
      <c r="N109" t="s">
        <v>63</v>
      </c>
      <c r="O109" t="s">
        <v>64</v>
      </c>
      <c r="P109" t="s">
        <v>65</v>
      </c>
      <c r="Q109" t="s">
        <v>66</v>
      </c>
      <c r="R109" s="22">
        <f t="shared" si="5"/>
        <v>46288.821119553657</v>
      </c>
      <c r="S109" s="22">
        <f t="shared" si="6"/>
        <v>46288.821122685185</v>
      </c>
      <c r="T109" s="23">
        <f t="shared" si="7"/>
        <v>0</v>
      </c>
      <c r="U109" s="23">
        <f t="shared" si="8"/>
        <v>0</v>
      </c>
      <c r="V109" s="23">
        <f t="shared" si="9"/>
        <v>0</v>
      </c>
    </row>
    <row r="110" spans="1:22" ht="15" customHeight="1" x14ac:dyDescent="0.35">
      <c r="A110" t="s">
        <v>135</v>
      </c>
      <c r="B110">
        <v>27</v>
      </c>
      <c r="C110" t="s">
        <v>155</v>
      </c>
      <c r="D110" t="s">
        <v>61</v>
      </c>
      <c r="E110" t="s">
        <v>25</v>
      </c>
      <c r="F110" t="s">
        <v>62</v>
      </c>
      <c r="G110">
        <v>5</v>
      </c>
      <c r="H110">
        <v>0</v>
      </c>
      <c r="I110">
        <v>0</v>
      </c>
      <c r="J110">
        <v>0</v>
      </c>
      <c r="K110">
        <v>0</v>
      </c>
      <c r="L110">
        <v>0.28089999999999998</v>
      </c>
      <c r="M110" t="s">
        <v>27</v>
      </c>
      <c r="N110" t="s">
        <v>63</v>
      </c>
      <c r="O110" t="s">
        <v>64</v>
      </c>
      <c r="P110" t="s">
        <v>65</v>
      </c>
      <c r="Q110" t="s">
        <v>66</v>
      </c>
      <c r="R110" s="22">
        <f t="shared" si="5"/>
        <v>46288.821119434026</v>
      </c>
      <c r="S110" s="22">
        <f t="shared" si="6"/>
        <v>46288.821122685185</v>
      </c>
      <c r="T110" s="23">
        <f t="shared" si="7"/>
        <v>0.28090020641684532</v>
      </c>
      <c r="U110" s="23">
        <f t="shared" si="8"/>
        <v>0.28090020641684532</v>
      </c>
      <c r="V110" s="23">
        <f t="shared" si="9"/>
        <v>0.28090020641684532</v>
      </c>
    </row>
    <row r="111" spans="1:22" ht="15" customHeight="1" x14ac:dyDescent="0.35">
      <c r="A111" t="s">
        <v>135</v>
      </c>
      <c r="B111">
        <v>28</v>
      </c>
      <c r="C111" t="s">
        <v>155</v>
      </c>
      <c r="D111" t="s">
        <v>61</v>
      </c>
      <c r="E111" t="s">
        <v>25</v>
      </c>
      <c r="F111" t="s">
        <v>62</v>
      </c>
      <c r="G111">
        <v>5</v>
      </c>
      <c r="H111">
        <v>0</v>
      </c>
      <c r="I111">
        <v>0</v>
      </c>
      <c r="J111">
        <v>0</v>
      </c>
      <c r="K111">
        <v>0</v>
      </c>
      <c r="L111">
        <v>0.188863</v>
      </c>
      <c r="M111" t="s">
        <v>27</v>
      </c>
      <c r="N111" t="s">
        <v>63</v>
      </c>
      <c r="O111" t="s">
        <v>64</v>
      </c>
      <c r="P111" t="s">
        <v>65</v>
      </c>
      <c r="Q111" t="s">
        <v>66</v>
      </c>
      <c r="R111" s="22">
        <f t="shared" si="5"/>
        <v>46288.821120499269</v>
      </c>
      <c r="S111" s="22">
        <f t="shared" si="6"/>
        <v>46288.821122685185</v>
      </c>
      <c r="T111" s="23">
        <f t="shared" si="7"/>
        <v>0</v>
      </c>
      <c r="U111" s="23">
        <f t="shared" si="8"/>
        <v>0</v>
      </c>
      <c r="V111" s="23">
        <f t="shared" si="9"/>
        <v>0</v>
      </c>
    </row>
    <row r="112" spans="1:22" ht="15" customHeight="1" x14ac:dyDescent="0.35">
      <c r="A112" t="s">
        <v>135</v>
      </c>
      <c r="B112">
        <v>29</v>
      </c>
      <c r="C112" t="s">
        <v>156</v>
      </c>
      <c r="D112" t="s">
        <v>61</v>
      </c>
      <c r="E112" t="s">
        <v>25</v>
      </c>
      <c r="F112" t="s">
        <v>62</v>
      </c>
      <c r="G112">
        <v>5</v>
      </c>
      <c r="H112">
        <v>0</v>
      </c>
      <c r="I112">
        <v>0</v>
      </c>
      <c r="J112">
        <v>0</v>
      </c>
      <c r="K112">
        <v>0</v>
      </c>
      <c r="L112">
        <v>0.18764700000000001</v>
      </c>
      <c r="M112" t="s">
        <v>27</v>
      </c>
      <c r="N112" t="s">
        <v>63</v>
      </c>
      <c r="O112" t="s">
        <v>64</v>
      </c>
      <c r="P112" t="s">
        <v>65</v>
      </c>
      <c r="Q112" t="s">
        <v>66</v>
      </c>
      <c r="R112" s="22">
        <f t="shared" si="5"/>
        <v>46288.821132087425</v>
      </c>
      <c r="S112" s="22">
        <f t="shared" si="6"/>
        <v>46288.821134259262</v>
      </c>
      <c r="T112" s="23">
        <f t="shared" si="7"/>
        <v>0</v>
      </c>
      <c r="U112" s="23">
        <f t="shared" si="8"/>
        <v>0</v>
      </c>
      <c r="V112" s="23">
        <f t="shared" si="9"/>
        <v>0</v>
      </c>
    </row>
    <row r="113" spans="1:22" ht="15" customHeight="1" x14ac:dyDescent="0.35">
      <c r="A113" t="s">
        <v>135</v>
      </c>
      <c r="B113">
        <v>30</v>
      </c>
      <c r="C113" t="s">
        <v>156</v>
      </c>
      <c r="D113" t="s">
        <v>61</v>
      </c>
      <c r="E113" t="s">
        <v>25</v>
      </c>
      <c r="F113" t="s">
        <v>62</v>
      </c>
      <c r="G113">
        <v>4</v>
      </c>
      <c r="H113">
        <v>0</v>
      </c>
      <c r="I113">
        <v>0</v>
      </c>
      <c r="J113">
        <v>0</v>
      </c>
      <c r="K113">
        <v>0</v>
      </c>
      <c r="L113">
        <v>0.21399000000000001</v>
      </c>
      <c r="M113" t="s">
        <v>27</v>
      </c>
      <c r="N113" t="s">
        <v>63</v>
      </c>
      <c r="O113" t="s">
        <v>64</v>
      </c>
      <c r="P113" t="s">
        <v>65</v>
      </c>
      <c r="Q113" t="s">
        <v>66</v>
      </c>
      <c r="R113" s="22">
        <f t="shared" si="5"/>
        <v>46288.821131782526</v>
      </c>
      <c r="S113" s="22">
        <f t="shared" si="6"/>
        <v>46288.821134259262</v>
      </c>
      <c r="T113" s="23">
        <f t="shared" si="7"/>
        <v>0.2139899879693985</v>
      </c>
      <c r="U113" s="23">
        <f t="shared" si="8"/>
        <v>0.2139899879693985</v>
      </c>
      <c r="V113" s="23">
        <f t="shared" si="9"/>
        <v>0.2139899879693985</v>
      </c>
    </row>
    <row r="114" spans="1:22" ht="15" customHeight="1" x14ac:dyDescent="0.35">
      <c r="A114" t="s">
        <v>135</v>
      </c>
      <c r="B114">
        <v>31</v>
      </c>
      <c r="C114" t="s">
        <v>156</v>
      </c>
      <c r="D114" t="s">
        <v>61</v>
      </c>
      <c r="E114" t="s">
        <v>25</v>
      </c>
      <c r="F114" t="s">
        <v>62</v>
      </c>
      <c r="G114">
        <v>4</v>
      </c>
      <c r="H114">
        <v>0</v>
      </c>
      <c r="I114">
        <v>0</v>
      </c>
      <c r="J114">
        <v>0</v>
      </c>
      <c r="K114">
        <v>0</v>
      </c>
      <c r="L114">
        <v>0.21074300000000001</v>
      </c>
      <c r="M114" t="s">
        <v>27</v>
      </c>
      <c r="N114" t="s">
        <v>63</v>
      </c>
      <c r="O114" t="s">
        <v>64</v>
      </c>
      <c r="P114" t="s">
        <v>65</v>
      </c>
      <c r="Q114" t="s">
        <v>66</v>
      </c>
      <c r="R114" s="22">
        <f t="shared" si="5"/>
        <v>46288.821131820107</v>
      </c>
      <c r="S114" s="22">
        <f t="shared" si="6"/>
        <v>46288.821134259262</v>
      </c>
      <c r="T114" s="23">
        <f t="shared" si="7"/>
        <v>0</v>
      </c>
      <c r="U114" s="23">
        <f t="shared" si="8"/>
        <v>0</v>
      </c>
      <c r="V114" s="23">
        <f t="shared" si="9"/>
        <v>0</v>
      </c>
    </row>
    <row r="115" spans="1:22" ht="15" customHeight="1" x14ac:dyDescent="0.35">
      <c r="A115" t="s">
        <v>135</v>
      </c>
      <c r="B115">
        <v>32</v>
      </c>
      <c r="C115" t="s">
        <v>156</v>
      </c>
      <c r="D115" t="s">
        <v>61</v>
      </c>
      <c r="E115" t="s">
        <v>25</v>
      </c>
      <c r="F115" t="s">
        <v>62</v>
      </c>
      <c r="G115">
        <v>3</v>
      </c>
      <c r="H115">
        <v>0</v>
      </c>
      <c r="I115">
        <v>0</v>
      </c>
      <c r="J115">
        <v>0</v>
      </c>
      <c r="K115">
        <v>0</v>
      </c>
      <c r="L115">
        <v>0.19745299999999999</v>
      </c>
      <c r="M115" t="s">
        <v>27</v>
      </c>
      <c r="N115" t="s">
        <v>63</v>
      </c>
      <c r="O115" t="s">
        <v>64</v>
      </c>
      <c r="P115" t="s">
        <v>65</v>
      </c>
      <c r="Q115" t="s">
        <v>66</v>
      </c>
      <c r="R115" s="22">
        <f t="shared" si="5"/>
        <v>46288.821131973928</v>
      </c>
      <c r="S115" s="22">
        <f t="shared" si="6"/>
        <v>46288.821134259262</v>
      </c>
      <c r="T115" s="23">
        <f t="shared" si="7"/>
        <v>0</v>
      </c>
      <c r="U115" s="23">
        <f t="shared" si="8"/>
        <v>0</v>
      </c>
      <c r="V115" s="23">
        <f t="shared" si="9"/>
        <v>0</v>
      </c>
    </row>
    <row r="116" spans="1:22" ht="15" customHeight="1" x14ac:dyDescent="0.35">
      <c r="A116" t="s">
        <v>135</v>
      </c>
      <c r="B116">
        <v>33</v>
      </c>
      <c r="C116" t="s">
        <v>157</v>
      </c>
      <c r="D116" t="s">
        <v>61</v>
      </c>
      <c r="E116" t="s">
        <v>25</v>
      </c>
      <c r="F116" t="s">
        <v>62</v>
      </c>
      <c r="G116">
        <v>4</v>
      </c>
      <c r="H116">
        <v>0</v>
      </c>
      <c r="I116">
        <v>0</v>
      </c>
      <c r="J116">
        <v>0</v>
      </c>
      <c r="K116">
        <v>0</v>
      </c>
      <c r="L116">
        <v>0.243641</v>
      </c>
      <c r="M116" t="s">
        <v>27</v>
      </c>
      <c r="N116" t="s">
        <v>63</v>
      </c>
      <c r="O116" t="s">
        <v>64</v>
      </c>
      <c r="P116" t="s">
        <v>65</v>
      </c>
      <c r="Q116" t="s">
        <v>66</v>
      </c>
      <c r="R116" s="22">
        <f t="shared" si="5"/>
        <v>46288.821143013411</v>
      </c>
      <c r="S116" s="22">
        <f t="shared" si="6"/>
        <v>46288.821145833332</v>
      </c>
      <c r="T116" s="23">
        <f t="shared" si="7"/>
        <v>0.24364117998629808</v>
      </c>
      <c r="U116" s="23">
        <f t="shared" si="8"/>
        <v>0.24364117998629808</v>
      </c>
      <c r="V116" s="23">
        <f t="shared" si="9"/>
        <v>0.24364117998629808</v>
      </c>
    </row>
    <row r="117" spans="1:22" ht="15" customHeight="1" x14ac:dyDescent="0.35">
      <c r="A117" t="s">
        <v>135</v>
      </c>
      <c r="B117">
        <v>34</v>
      </c>
      <c r="C117" t="s">
        <v>157</v>
      </c>
      <c r="D117" t="s">
        <v>61</v>
      </c>
      <c r="E117" t="s">
        <v>25</v>
      </c>
      <c r="F117" t="s">
        <v>62</v>
      </c>
      <c r="G117">
        <v>4</v>
      </c>
      <c r="H117">
        <v>0</v>
      </c>
      <c r="I117">
        <v>0</v>
      </c>
      <c r="J117">
        <v>0</v>
      </c>
      <c r="K117">
        <v>0</v>
      </c>
      <c r="L117">
        <v>0.194022</v>
      </c>
      <c r="M117" t="s">
        <v>27</v>
      </c>
      <c r="N117" t="s">
        <v>63</v>
      </c>
      <c r="O117" t="s">
        <v>64</v>
      </c>
      <c r="P117" t="s">
        <v>65</v>
      </c>
      <c r="Q117" t="s">
        <v>66</v>
      </c>
      <c r="R117" s="22">
        <f t="shared" si="5"/>
        <v>46288.821143587709</v>
      </c>
      <c r="S117" s="22">
        <f t="shared" si="6"/>
        <v>46288.821145833332</v>
      </c>
      <c r="T117" s="23">
        <f t="shared" si="7"/>
        <v>0</v>
      </c>
      <c r="U117" s="23">
        <f t="shared" si="8"/>
        <v>0</v>
      </c>
      <c r="V117" s="23">
        <f t="shared" si="9"/>
        <v>0</v>
      </c>
    </row>
    <row r="118" spans="1:22" ht="15" customHeight="1" x14ac:dyDescent="0.35">
      <c r="A118" t="s">
        <v>135</v>
      </c>
      <c r="B118">
        <v>35</v>
      </c>
      <c r="C118" t="s">
        <v>158</v>
      </c>
      <c r="D118" t="s">
        <v>61</v>
      </c>
      <c r="E118" t="s">
        <v>25</v>
      </c>
      <c r="F118" t="s">
        <v>62</v>
      </c>
      <c r="G118">
        <v>5</v>
      </c>
      <c r="H118">
        <v>0</v>
      </c>
      <c r="I118">
        <v>0</v>
      </c>
      <c r="J118">
        <v>0</v>
      </c>
      <c r="K118">
        <v>0</v>
      </c>
      <c r="L118">
        <v>0.23286299999999999</v>
      </c>
      <c r="M118" t="s">
        <v>27</v>
      </c>
      <c r="N118" t="s">
        <v>63</v>
      </c>
      <c r="O118" t="s">
        <v>64</v>
      </c>
      <c r="P118" t="s">
        <v>65</v>
      </c>
      <c r="Q118" t="s">
        <v>66</v>
      </c>
      <c r="R118" s="22">
        <f t="shared" si="5"/>
        <v>46288.821154712234</v>
      </c>
      <c r="S118" s="22">
        <f t="shared" si="6"/>
        <v>46288.821157407408</v>
      </c>
      <c r="T118" s="23">
        <f t="shared" si="7"/>
        <v>0.23286310024559498</v>
      </c>
      <c r="U118" s="23">
        <f t="shared" si="8"/>
        <v>0.23286310024559498</v>
      </c>
      <c r="V118" s="23">
        <f t="shared" si="9"/>
        <v>0.23286310024559498</v>
      </c>
    </row>
    <row r="119" spans="1:22" ht="15" customHeight="1" x14ac:dyDescent="0.35">
      <c r="A119" t="s">
        <v>135</v>
      </c>
      <c r="B119">
        <v>36</v>
      </c>
      <c r="C119" t="s">
        <v>158</v>
      </c>
      <c r="D119" t="s">
        <v>61</v>
      </c>
      <c r="E119" t="s">
        <v>25</v>
      </c>
      <c r="F119" t="s">
        <v>62</v>
      </c>
      <c r="G119">
        <v>5</v>
      </c>
      <c r="H119">
        <v>0</v>
      </c>
      <c r="I119">
        <v>0</v>
      </c>
      <c r="J119">
        <v>0</v>
      </c>
      <c r="K119">
        <v>0</v>
      </c>
      <c r="L119">
        <v>0.205955</v>
      </c>
      <c r="M119" t="s">
        <v>27</v>
      </c>
      <c r="N119" t="s">
        <v>63</v>
      </c>
      <c r="O119" t="s">
        <v>64</v>
      </c>
      <c r="P119" t="s">
        <v>65</v>
      </c>
      <c r="Q119" t="s">
        <v>66</v>
      </c>
      <c r="R119" s="22">
        <f t="shared" si="5"/>
        <v>46288.821155023667</v>
      </c>
      <c r="S119" s="22">
        <f t="shared" si="6"/>
        <v>46288.821157407408</v>
      </c>
      <c r="T119" s="23">
        <f t="shared" si="7"/>
        <v>0</v>
      </c>
      <c r="U119" s="23">
        <f t="shared" si="8"/>
        <v>0</v>
      </c>
      <c r="V119" s="23">
        <f t="shared" si="9"/>
        <v>0</v>
      </c>
    </row>
    <row r="120" spans="1:22" ht="15" customHeight="1" x14ac:dyDescent="0.35">
      <c r="A120" t="s">
        <v>135</v>
      </c>
      <c r="B120">
        <v>37</v>
      </c>
      <c r="C120" t="s">
        <v>158</v>
      </c>
      <c r="D120" t="s">
        <v>61</v>
      </c>
      <c r="E120" t="s">
        <v>25</v>
      </c>
      <c r="F120" t="s">
        <v>62</v>
      </c>
      <c r="G120">
        <v>15</v>
      </c>
      <c r="H120">
        <v>0</v>
      </c>
      <c r="I120">
        <v>0</v>
      </c>
      <c r="J120">
        <v>0</v>
      </c>
      <c r="K120">
        <v>0</v>
      </c>
      <c r="L120">
        <v>0.21060300000000001</v>
      </c>
      <c r="M120" t="s">
        <v>27</v>
      </c>
      <c r="N120" t="s">
        <v>63</v>
      </c>
      <c r="O120" t="s">
        <v>64</v>
      </c>
      <c r="P120" t="s">
        <v>65</v>
      </c>
      <c r="Q120" t="s">
        <v>66</v>
      </c>
      <c r="R120" s="22">
        <f t="shared" si="5"/>
        <v>46288.821154969875</v>
      </c>
      <c r="S120" s="22">
        <f t="shared" si="6"/>
        <v>46288.821157407408</v>
      </c>
      <c r="T120" s="23">
        <f t="shared" si="7"/>
        <v>0</v>
      </c>
      <c r="U120" s="23">
        <f t="shared" si="8"/>
        <v>0</v>
      </c>
      <c r="V120" s="23">
        <f t="shared" si="9"/>
        <v>0</v>
      </c>
    </row>
    <row r="121" spans="1:22" ht="15" customHeight="1" x14ac:dyDescent="0.35">
      <c r="A121" t="s">
        <v>135</v>
      </c>
      <c r="B121">
        <v>38</v>
      </c>
      <c r="C121" t="s">
        <v>159</v>
      </c>
      <c r="D121" t="s">
        <v>61</v>
      </c>
      <c r="E121" t="s">
        <v>25</v>
      </c>
      <c r="F121" t="s">
        <v>62</v>
      </c>
      <c r="G121">
        <v>5</v>
      </c>
      <c r="H121">
        <v>0</v>
      </c>
      <c r="I121">
        <v>0</v>
      </c>
      <c r="J121">
        <v>0</v>
      </c>
      <c r="K121">
        <v>0</v>
      </c>
      <c r="L121">
        <v>0.19748199999999999</v>
      </c>
      <c r="M121" t="s">
        <v>27</v>
      </c>
      <c r="N121" t="s">
        <v>63</v>
      </c>
      <c r="O121" t="s">
        <v>64</v>
      </c>
      <c r="P121" t="s">
        <v>65</v>
      </c>
      <c r="Q121" t="s">
        <v>66</v>
      </c>
      <c r="R121" s="22">
        <f t="shared" si="5"/>
        <v>46288.821166695809</v>
      </c>
      <c r="S121" s="22">
        <f t="shared" si="6"/>
        <v>46288.821168981478</v>
      </c>
      <c r="T121" s="23">
        <f t="shared" si="7"/>
        <v>0.19748182967305183</v>
      </c>
      <c r="U121" s="23">
        <f t="shared" si="8"/>
        <v>0.19748182967305183</v>
      </c>
      <c r="V121" s="23">
        <f t="shared" si="9"/>
        <v>0.19748182967305183</v>
      </c>
    </row>
    <row r="122" spans="1:22" ht="15" customHeight="1" x14ac:dyDescent="0.35">
      <c r="A122" t="s">
        <v>135</v>
      </c>
      <c r="B122">
        <v>39</v>
      </c>
      <c r="C122" t="s">
        <v>159</v>
      </c>
      <c r="D122" t="s">
        <v>61</v>
      </c>
      <c r="E122" t="s">
        <v>25</v>
      </c>
      <c r="F122" t="s">
        <v>62</v>
      </c>
      <c r="G122">
        <v>3</v>
      </c>
      <c r="H122">
        <v>0</v>
      </c>
      <c r="I122">
        <v>0</v>
      </c>
      <c r="J122">
        <v>0</v>
      </c>
      <c r="K122">
        <v>0</v>
      </c>
      <c r="L122">
        <v>0.18282399999999999</v>
      </c>
      <c r="M122" t="s">
        <v>27</v>
      </c>
      <c r="N122" t="s">
        <v>63</v>
      </c>
      <c r="O122" t="s">
        <v>64</v>
      </c>
      <c r="P122" t="s">
        <v>65</v>
      </c>
      <c r="Q122" t="s">
        <v>66</v>
      </c>
      <c r="R122" s="22">
        <f t="shared" si="5"/>
        <v>46288.821166865462</v>
      </c>
      <c r="S122" s="22">
        <f t="shared" si="6"/>
        <v>46288.821168981478</v>
      </c>
      <c r="T122" s="23">
        <f t="shared" si="7"/>
        <v>0</v>
      </c>
      <c r="U122" s="23">
        <f t="shared" si="8"/>
        <v>0</v>
      </c>
      <c r="V122" s="23">
        <f t="shared" si="9"/>
        <v>0</v>
      </c>
    </row>
    <row r="123" spans="1:22" ht="15" customHeight="1" x14ac:dyDescent="0.35">
      <c r="A123" t="s">
        <v>135</v>
      </c>
      <c r="B123">
        <v>40</v>
      </c>
      <c r="C123" t="s">
        <v>159</v>
      </c>
      <c r="D123" t="s">
        <v>61</v>
      </c>
      <c r="E123" t="s">
        <v>25</v>
      </c>
      <c r="F123" t="s">
        <v>62</v>
      </c>
      <c r="G123">
        <v>2</v>
      </c>
      <c r="H123">
        <v>0</v>
      </c>
      <c r="I123">
        <v>0</v>
      </c>
      <c r="J123">
        <v>0</v>
      </c>
      <c r="K123">
        <v>0</v>
      </c>
      <c r="L123">
        <v>0.18184800000000001</v>
      </c>
      <c r="M123" t="s">
        <v>27</v>
      </c>
      <c r="N123" t="s">
        <v>63</v>
      </c>
      <c r="O123" t="s">
        <v>64</v>
      </c>
      <c r="P123" t="s">
        <v>65</v>
      </c>
      <c r="Q123" t="s">
        <v>66</v>
      </c>
      <c r="R123" s="22">
        <f t="shared" si="5"/>
        <v>46288.821166876754</v>
      </c>
      <c r="S123" s="22">
        <f t="shared" si="6"/>
        <v>46288.821168981478</v>
      </c>
      <c r="T123" s="23">
        <f t="shared" si="7"/>
        <v>0</v>
      </c>
      <c r="U123" s="23">
        <f t="shared" si="8"/>
        <v>0</v>
      </c>
      <c r="V123" s="23">
        <f t="shared" si="9"/>
        <v>0</v>
      </c>
    </row>
    <row r="124" spans="1:22" ht="15" customHeight="1" x14ac:dyDescent="0.35">
      <c r="A124" t="s">
        <v>135</v>
      </c>
      <c r="B124">
        <v>41</v>
      </c>
      <c r="C124" t="s">
        <v>160</v>
      </c>
      <c r="D124" t="s">
        <v>61</v>
      </c>
      <c r="E124" t="s">
        <v>25</v>
      </c>
      <c r="F124" t="s">
        <v>62</v>
      </c>
      <c r="G124">
        <v>4</v>
      </c>
      <c r="H124">
        <v>0</v>
      </c>
      <c r="I124">
        <v>0</v>
      </c>
      <c r="J124">
        <v>0</v>
      </c>
      <c r="K124">
        <v>0</v>
      </c>
      <c r="L124">
        <v>0.186306</v>
      </c>
      <c r="M124" t="s">
        <v>27</v>
      </c>
      <c r="N124" t="s">
        <v>63</v>
      </c>
      <c r="O124" t="s">
        <v>64</v>
      </c>
      <c r="P124" t="s">
        <v>65</v>
      </c>
      <c r="Q124" t="s">
        <v>66</v>
      </c>
      <c r="R124" s="22">
        <f t="shared" si="5"/>
        <v>46288.821178399237</v>
      </c>
      <c r="S124" s="22">
        <f t="shared" si="6"/>
        <v>46288.821180555555</v>
      </c>
      <c r="T124" s="23">
        <f t="shared" si="7"/>
        <v>0</v>
      </c>
      <c r="U124" s="23">
        <f t="shared" si="8"/>
        <v>0</v>
      </c>
      <c r="V124" s="23">
        <f t="shared" si="9"/>
        <v>0</v>
      </c>
    </row>
    <row r="125" spans="1:22" ht="15" customHeight="1" x14ac:dyDescent="0.35">
      <c r="A125" t="s">
        <v>135</v>
      </c>
      <c r="B125">
        <v>42</v>
      </c>
      <c r="C125" t="s">
        <v>160</v>
      </c>
      <c r="D125" t="s">
        <v>61</v>
      </c>
      <c r="E125" t="s">
        <v>25</v>
      </c>
      <c r="F125" t="s">
        <v>62</v>
      </c>
      <c r="G125">
        <v>4</v>
      </c>
      <c r="H125">
        <v>0</v>
      </c>
      <c r="I125">
        <v>0</v>
      </c>
      <c r="J125">
        <v>0</v>
      </c>
      <c r="K125">
        <v>0</v>
      </c>
      <c r="L125">
        <v>0.191886</v>
      </c>
      <c r="M125" t="s">
        <v>27</v>
      </c>
      <c r="N125" t="s">
        <v>63</v>
      </c>
      <c r="O125" t="s">
        <v>64</v>
      </c>
      <c r="P125" t="s">
        <v>65</v>
      </c>
      <c r="Q125" t="s">
        <v>66</v>
      </c>
      <c r="R125" s="22">
        <f t="shared" si="5"/>
        <v>46288.821178334649</v>
      </c>
      <c r="S125" s="22">
        <f t="shared" si="6"/>
        <v>46288.821180555555</v>
      </c>
      <c r="T125" s="23">
        <f t="shared" si="7"/>
        <v>0</v>
      </c>
      <c r="U125" s="23">
        <f t="shared" si="8"/>
        <v>0</v>
      </c>
      <c r="V125" s="23">
        <f t="shared" si="9"/>
        <v>0</v>
      </c>
    </row>
    <row r="126" spans="1:22" ht="15" customHeight="1" x14ac:dyDescent="0.35">
      <c r="A126" t="s">
        <v>135</v>
      </c>
      <c r="B126">
        <v>43</v>
      </c>
      <c r="C126" t="s">
        <v>160</v>
      </c>
      <c r="D126" t="s">
        <v>61</v>
      </c>
      <c r="E126" t="s">
        <v>25</v>
      </c>
      <c r="F126" t="s">
        <v>62</v>
      </c>
      <c r="G126">
        <v>4</v>
      </c>
      <c r="H126">
        <v>0</v>
      </c>
      <c r="I126">
        <v>0</v>
      </c>
      <c r="J126">
        <v>0</v>
      </c>
      <c r="K126">
        <v>0</v>
      </c>
      <c r="L126">
        <v>0.20100000000000001</v>
      </c>
      <c r="M126" t="s">
        <v>27</v>
      </c>
      <c r="N126" t="s">
        <v>63</v>
      </c>
      <c r="O126" t="s">
        <v>64</v>
      </c>
      <c r="P126" t="s">
        <v>65</v>
      </c>
      <c r="Q126" t="s">
        <v>66</v>
      </c>
      <c r="R126" s="22">
        <f t="shared" si="5"/>
        <v>46288.821178229169</v>
      </c>
      <c r="S126" s="22">
        <f t="shared" si="6"/>
        <v>46288.821180555555</v>
      </c>
      <c r="T126" s="23">
        <f t="shared" si="7"/>
        <v>0.20099971443414688</v>
      </c>
      <c r="U126" s="23">
        <f t="shared" si="8"/>
        <v>0.20099971443414688</v>
      </c>
      <c r="V126" s="23">
        <f t="shared" si="9"/>
        <v>0.20099971443414688</v>
      </c>
    </row>
    <row r="127" spans="1:22" ht="15" customHeight="1" x14ac:dyDescent="0.35">
      <c r="A127" t="s">
        <v>135</v>
      </c>
      <c r="B127">
        <v>44</v>
      </c>
      <c r="C127" t="s">
        <v>160</v>
      </c>
      <c r="D127" t="s">
        <v>61</v>
      </c>
      <c r="E127" t="s">
        <v>25</v>
      </c>
      <c r="F127" t="s">
        <v>62</v>
      </c>
      <c r="G127">
        <v>17</v>
      </c>
      <c r="H127">
        <v>0</v>
      </c>
      <c r="I127">
        <v>0</v>
      </c>
      <c r="J127">
        <v>0</v>
      </c>
      <c r="K127">
        <v>0</v>
      </c>
      <c r="L127">
        <v>0.18568100000000001</v>
      </c>
      <c r="M127" t="s">
        <v>27</v>
      </c>
      <c r="N127" t="s">
        <v>63</v>
      </c>
      <c r="O127" t="s">
        <v>64</v>
      </c>
      <c r="P127" t="s">
        <v>65</v>
      </c>
      <c r="Q127" t="s">
        <v>66</v>
      </c>
      <c r="R127" s="22">
        <f t="shared" si="5"/>
        <v>46288.82117840647</v>
      </c>
      <c r="S127" s="22">
        <f t="shared" si="6"/>
        <v>46288.821180555555</v>
      </c>
      <c r="T127" s="23">
        <f t="shared" si="7"/>
        <v>0</v>
      </c>
      <c r="U127" s="23">
        <f t="shared" si="8"/>
        <v>0</v>
      </c>
      <c r="V127" s="23">
        <f t="shared" si="9"/>
        <v>0</v>
      </c>
    </row>
    <row r="128" spans="1:22" ht="15" customHeight="1" x14ac:dyDescent="0.35">
      <c r="A128" t="s">
        <v>135</v>
      </c>
      <c r="B128">
        <v>45</v>
      </c>
      <c r="C128" t="s">
        <v>161</v>
      </c>
      <c r="D128" t="s">
        <v>61</v>
      </c>
      <c r="E128" t="s">
        <v>25</v>
      </c>
      <c r="F128" t="s">
        <v>62</v>
      </c>
      <c r="G128">
        <v>7</v>
      </c>
      <c r="H128">
        <v>0</v>
      </c>
      <c r="I128">
        <v>0</v>
      </c>
      <c r="J128">
        <v>0</v>
      </c>
      <c r="K128">
        <v>0</v>
      </c>
      <c r="L128">
        <v>0.176431</v>
      </c>
      <c r="M128" t="s">
        <v>27</v>
      </c>
      <c r="N128" t="s">
        <v>63</v>
      </c>
      <c r="O128" t="s">
        <v>64</v>
      </c>
      <c r="P128" t="s">
        <v>65</v>
      </c>
      <c r="Q128" t="s">
        <v>66</v>
      </c>
      <c r="R128" s="22">
        <f t="shared" si="5"/>
        <v>46288.821190087605</v>
      </c>
      <c r="S128" s="22">
        <f t="shared" si="6"/>
        <v>46288.821192129632</v>
      </c>
      <c r="T128" s="23">
        <f t="shared" si="7"/>
        <v>0</v>
      </c>
      <c r="U128" s="23">
        <f t="shared" si="8"/>
        <v>0</v>
      </c>
      <c r="V128" s="23">
        <f t="shared" si="9"/>
        <v>0</v>
      </c>
    </row>
    <row r="129" spans="1:22" ht="15" customHeight="1" x14ac:dyDescent="0.35">
      <c r="A129" t="s">
        <v>135</v>
      </c>
      <c r="B129">
        <v>46</v>
      </c>
      <c r="C129" t="s">
        <v>161</v>
      </c>
      <c r="D129" t="s">
        <v>61</v>
      </c>
      <c r="E129" t="s">
        <v>25</v>
      </c>
      <c r="F129" t="s">
        <v>62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0.184447</v>
      </c>
      <c r="M129" t="s">
        <v>27</v>
      </c>
      <c r="N129" t="s">
        <v>63</v>
      </c>
      <c r="O129" t="s">
        <v>64</v>
      </c>
      <c r="P129" t="s">
        <v>65</v>
      </c>
      <c r="Q129" t="s">
        <v>66</v>
      </c>
      <c r="R129" s="22">
        <f t="shared" si="5"/>
        <v>46288.821189994829</v>
      </c>
      <c r="S129" s="22">
        <f t="shared" si="6"/>
        <v>46288.821192129632</v>
      </c>
      <c r="T129" s="23">
        <f t="shared" si="7"/>
        <v>0.18444692250341177</v>
      </c>
      <c r="U129" s="23">
        <f t="shared" si="8"/>
        <v>0.18444692250341177</v>
      </c>
      <c r="V129" s="23">
        <f t="shared" si="9"/>
        <v>0.18444692250341177</v>
      </c>
    </row>
    <row r="130" spans="1:22" ht="15" customHeight="1" x14ac:dyDescent="0.35">
      <c r="A130" t="s">
        <v>135</v>
      </c>
      <c r="B130">
        <v>47</v>
      </c>
      <c r="C130" t="s">
        <v>162</v>
      </c>
      <c r="D130" t="s">
        <v>61</v>
      </c>
      <c r="E130" t="s">
        <v>25</v>
      </c>
      <c r="F130" t="s">
        <v>62</v>
      </c>
      <c r="G130">
        <v>4</v>
      </c>
      <c r="H130">
        <v>0</v>
      </c>
      <c r="I130">
        <v>0</v>
      </c>
      <c r="J130">
        <v>0</v>
      </c>
      <c r="K130">
        <v>0</v>
      </c>
      <c r="L130">
        <v>0.27345999999999998</v>
      </c>
      <c r="M130" t="s">
        <v>27</v>
      </c>
      <c r="N130" t="s">
        <v>63</v>
      </c>
      <c r="O130" t="s">
        <v>64</v>
      </c>
      <c r="P130" t="s">
        <v>65</v>
      </c>
      <c r="Q130" t="s">
        <v>66</v>
      </c>
      <c r="R130" s="22">
        <f t="shared" ref="R130:R193" si="10">S130-L130/86400</f>
        <v>46288.821200538652</v>
      </c>
      <c r="S130" s="22">
        <f t="shared" ref="S130:S193" si="11">DATEVALUE(LEFT(C130,10))+TIMEVALUE(MID(C130,12,8))</f>
        <v>46288.821203703701</v>
      </c>
      <c r="T130" s="23">
        <f t="shared" ref="T130:T193" si="12">MAX(0,S130-MAX(R130,_xlfn.MAXIFS($S$2:$S$486,$A$2:$A$486,A130,$D$2:$D$486,D130,$F$2:$F$486,F130,$R$2:$R$486,"&lt;"&amp;R130)))*86400</f>
        <v>0.27346021961420774</v>
      </c>
      <c r="U130" s="23">
        <f t="shared" ref="U130:U193" si="13">MAX(0,S130-MAX(R130,_xlfn.MAXIFS($S$2:$S$486,$A$2:$A$486,A130,$F$2:$F$486,F130,$R$2:$R$486,"&lt;"&amp;R130)))*86400</f>
        <v>0.27346021961420774</v>
      </c>
      <c r="V130" s="23">
        <f t="shared" ref="V130:V193" si="14">MAX(0,S130-MAX(R130,_xlfn.MAXIFS($S$2:$S$486,$A$2:$A$486,A130,$R$2:$R$486,"&lt;"&amp;R130)))*86400</f>
        <v>0.27346021961420774</v>
      </c>
    </row>
    <row r="131" spans="1:22" ht="15" customHeight="1" x14ac:dyDescent="0.35">
      <c r="A131" t="s">
        <v>135</v>
      </c>
      <c r="B131">
        <v>48</v>
      </c>
      <c r="C131" t="s">
        <v>162</v>
      </c>
      <c r="D131" t="s">
        <v>61</v>
      </c>
      <c r="E131" t="s">
        <v>25</v>
      </c>
      <c r="F131" t="s">
        <v>62</v>
      </c>
      <c r="G131">
        <v>6</v>
      </c>
      <c r="H131">
        <v>0</v>
      </c>
      <c r="I131">
        <v>0</v>
      </c>
      <c r="J131">
        <v>0</v>
      </c>
      <c r="K131">
        <v>0</v>
      </c>
      <c r="L131">
        <v>0.186802</v>
      </c>
      <c r="M131" t="s">
        <v>27</v>
      </c>
      <c r="N131" t="s">
        <v>63</v>
      </c>
      <c r="O131" t="s">
        <v>64</v>
      </c>
      <c r="P131" t="s">
        <v>65</v>
      </c>
      <c r="Q131" t="s">
        <v>66</v>
      </c>
      <c r="R131" s="22">
        <f t="shared" si="10"/>
        <v>46288.821201541643</v>
      </c>
      <c r="S131" s="22">
        <f t="shared" si="11"/>
        <v>46288.821203703701</v>
      </c>
      <c r="T131" s="23">
        <f t="shared" si="12"/>
        <v>0</v>
      </c>
      <c r="U131" s="23">
        <f t="shared" si="13"/>
        <v>0</v>
      </c>
      <c r="V131" s="23">
        <f t="shared" si="14"/>
        <v>0</v>
      </c>
    </row>
    <row r="132" spans="1:22" ht="15" customHeight="1" x14ac:dyDescent="0.35">
      <c r="A132" t="s">
        <v>135</v>
      </c>
      <c r="B132">
        <v>49</v>
      </c>
      <c r="C132" t="s">
        <v>162</v>
      </c>
      <c r="D132" t="s">
        <v>61</v>
      </c>
      <c r="E132" t="s">
        <v>25</v>
      </c>
      <c r="F132" t="s">
        <v>62</v>
      </c>
      <c r="G132">
        <v>5</v>
      </c>
      <c r="H132">
        <v>0</v>
      </c>
      <c r="I132">
        <v>0</v>
      </c>
      <c r="J132">
        <v>0</v>
      </c>
      <c r="K132">
        <v>0</v>
      </c>
      <c r="L132">
        <v>0.21649299999999999</v>
      </c>
      <c r="M132" t="s">
        <v>27</v>
      </c>
      <c r="N132" t="s">
        <v>63</v>
      </c>
      <c r="O132" t="s">
        <v>64</v>
      </c>
      <c r="P132" t="s">
        <v>65</v>
      </c>
      <c r="Q132" t="s">
        <v>66</v>
      </c>
      <c r="R132" s="22">
        <f t="shared" si="10"/>
        <v>46288.821201197992</v>
      </c>
      <c r="S132" s="22">
        <f t="shared" si="11"/>
        <v>46288.821203703701</v>
      </c>
      <c r="T132" s="23">
        <f t="shared" si="12"/>
        <v>0</v>
      </c>
      <c r="U132" s="23">
        <f t="shared" si="13"/>
        <v>0</v>
      </c>
      <c r="V132" s="23">
        <f t="shared" si="14"/>
        <v>0</v>
      </c>
    </row>
    <row r="133" spans="1:22" ht="15" customHeight="1" x14ac:dyDescent="0.35">
      <c r="A133" t="s">
        <v>135</v>
      </c>
      <c r="B133">
        <v>50</v>
      </c>
      <c r="C133" t="s">
        <v>163</v>
      </c>
      <c r="D133" t="s">
        <v>61</v>
      </c>
      <c r="E133" t="s">
        <v>25</v>
      </c>
      <c r="F133" t="s">
        <v>62</v>
      </c>
      <c r="G133">
        <v>4</v>
      </c>
      <c r="H133">
        <v>0</v>
      </c>
      <c r="I133">
        <v>0</v>
      </c>
      <c r="J133">
        <v>0</v>
      </c>
      <c r="K133">
        <v>0</v>
      </c>
      <c r="L133">
        <v>0.19403300000000001</v>
      </c>
      <c r="M133" t="s">
        <v>27</v>
      </c>
      <c r="N133" t="s">
        <v>63</v>
      </c>
      <c r="O133" t="s">
        <v>64</v>
      </c>
      <c r="P133" t="s">
        <v>65</v>
      </c>
      <c r="Q133" t="s">
        <v>66</v>
      </c>
      <c r="R133" s="22">
        <f t="shared" si="10"/>
        <v>46288.821213032024</v>
      </c>
      <c r="S133" s="22">
        <f t="shared" si="11"/>
        <v>46288.821215277778</v>
      </c>
      <c r="T133" s="23">
        <f t="shared" si="12"/>
        <v>0.19403309561312199</v>
      </c>
      <c r="U133" s="23">
        <f t="shared" si="13"/>
        <v>0.19403309561312199</v>
      </c>
      <c r="V133" s="23">
        <f t="shared" si="14"/>
        <v>0.19403309561312199</v>
      </c>
    </row>
    <row r="134" spans="1:22" ht="15" customHeight="1" x14ac:dyDescent="0.35">
      <c r="A134" t="s">
        <v>135</v>
      </c>
      <c r="B134">
        <v>51</v>
      </c>
      <c r="C134" t="s">
        <v>163</v>
      </c>
      <c r="D134" t="s">
        <v>61</v>
      </c>
      <c r="E134" t="s">
        <v>25</v>
      </c>
      <c r="F134" t="s">
        <v>62</v>
      </c>
      <c r="G134">
        <v>18</v>
      </c>
      <c r="H134">
        <v>0</v>
      </c>
      <c r="I134">
        <v>0</v>
      </c>
      <c r="J134">
        <v>0</v>
      </c>
      <c r="K134">
        <v>0</v>
      </c>
      <c r="L134">
        <v>0.17735899999999999</v>
      </c>
      <c r="M134" t="s">
        <v>27</v>
      </c>
      <c r="N134" t="s">
        <v>63</v>
      </c>
      <c r="O134" t="s">
        <v>64</v>
      </c>
      <c r="P134" t="s">
        <v>65</v>
      </c>
      <c r="Q134" t="s">
        <v>66</v>
      </c>
      <c r="R134" s="22">
        <f t="shared" si="10"/>
        <v>46288.821213225012</v>
      </c>
      <c r="S134" s="22">
        <f t="shared" si="11"/>
        <v>46288.821215277778</v>
      </c>
      <c r="T134" s="23">
        <f t="shared" si="12"/>
        <v>0</v>
      </c>
      <c r="U134" s="23">
        <f t="shared" si="13"/>
        <v>0</v>
      </c>
      <c r="V134" s="23">
        <f t="shared" si="14"/>
        <v>0</v>
      </c>
    </row>
    <row r="135" spans="1:22" ht="15" customHeight="1" x14ac:dyDescent="0.35">
      <c r="A135" t="s">
        <v>135</v>
      </c>
      <c r="B135">
        <v>52</v>
      </c>
      <c r="C135" t="s">
        <v>164</v>
      </c>
      <c r="D135" t="s">
        <v>82</v>
      </c>
      <c r="E135" t="s">
        <v>25</v>
      </c>
      <c r="F135" t="s">
        <v>62</v>
      </c>
      <c r="G135">
        <v>140</v>
      </c>
      <c r="H135">
        <v>0</v>
      </c>
      <c r="I135">
        <v>0</v>
      </c>
      <c r="J135">
        <v>0</v>
      </c>
      <c r="K135">
        <v>3.0000000000000001E-6</v>
      </c>
      <c r="L135">
        <v>0.58849600000000002</v>
      </c>
      <c r="M135" t="s">
        <v>27</v>
      </c>
      <c r="N135" t="s">
        <v>63</v>
      </c>
      <c r="O135" t="s">
        <v>83</v>
      </c>
      <c r="P135" t="s">
        <v>84</v>
      </c>
      <c r="Q135" t="s">
        <v>85</v>
      </c>
      <c r="R135" s="22">
        <f t="shared" si="10"/>
        <v>46288.821231614631</v>
      </c>
      <c r="S135" s="22">
        <f t="shared" si="11"/>
        <v>46288.821238425924</v>
      </c>
      <c r="T135" s="23">
        <f t="shared" si="12"/>
        <v>0.58849572669714689</v>
      </c>
      <c r="U135" s="23">
        <f t="shared" si="13"/>
        <v>0.58849572669714689</v>
      </c>
      <c r="V135" s="23">
        <f t="shared" si="14"/>
        <v>0.58849572669714689</v>
      </c>
    </row>
    <row r="136" spans="1:22" ht="15" customHeight="1" x14ac:dyDescent="0.35">
      <c r="A136" t="s">
        <v>135</v>
      </c>
      <c r="B136">
        <v>53</v>
      </c>
      <c r="C136" t="s">
        <v>165</v>
      </c>
      <c r="D136" t="s">
        <v>82</v>
      </c>
      <c r="E136" t="s">
        <v>25</v>
      </c>
      <c r="F136" t="s">
        <v>26</v>
      </c>
      <c r="G136">
        <v>4322</v>
      </c>
      <c r="H136">
        <v>0</v>
      </c>
      <c r="I136">
        <v>441</v>
      </c>
      <c r="J136">
        <v>0</v>
      </c>
      <c r="K136">
        <v>1.5214999999999999E-2</v>
      </c>
      <c r="L136">
        <v>7.1367469999999997</v>
      </c>
      <c r="M136" t="s">
        <v>27</v>
      </c>
      <c r="N136" t="s">
        <v>28</v>
      </c>
      <c r="O136" t="s">
        <v>83</v>
      </c>
      <c r="P136" t="s">
        <v>84</v>
      </c>
      <c r="Q136" t="s">
        <v>85</v>
      </c>
      <c r="R136" s="22">
        <f t="shared" si="10"/>
        <v>46288.821236843207</v>
      </c>
      <c r="S136" s="22">
        <f t="shared" si="11"/>
        <v>46288.821319444447</v>
      </c>
      <c r="T136" s="23">
        <f t="shared" si="12"/>
        <v>7.1367471478879452</v>
      </c>
      <c r="U136" s="23">
        <f t="shared" si="13"/>
        <v>7.1367471478879452</v>
      </c>
      <c r="V136" s="23">
        <f t="shared" si="14"/>
        <v>7.0000003790482879</v>
      </c>
    </row>
    <row r="137" spans="1:22" ht="15" customHeight="1" x14ac:dyDescent="0.35">
      <c r="A137" t="s">
        <v>135</v>
      </c>
      <c r="B137">
        <v>54</v>
      </c>
      <c r="C137" t="s">
        <v>166</v>
      </c>
      <c r="D137" t="s">
        <v>82</v>
      </c>
      <c r="E137" t="s">
        <v>25</v>
      </c>
      <c r="F137" t="s">
        <v>62</v>
      </c>
      <c r="G137">
        <v>141</v>
      </c>
      <c r="H137">
        <v>0</v>
      </c>
      <c r="I137">
        <v>0</v>
      </c>
      <c r="J137">
        <v>0</v>
      </c>
      <c r="K137">
        <v>3.0000000000000001E-6</v>
      </c>
      <c r="L137">
        <v>0.33426600000000001</v>
      </c>
      <c r="M137" t="s">
        <v>27</v>
      </c>
      <c r="N137" t="s">
        <v>63</v>
      </c>
      <c r="O137" t="s">
        <v>83</v>
      </c>
      <c r="P137" t="s">
        <v>84</v>
      </c>
      <c r="Q137" t="s">
        <v>85</v>
      </c>
      <c r="R137" s="22">
        <f t="shared" si="10"/>
        <v>46288.821327149701</v>
      </c>
      <c r="S137" s="22">
        <f t="shared" si="11"/>
        <v>46288.821331018517</v>
      </c>
      <c r="T137" s="23">
        <f t="shared" si="12"/>
        <v>0.3342656884342432</v>
      </c>
      <c r="U137" s="23">
        <f t="shared" si="13"/>
        <v>0.3342656884342432</v>
      </c>
      <c r="V137" s="23">
        <f t="shared" si="14"/>
        <v>0.3342656884342432</v>
      </c>
    </row>
    <row r="138" spans="1:22" ht="15" customHeight="1" x14ac:dyDescent="0.35">
      <c r="A138" t="s">
        <v>135</v>
      </c>
      <c r="B138">
        <v>55</v>
      </c>
      <c r="C138" t="s">
        <v>167</v>
      </c>
      <c r="D138" t="s">
        <v>82</v>
      </c>
      <c r="E138" t="s">
        <v>25</v>
      </c>
      <c r="F138" t="s">
        <v>26</v>
      </c>
      <c r="G138">
        <v>3929</v>
      </c>
      <c r="H138">
        <v>0</v>
      </c>
      <c r="I138">
        <v>481</v>
      </c>
      <c r="J138">
        <v>0</v>
      </c>
      <c r="K138">
        <v>1.4631999999999999E-2</v>
      </c>
      <c r="L138">
        <v>5.9844670000000004</v>
      </c>
      <c r="M138" t="s">
        <v>27</v>
      </c>
      <c r="N138" t="s">
        <v>28</v>
      </c>
      <c r="O138" t="s">
        <v>83</v>
      </c>
      <c r="P138" t="s">
        <v>84</v>
      </c>
      <c r="Q138" t="s">
        <v>85</v>
      </c>
      <c r="R138" s="22">
        <f t="shared" si="10"/>
        <v>46288.821331198298</v>
      </c>
      <c r="S138" s="22">
        <f t="shared" si="11"/>
        <v>46288.821400462963</v>
      </c>
      <c r="T138" s="23">
        <f t="shared" si="12"/>
        <v>5.9844670118764043</v>
      </c>
      <c r="U138" s="23">
        <f t="shared" si="13"/>
        <v>5.9844670118764043</v>
      </c>
      <c r="V138" s="23">
        <f t="shared" si="14"/>
        <v>5.9844670118764043</v>
      </c>
    </row>
    <row r="139" spans="1:22" ht="15" customHeight="1" x14ac:dyDescent="0.35">
      <c r="A139" t="s">
        <v>135</v>
      </c>
      <c r="B139">
        <v>56</v>
      </c>
      <c r="C139" t="s">
        <v>168</v>
      </c>
      <c r="D139" t="s">
        <v>61</v>
      </c>
      <c r="E139" t="s">
        <v>25</v>
      </c>
      <c r="F139" t="s">
        <v>62</v>
      </c>
      <c r="G139">
        <v>5</v>
      </c>
      <c r="H139">
        <v>0</v>
      </c>
      <c r="I139">
        <v>0</v>
      </c>
      <c r="J139">
        <v>0</v>
      </c>
      <c r="K139">
        <v>0</v>
      </c>
      <c r="L139">
        <v>0.39180799999999999</v>
      </c>
      <c r="M139" t="s">
        <v>27</v>
      </c>
      <c r="N139" t="s">
        <v>63</v>
      </c>
      <c r="O139" t="s">
        <v>64</v>
      </c>
      <c r="P139" t="s">
        <v>65</v>
      </c>
      <c r="Q139" t="s">
        <v>66</v>
      </c>
      <c r="R139" s="22">
        <f t="shared" si="10"/>
        <v>46288.821407502226</v>
      </c>
      <c r="S139" s="22">
        <f t="shared" si="11"/>
        <v>46288.821412037039</v>
      </c>
      <c r="T139" s="23">
        <f t="shared" si="12"/>
        <v>0.39180787280201912</v>
      </c>
      <c r="U139" s="23">
        <f t="shared" si="13"/>
        <v>0.39180787280201912</v>
      </c>
      <c r="V139" s="23">
        <f t="shared" si="14"/>
        <v>0.39180787280201912</v>
      </c>
    </row>
    <row r="140" spans="1:22" ht="15" customHeight="1" x14ac:dyDescent="0.35">
      <c r="A140" t="s">
        <v>135</v>
      </c>
      <c r="B140">
        <v>57</v>
      </c>
      <c r="C140" t="s">
        <v>168</v>
      </c>
      <c r="D140" t="s">
        <v>61</v>
      </c>
      <c r="E140" t="s">
        <v>25</v>
      </c>
      <c r="F140" t="s">
        <v>62</v>
      </c>
      <c r="G140">
        <v>4</v>
      </c>
      <c r="H140">
        <v>0</v>
      </c>
      <c r="I140">
        <v>0</v>
      </c>
      <c r="J140">
        <v>0</v>
      </c>
      <c r="K140">
        <v>0</v>
      </c>
      <c r="L140">
        <v>0.28796100000000002</v>
      </c>
      <c r="M140" t="s">
        <v>27</v>
      </c>
      <c r="N140" t="s">
        <v>63</v>
      </c>
      <c r="O140" t="s">
        <v>64</v>
      </c>
      <c r="P140" t="s">
        <v>65</v>
      </c>
      <c r="Q140" t="s">
        <v>66</v>
      </c>
      <c r="R140" s="22">
        <f t="shared" si="10"/>
        <v>46288.821408704156</v>
      </c>
      <c r="S140" s="22">
        <f t="shared" si="11"/>
        <v>46288.821412037039</v>
      </c>
      <c r="T140" s="23">
        <f t="shared" si="12"/>
        <v>0</v>
      </c>
      <c r="U140" s="23">
        <f t="shared" si="13"/>
        <v>0</v>
      </c>
      <c r="V140" s="23">
        <f t="shared" si="14"/>
        <v>0</v>
      </c>
    </row>
    <row r="141" spans="1:22" ht="15" customHeight="1" x14ac:dyDescent="0.35">
      <c r="A141" t="s">
        <v>135</v>
      </c>
      <c r="B141">
        <v>58</v>
      </c>
      <c r="C141" t="s">
        <v>168</v>
      </c>
      <c r="D141" t="s">
        <v>61</v>
      </c>
      <c r="E141" t="s">
        <v>25</v>
      </c>
      <c r="F141" t="s">
        <v>62</v>
      </c>
      <c r="G141">
        <v>3</v>
      </c>
      <c r="H141">
        <v>0</v>
      </c>
      <c r="I141">
        <v>0</v>
      </c>
      <c r="J141">
        <v>0</v>
      </c>
      <c r="K141">
        <v>0</v>
      </c>
      <c r="L141">
        <v>0.21388299999999999</v>
      </c>
      <c r="M141" t="s">
        <v>27</v>
      </c>
      <c r="N141" t="s">
        <v>63</v>
      </c>
      <c r="O141" t="s">
        <v>64</v>
      </c>
      <c r="P141" t="s">
        <v>65</v>
      </c>
      <c r="Q141" t="s">
        <v>66</v>
      </c>
      <c r="R141" s="22">
        <f t="shared" si="10"/>
        <v>46288.82140956154</v>
      </c>
      <c r="S141" s="22">
        <f t="shared" si="11"/>
        <v>46288.821412037039</v>
      </c>
      <c r="T141" s="23">
        <f t="shared" si="12"/>
        <v>0</v>
      </c>
      <c r="U141" s="23">
        <f t="shared" si="13"/>
        <v>0</v>
      </c>
      <c r="V141" s="23">
        <f t="shared" si="14"/>
        <v>0</v>
      </c>
    </row>
    <row r="142" spans="1:22" ht="15" customHeight="1" x14ac:dyDescent="0.35">
      <c r="A142" t="s">
        <v>135</v>
      </c>
      <c r="B142">
        <v>59</v>
      </c>
      <c r="C142" t="s">
        <v>169</v>
      </c>
      <c r="D142" t="s">
        <v>61</v>
      </c>
      <c r="E142" t="s">
        <v>25</v>
      </c>
      <c r="F142" t="s">
        <v>62</v>
      </c>
      <c r="G142">
        <v>7</v>
      </c>
      <c r="H142">
        <v>0</v>
      </c>
      <c r="I142">
        <v>0</v>
      </c>
      <c r="J142">
        <v>0</v>
      </c>
      <c r="K142">
        <v>0</v>
      </c>
      <c r="L142">
        <v>0.23036499999999999</v>
      </c>
      <c r="M142" t="s">
        <v>27</v>
      </c>
      <c r="N142" t="s">
        <v>63</v>
      </c>
      <c r="O142" t="s">
        <v>64</v>
      </c>
      <c r="P142" t="s">
        <v>65</v>
      </c>
      <c r="Q142" t="s">
        <v>66</v>
      </c>
      <c r="R142" s="22">
        <f t="shared" si="10"/>
        <v>46288.821420944849</v>
      </c>
      <c r="S142" s="22">
        <f t="shared" si="11"/>
        <v>46288.821423611109</v>
      </c>
      <c r="T142" s="23">
        <f t="shared" si="12"/>
        <v>0</v>
      </c>
      <c r="U142" s="23">
        <f t="shared" si="13"/>
        <v>0</v>
      </c>
      <c r="V142" s="23">
        <f t="shared" si="14"/>
        <v>0</v>
      </c>
    </row>
    <row r="143" spans="1:22" ht="15" customHeight="1" x14ac:dyDescent="0.35">
      <c r="A143" t="s">
        <v>135</v>
      </c>
      <c r="B143">
        <v>60</v>
      </c>
      <c r="C143" t="s">
        <v>169</v>
      </c>
      <c r="D143" t="s">
        <v>61</v>
      </c>
      <c r="E143" t="s">
        <v>25</v>
      </c>
      <c r="F143" t="s">
        <v>62</v>
      </c>
      <c r="G143">
        <v>7</v>
      </c>
      <c r="H143">
        <v>0</v>
      </c>
      <c r="I143">
        <v>0</v>
      </c>
      <c r="J143">
        <v>0</v>
      </c>
      <c r="K143">
        <v>0</v>
      </c>
      <c r="L143">
        <v>0.24915100000000001</v>
      </c>
      <c r="M143" t="s">
        <v>27</v>
      </c>
      <c r="N143" t="s">
        <v>63</v>
      </c>
      <c r="O143" t="s">
        <v>64</v>
      </c>
      <c r="P143" t="s">
        <v>65</v>
      </c>
      <c r="Q143" t="s">
        <v>66</v>
      </c>
      <c r="R143" s="22">
        <f t="shared" si="10"/>
        <v>46288.821420727414</v>
      </c>
      <c r="S143" s="22">
        <f t="shared" si="11"/>
        <v>46288.821423611109</v>
      </c>
      <c r="T143" s="23">
        <f t="shared" si="12"/>
        <v>0.24915123358368874</v>
      </c>
      <c r="U143" s="23">
        <f t="shared" si="13"/>
        <v>0.24915123358368874</v>
      </c>
      <c r="V143" s="23">
        <f t="shared" si="14"/>
        <v>0.24915123358368874</v>
      </c>
    </row>
    <row r="144" spans="1:22" ht="15" customHeight="1" x14ac:dyDescent="0.35">
      <c r="A144" t="s">
        <v>135</v>
      </c>
      <c r="B144">
        <v>61</v>
      </c>
      <c r="C144" t="s">
        <v>170</v>
      </c>
      <c r="D144" t="s">
        <v>61</v>
      </c>
      <c r="E144" t="s">
        <v>25</v>
      </c>
      <c r="F144" t="s">
        <v>62</v>
      </c>
      <c r="G144">
        <v>20</v>
      </c>
      <c r="H144">
        <v>0</v>
      </c>
      <c r="I144">
        <v>0</v>
      </c>
      <c r="J144">
        <v>0</v>
      </c>
      <c r="K144">
        <v>0</v>
      </c>
      <c r="L144">
        <v>1.620023</v>
      </c>
      <c r="M144" t="s">
        <v>27</v>
      </c>
      <c r="N144" t="s">
        <v>63</v>
      </c>
      <c r="O144" t="s">
        <v>64</v>
      </c>
      <c r="P144" t="s">
        <v>65</v>
      </c>
      <c r="Q144" t="s">
        <v>66</v>
      </c>
      <c r="R144" s="22">
        <f t="shared" si="10"/>
        <v>46288.821428008996</v>
      </c>
      <c r="S144" s="22">
        <f t="shared" si="11"/>
        <v>46288.821446759262</v>
      </c>
      <c r="T144" s="23">
        <f t="shared" si="12"/>
        <v>1.6200230224058032</v>
      </c>
      <c r="U144" s="23">
        <f t="shared" si="13"/>
        <v>1.6200230224058032</v>
      </c>
      <c r="V144" s="23">
        <f t="shared" si="14"/>
        <v>1.6200230224058032</v>
      </c>
    </row>
    <row r="145" spans="1:22" ht="15" customHeight="1" x14ac:dyDescent="0.35">
      <c r="A145" t="s">
        <v>135</v>
      </c>
      <c r="B145">
        <v>62</v>
      </c>
      <c r="C145" t="s">
        <v>171</v>
      </c>
      <c r="D145" t="s">
        <v>82</v>
      </c>
      <c r="E145" t="s">
        <v>25</v>
      </c>
      <c r="F145" t="s">
        <v>62</v>
      </c>
      <c r="G145">
        <v>142</v>
      </c>
      <c r="H145">
        <v>0</v>
      </c>
      <c r="I145">
        <v>0</v>
      </c>
      <c r="J145">
        <v>0</v>
      </c>
      <c r="K145">
        <v>3.0000000000000001E-6</v>
      </c>
      <c r="L145">
        <v>0.47471099999999999</v>
      </c>
      <c r="M145" t="s">
        <v>27</v>
      </c>
      <c r="N145" t="s">
        <v>63</v>
      </c>
      <c r="O145" t="s">
        <v>83</v>
      </c>
      <c r="P145" t="s">
        <v>84</v>
      </c>
      <c r="Q145" t="s">
        <v>85</v>
      </c>
      <c r="R145" s="22">
        <f t="shared" si="10"/>
        <v>46288.821452838994</v>
      </c>
      <c r="S145" s="22">
        <f t="shared" si="11"/>
        <v>46288.821458333332</v>
      </c>
      <c r="T145" s="23">
        <f t="shared" si="12"/>
        <v>0.47471076250076294</v>
      </c>
      <c r="U145" s="23">
        <f t="shared" si="13"/>
        <v>0.47471076250076294</v>
      </c>
      <c r="V145" s="23">
        <f t="shared" si="14"/>
        <v>0.47471076250076294</v>
      </c>
    </row>
    <row r="146" spans="1:22" ht="15" customHeight="1" x14ac:dyDescent="0.35">
      <c r="A146" t="s">
        <v>135</v>
      </c>
      <c r="B146">
        <v>63</v>
      </c>
      <c r="C146" t="s">
        <v>172</v>
      </c>
      <c r="D146" t="s">
        <v>82</v>
      </c>
      <c r="E146" t="s">
        <v>25</v>
      </c>
      <c r="F146" t="s">
        <v>26</v>
      </c>
      <c r="G146">
        <v>4324</v>
      </c>
      <c r="H146">
        <v>1920</v>
      </c>
      <c r="I146">
        <v>402</v>
      </c>
      <c r="J146">
        <v>0</v>
      </c>
      <c r="K146">
        <v>1.243E-2</v>
      </c>
      <c r="L146">
        <v>5.8291700000000004</v>
      </c>
      <c r="M146" t="s">
        <v>27</v>
      </c>
      <c r="N146" t="s">
        <v>28</v>
      </c>
      <c r="O146" t="s">
        <v>83</v>
      </c>
      <c r="P146" t="s">
        <v>84</v>
      </c>
      <c r="Q146" t="s">
        <v>85</v>
      </c>
      <c r="R146" s="22">
        <f t="shared" si="10"/>
        <v>46288.82146031053</v>
      </c>
      <c r="S146" s="22">
        <f t="shared" si="11"/>
        <v>46288.821527777778</v>
      </c>
      <c r="T146" s="23">
        <f t="shared" si="12"/>
        <v>5.8291702531278133</v>
      </c>
      <c r="U146" s="23">
        <f t="shared" si="13"/>
        <v>5.8291702531278133</v>
      </c>
      <c r="V146" s="23">
        <f t="shared" si="14"/>
        <v>5.8291702531278133</v>
      </c>
    </row>
    <row r="147" spans="1:22" ht="15" customHeight="1" x14ac:dyDescent="0.35">
      <c r="A147" t="s">
        <v>135</v>
      </c>
      <c r="B147">
        <v>64</v>
      </c>
      <c r="C147" t="s">
        <v>173</v>
      </c>
      <c r="D147" t="s">
        <v>82</v>
      </c>
      <c r="E147" t="s">
        <v>25</v>
      </c>
      <c r="F147" t="s">
        <v>62</v>
      </c>
      <c r="G147">
        <v>143</v>
      </c>
      <c r="H147">
        <v>0</v>
      </c>
      <c r="I147">
        <v>0</v>
      </c>
      <c r="J147">
        <v>0</v>
      </c>
      <c r="K147">
        <v>3.0000000000000001E-6</v>
      </c>
      <c r="L147">
        <v>0.33037899999999998</v>
      </c>
      <c r="M147" t="s">
        <v>27</v>
      </c>
      <c r="N147" t="s">
        <v>63</v>
      </c>
      <c r="O147" t="s">
        <v>83</v>
      </c>
      <c r="P147" t="s">
        <v>84</v>
      </c>
      <c r="Q147" t="s">
        <v>85</v>
      </c>
      <c r="R147" s="22">
        <f t="shared" si="10"/>
        <v>46288.821570250242</v>
      </c>
      <c r="S147" s="22">
        <f t="shared" si="11"/>
        <v>46288.821574074071</v>
      </c>
      <c r="T147" s="23">
        <f t="shared" si="12"/>
        <v>0.33037879038602114</v>
      </c>
      <c r="U147" s="23">
        <f t="shared" si="13"/>
        <v>0.33037879038602114</v>
      </c>
      <c r="V147" s="23">
        <f t="shared" si="14"/>
        <v>0.33037879038602114</v>
      </c>
    </row>
    <row r="148" spans="1:22" ht="15" customHeight="1" x14ac:dyDescent="0.35">
      <c r="A148" t="s">
        <v>135</v>
      </c>
      <c r="B148">
        <v>65</v>
      </c>
      <c r="C148" t="s">
        <v>174</v>
      </c>
      <c r="D148" t="s">
        <v>82</v>
      </c>
      <c r="E148" t="s">
        <v>25</v>
      </c>
      <c r="F148" t="s">
        <v>26</v>
      </c>
      <c r="G148">
        <v>5608</v>
      </c>
      <c r="H148">
        <v>0</v>
      </c>
      <c r="I148">
        <v>458</v>
      </c>
      <c r="J148">
        <v>0</v>
      </c>
      <c r="K148">
        <v>1.8599999999999998E-2</v>
      </c>
      <c r="L148">
        <v>6.102309</v>
      </c>
      <c r="M148" t="s">
        <v>27</v>
      </c>
      <c r="N148" t="s">
        <v>28</v>
      </c>
      <c r="O148" t="s">
        <v>83</v>
      </c>
      <c r="P148" t="s">
        <v>84</v>
      </c>
      <c r="Q148" t="s">
        <v>85</v>
      </c>
      <c r="R148" s="22">
        <f t="shared" si="10"/>
        <v>46288.821572889938</v>
      </c>
      <c r="S148" s="22">
        <f t="shared" si="11"/>
        <v>46288.821643518517</v>
      </c>
      <c r="T148" s="23">
        <f t="shared" si="12"/>
        <v>6.1023092363029718</v>
      </c>
      <c r="U148" s="23">
        <f t="shared" si="13"/>
        <v>6.1023092363029718</v>
      </c>
      <c r="V148" s="23">
        <f t="shared" si="14"/>
        <v>6.0000001452863216</v>
      </c>
    </row>
    <row r="149" spans="1:22" ht="15" customHeight="1" x14ac:dyDescent="0.35">
      <c r="A149" t="s">
        <v>135</v>
      </c>
      <c r="B149">
        <v>66</v>
      </c>
      <c r="C149" t="s">
        <v>175</v>
      </c>
      <c r="D149" t="s">
        <v>61</v>
      </c>
      <c r="E149" t="s">
        <v>25</v>
      </c>
      <c r="F149" t="s">
        <v>62</v>
      </c>
      <c r="G149">
        <v>4</v>
      </c>
      <c r="H149">
        <v>0</v>
      </c>
      <c r="I149">
        <v>0</v>
      </c>
      <c r="J149">
        <v>0</v>
      </c>
      <c r="K149">
        <v>0</v>
      </c>
      <c r="L149">
        <v>0.95537799999999995</v>
      </c>
      <c r="M149" t="s">
        <v>27</v>
      </c>
      <c r="N149" t="s">
        <v>63</v>
      </c>
      <c r="O149" t="s">
        <v>64</v>
      </c>
      <c r="P149" t="s">
        <v>65</v>
      </c>
      <c r="Q149" t="s">
        <v>66</v>
      </c>
      <c r="R149" s="22">
        <f t="shared" si="10"/>
        <v>46288.821644034979</v>
      </c>
      <c r="S149" s="22">
        <f t="shared" si="11"/>
        <v>46288.821655092594</v>
      </c>
      <c r="T149" s="23">
        <f t="shared" si="12"/>
        <v>0.955377914942801</v>
      </c>
      <c r="U149" s="23">
        <f t="shared" si="13"/>
        <v>0.955377914942801</v>
      </c>
      <c r="V149" s="23">
        <f t="shared" si="14"/>
        <v>0.955377914942801</v>
      </c>
    </row>
    <row r="150" spans="1:22" ht="15" customHeight="1" x14ac:dyDescent="0.35">
      <c r="A150" t="s">
        <v>135</v>
      </c>
      <c r="B150">
        <v>67</v>
      </c>
      <c r="C150" t="s">
        <v>175</v>
      </c>
      <c r="D150" t="s">
        <v>61</v>
      </c>
      <c r="E150" t="s">
        <v>25</v>
      </c>
      <c r="F150" t="s">
        <v>62</v>
      </c>
      <c r="G150">
        <v>5</v>
      </c>
      <c r="H150">
        <v>0</v>
      </c>
      <c r="I150">
        <v>0</v>
      </c>
      <c r="J150">
        <v>0</v>
      </c>
      <c r="K150">
        <v>0</v>
      </c>
      <c r="L150">
        <v>0.303201</v>
      </c>
      <c r="M150" t="s">
        <v>27</v>
      </c>
      <c r="N150" t="s">
        <v>63</v>
      </c>
      <c r="O150" t="s">
        <v>64</v>
      </c>
      <c r="P150" t="s">
        <v>65</v>
      </c>
      <c r="Q150" t="s">
        <v>66</v>
      </c>
      <c r="R150" s="22">
        <f t="shared" si="10"/>
        <v>46288.821651583319</v>
      </c>
      <c r="S150" s="22">
        <f t="shared" si="11"/>
        <v>46288.821655092594</v>
      </c>
      <c r="T150" s="23">
        <f t="shared" si="12"/>
        <v>0</v>
      </c>
      <c r="U150" s="23">
        <f t="shared" si="13"/>
        <v>0</v>
      </c>
      <c r="V150" s="23">
        <f t="shared" si="14"/>
        <v>0</v>
      </c>
    </row>
    <row r="151" spans="1:22" ht="15" customHeight="1" x14ac:dyDescent="0.35">
      <c r="A151" t="s">
        <v>135</v>
      </c>
      <c r="B151">
        <v>68</v>
      </c>
      <c r="C151" t="s">
        <v>176</v>
      </c>
      <c r="D151" t="s">
        <v>61</v>
      </c>
      <c r="E151" t="s">
        <v>25</v>
      </c>
      <c r="F151" t="s">
        <v>62</v>
      </c>
      <c r="G151">
        <v>4</v>
      </c>
      <c r="H151">
        <v>0</v>
      </c>
      <c r="I151">
        <v>0</v>
      </c>
      <c r="J151">
        <v>0</v>
      </c>
      <c r="K151">
        <v>0</v>
      </c>
      <c r="L151">
        <v>0.25595299999999999</v>
      </c>
      <c r="M151" t="s">
        <v>27</v>
      </c>
      <c r="N151" t="s">
        <v>63</v>
      </c>
      <c r="O151" t="s">
        <v>64</v>
      </c>
      <c r="P151" t="s">
        <v>65</v>
      </c>
      <c r="Q151" t="s">
        <v>66</v>
      </c>
      <c r="R151" s="22">
        <f t="shared" si="10"/>
        <v>46288.821663704242</v>
      </c>
      <c r="S151" s="22">
        <f t="shared" si="11"/>
        <v>46288.821666666663</v>
      </c>
      <c r="T151" s="23">
        <f t="shared" si="12"/>
        <v>0</v>
      </c>
      <c r="U151" s="23">
        <f t="shared" si="13"/>
        <v>0</v>
      </c>
      <c r="V151" s="23">
        <f t="shared" si="14"/>
        <v>0</v>
      </c>
    </row>
    <row r="152" spans="1:22" ht="15" customHeight="1" x14ac:dyDescent="0.35">
      <c r="A152" t="s">
        <v>135</v>
      </c>
      <c r="B152">
        <v>69</v>
      </c>
      <c r="C152" t="s">
        <v>176</v>
      </c>
      <c r="D152" t="s">
        <v>61</v>
      </c>
      <c r="E152" t="s">
        <v>25</v>
      </c>
      <c r="F152" t="s">
        <v>62</v>
      </c>
      <c r="G152">
        <v>4</v>
      </c>
      <c r="H152">
        <v>0</v>
      </c>
      <c r="I152">
        <v>0</v>
      </c>
      <c r="J152">
        <v>0</v>
      </c>
      <c r="K152">
        <v>0</v>
      </c>
      <c r="L152">
        <v>0.322602</v>
      </c>
      <c r="M152" t="s">
        <v>27</v>
      </c>
      <c r="N152" t="s">
        <v>63</v>
      </c>
      <c r="O152" t="s">
        <v>64</v>
      </c>
      <c r="P152" t="s">
        <v>65</v>
      </c>
      <c r="Q152" t="s">
        <v>66</v>
      </c>
      <c r="R152" s="22">
        <f t="shared" si="10"/>
        <v>46288.821662932845</v>
      </c>
      <c r="S152" s="22">
        <f t="shared" si="11"/>
        <v>46288.821666666663</v>
      </c>
      <c r="T152" s="23">
        <f t="shared" si="12"/>
        <v>0.32260185107588768</v>
      </c>
      <c r="U152" s="23">
        <f t="shared" si="13"/>
        <v>0.32260185107588768</v>
      </c>
      <c r="V152" s="23">
        <f t="shared" si="14"/>
        <v>0.32260185107588768</v>
      </c>
    </row>
    <row r="153" spans="1:22" ht="15" customHeight="1" x14ac:dyDescent="0.35">
      <c r="A153" t="s">
        <v>135</v>
      </c>
      <c r="B153">
        <v>70</v>
      </c>
      <c r="C153" t="s">
        <v>177</v>
      </c>
      <c r="D153" t="s">
        <v>61</v>
      </c>
      <c r="E153" t="s">
        <v>25</v>
      </c>
      <c r="F153" t="s">
        <v>62</v>
      </c>
      <c r="G153">
        <v>5</v>
      </c>
      <c r="H153">
        <v>0</v>
      </c>
      <c r="I153">
        <v>0</v>
      </c>
      <c r="J153">
        <v>0</v>
      </c>
      <c r="K153">
        <v>0</v>
      </c>
      <c r="L153">
        <v>0.34872500000000001</v>
      </c>
      <c r="M153" t="s">
        <v>27</v>
      </c>
      <c r="N153" t="s">
        <v>63</v>
      </c>
      <c r="O153" t="s">
        <v>64</v>
      </c>
      <c r="P153" t="s">
        <v>65</v>
      </c>
      <c r="Q153" t="s">
        <v>66</v>
      </c>
      <c r="R153" s="22">
        <f t="shared" si="10"/>
        <v>46288.82167420457</v>
      </c>
      <c r="S153" s="22">
        <f t="shared" si="11"/>
        <v>46288.82167824074</v>
      </c>
      <c r="T153" s="23">
        <f t="shared" si="12"/>
        <v>0</v>
      </c>
      <c r="U153" s="23">
        <f t="shared" si="13"/>
        <v>0</v>
      </c>
      <c r="V153" s="23">
        <f t="shared" si="14"/>
        <v>0</v>
      </c>
    </row>
    <row r="154" spans="1:22" ht="15" customHeight="1" x14ac:dyDescent="0.35">
      <c r="A154" t="s">
        <v>135</v>
      </c>
      <c r="B154">
        <v>71</v>
      </c>
      <c r="C154" t="s">
        <v>177</v>
      </c>
      <c r="D154" t="s">
        <v>61</v>
      </c>
      <c r="E154" t="s">
        <v>25</v>
      </c>
      <c r="F154" t="s">
        <v>62</v>
      </c>
      <c r="G154">
        <v>27</v>
      </c>
      <c r="H154">
        <v>0</v>
      </c>
      <c r="I154">
        <v>0</v>
      </c>
      <c r="J154">
        <v>0</v>
      </c>
      <c r="K154">
        <v>9.9999999999999995E-7</v>
      </c>
      <c r="L154">
        <v>0.36918899999999999</v>
      </c>
      <c r="M154" t="s">
        <v>27</v>
      </c>
      <c r="N154" t="s">
        <v>63</v>
      </c>
      <c r="O154" t="s">
        <v>64</v>
      </c>
      <c r="P154" t="s">
        <v>65</v>
      </c>
      <c r="Q154" t="s">
        <v>66</v>
      </c>
      <c r="R154" s="22">
        <f t="shared" si="10"/>
        <v>46288.821673967715</v>
      </c>
      <c r="S154" s="22">
        <f t="shared" si="11"/>
        <v>46288.82167824074</v>
      </c>
      <c r="T154" s="23">
        <f t="shared" si="12"/>
        <v>0.3691893070936203</v>
      </c>
      <c r="U154" s="23">
        <f t="shared" si="13"/>
        <v>0.3691893070936203</v>
      </c>
      <c r="V154" s="23">
        <f t="shared" si="14"/>
        <v>0.3691893070936203</v>
      </c>
    </row>
    <row r="155" spans="1:22" ht="15" customHeight="1" x14ac:dyDescent="0.35">
      <c r="A155" t="s">
        <v>135</v>
      </c>
      <c r="B155">
        <v>72</v>
      </c>
      <c r="C155" t="s">
        <v>178</v>
      </c>
      <c r="D155" t="s">
        <v>82</v>
      </c>
      <c r="E155" t="s">
        <v>25</v>
      </c>
      <c r="F155" t="s">
        <v>62</v>
      </c>
      <c r="G155">
        <v>214</v>
      </c>
      <c r="H155">
        <v>0</v>
      </c>
      <c r="I155">
        <v>0</v>
      </c>
      <c r="J155">
        <v>0</v>
      </c>
      <c r="K155">
        <v>3.9999999999999998E-6</v>
      </c>
      <c r="L155">
        <v>0.62517699999999998</v>
      </c>
      <c r="M155" t="s">
        <v>27</v>
      </c>
      <c r="N155" t="s">
        <v>63</v>
      </c>
      <c r="O155" t="s">
        <v>113</v>
      </c>
      <c r="P155" t="s">
        <v>114</v>
      </c>
      <c r="Q155" t="s">
        <v>115</v>
      </c>
      <c r="R155" s="22">
        <f t="shared" si="10"/>
        <v>46288.821728875264</v>
      </c>
      <c r="S155" s="22">
        <f t="shared" si="11"/>
        <v>46288.821736111109</v>
      </c>
      <c r="T155" s="23">
        <f t="shared" si="12"/>
        <v>0.62517703045159578</v>
      </c>
      <c r="U155" s="23">
        <f t="shared" si="13"/>
        <v>0.62517703045159578</v>
      </c>
      <c r="V155" s="23">
        <f t="shared" si="14"/>
        <v>0.62517703045159578</v>
      </c>
    </row>
    <row r="156" spans="1:22" ht="15" customHeight="1" x14ac:dyDescent="0.35">
      <c r="A156" t="s">
        <v>135</v>
      </c>
      <c r="B156">
        <v>73</v>
      </c>
      <c r="C156" t="s">
        <v>178</v>
      </c>
      <c r="D156" t="s">
        <v>82</v>
      </c>
      <c r="E156" t="s">
        <v>25</v>
      </c>
      <c r="F156" t="s">
        <v>62</v>
      </c>
      <c r="G156">
        <v>220</v>
      </c>
      <c r="H156">
        <v>0</v>
      </c>
      <c r="I156">
        <v>0</v>
      </c>
      <c r="J156">
        <v>0</v>
      </c>
      <c r="K156">
        <v>3.9999999999999998E-6</v>
      </c>
      <c r="L156">
        <v>0.54687799999999998</v>
      </c>
      <c r="M156" t="s">
        <v>27</v>
      </c>
      <c r="N156" t="s">
        <v>63</v>
      </c>
      <c r="O156" t="s">
        <v>113</v>
      </c>
      <c r="P156" t="s">
        <v>114</v>
      </c>
      <c r="Q156" t="s">
        <v>115</v>
      </c>
      <c r="R156" s="22">
        <f t="shared" si="10"/>
        <v>46288.821729781506</v>
      </c>
      <c r="S156" s="22">
        <f t="shared" si="11"/>
        <v>46288.821736111109</v>
      </c>
      <c r="T156" s="23">
        <f t="shared" si="12"/>
        <v>0</v>
      </c>
      <c r="U156" s="23">
        <f t="shared" si="13"/>
        <v>0</v>
      </c>
      <c r="V156" s="23">
        <f t="shared" si="14"/>
        <v>0</v>
      </c>
    </row>
    <row r="157" spans="1:22" ht="15" customHeight="1" x14ac:dyDescent="0.35">
      <c r="A157" t="s">
        <v>135</v>
      </c>
      <c r="B157">
        <v>74</v>
      </c>
      <c r="C157" t="s">
        <v>178</v>
      </c>
      <c r="D157" t="s">
        <v>82</v>
      </c>
      <c r="E157" t="s">
        <v>25</v>
      </c>
      <c r="F157" t="s">
        <v>62</v>
      </c>
      <c r="G157">
        <v>214</v>
      </c>
      <c r="H157">
        <v>0</v>
      </c>
      <c r="I157">
        <v>0</v>
      </c>
      <c r="J157">
        <v>0</v>
      </c>
      <c r="K157">
        <v>3.9999999999999998E-6</v>
      </c>
      <c r="L157">
        <v>0.30214299999999999</v>
      </c>
      <c r="M157" t="s">
        <v>27</v>
      </c>
      <c r="N157" t="s">
        <v>63</v>
      </c>
      <c r="O157" t="s">
        <v>113</v>
      </c>
      <c r="P157" t="s">
        <v>114</v>
      </c>
      <c r="Q157" t="s">
        <v>115</v>
      </c>
      <c r="R157" s="22">
        <f t="shared" si="10"/>
        <v>46288.82173261408</v>
      </c>
      <c r="S157" s="22">
        <f t="shared" si="11"/>
        <v>46288.821736111109</v>
      </c>
      <c r="T157" s="23">
        <f t="shared" si="12"/>
        <v>0</v>
      </c>
      <c r="U157" s="23">
        <f t="shared" si="13"/>
        <v>0</v>
      </c>
      <c r="V157" s="23">
        <f t="shared" si="14"/>
        <v>0</v>
      </c>
    </row>
    <row r="158" spans="1:22" ht="15" customHeight="1" x14ac:dyDescent="0.35">
      <c r="A158" t="s">
        <v>135</v>
      </c>
      <c r="B158">
        <v>75</v>
      </c>
      <c r="C158" t="s">
        <v>179</v>
      </c>
      <c r="D158" t="s">
        <v>82</v>
      </c>
      <c r="E158" t="s">
        <v>25</v>
      </c>
      <c r="F158" t="s">
        <v>26</v>
      </c>
      <c r="G158">
        <v>10038</v>
      </c>
      <c r="H158">
        <v>9856</v>
      </c>
      <c r="I158">
        <v>569</v>
      </c>
      <c r="J158">
        <v>0</v>
      </c>
      <c r="K158">
        <v>1.8464999999999999E-2</v>
      </c>
      <c r="L158">
        <v>8.7309579999999993</v>
      </c>
      <c r="M158" t="s">
        <v>27</v>
      </c>
      <c r="N158" t="s">
        <v>28</v>
      </c>
      <c r="O158" t="s">
        <v>113</v>
      </c>
      <c r="P158" t="s">
        <v>114</v>
      </c>
      <c r="Q158" t="s">
        <v>115</v>
      </c>
      <c r="R158" s="22">
        <f t="shared" si="10"/>
        <v>46288.821739225023</v>
      </c>
      <c r="S158" s="22">
        <f t="shared" si="11"/>
        <v>46288.821840277778</v>
      </c>
      <c r="T158" s="23">
        <f t="shared" si="12"/>
        <v>0</v>
      </c>
      <c r="U158" s="23">
        <f t="shared" si="13"/>
        <v>0</v>
      </c>
      <c r="V158" s="23">
        <f t="shared" si="14"/>
        <v>0</v>
      </c>
    </row>
    <row r="159" spans="1:22" ht="15" customHeight="1" x14ac:dyDescent="0.35">
      <c r="A159" t="s">
        <v>135</v>
      </c>
      <c r="B159">
        <v>76</v>
      </c>
      <c r="C159" t="s">
        <v>180</v>
      </c>
      <c r="D159" t="s">
        <v>82</v>
      </c>
      <c r="E159" t="s">
        <v>25</v>
      </c>
      <c r="F159" t="s">
        <v>26</v>
      </c>
      <c r="G159">
        <v>9526</v>
      </c>
      <c r="H159">
        <v>0</v>
      </c>
      <c r="I159">
        <v>511</v>
      </c>
      <c r="J159">
        <v>0</v>
      </c>
      <c r="K159">
        <v>2.8924999999999999E-2</v>
      </c>
      <c r="L159">
        <v>10.639284999999999</v>
      </c>
      <c r="M159" t="s">
        <v>27</v>
      </c>
      <c r="N159" t="s">
        <v>28</v>
      </c>
      <c r="O159" t="s">
        <v>113</v>
      </c>
      <c r="P159" t="s">
        <v>114</v>
      </c>
      <c r="Q159" t="s">
        <v>115</v>
      </c>
      <c r="R159" s="22">
        <f t="shared" si="10"/>
        <v>46288.821740286054</v>
      </c>
      <c r="S159" s="22">
        <f t="shared" si="11"/>
        <v>46288.821863425925</v>
      </c>
      <c r="T159" s="23">
        <f t="shared" si="12"/>
        <v>0</v>
      </c>
      <c r="U159" s="23">
        <f t="shared" si="13"/>
        <v>0</v>
      </c>
      <c r="V159" s="23">
        <f t="shared" si="14"/>
        <v>0</v>
      </c>
    </row>
    <row r="160" spans="1:22" ht="15" customHeight="1" x14ac:dyDescent="0.35">
      <c r="A160" t="s">
        <v>135</v>
      </c>
      <c r="B160">
        <v>77</v>
      </c>
      <c r="C160" t="s">
        <v>180</v>
      </c>
      <c r="D160" t="s">
        <v>82</v>
      </c>
      <c r="E160" t="s">
        <v>25</v>
      </c>
      <c r="F160" t="s">
        <v>26</v>
      </c>
      <c r="G160">
        <v>8610</v>
      </c>
      <c r="H160">
        <v>0</v>
      </c>
      <c r="I160">
        <v>697</v>
      </c>
      <c r="J160">
        <v>0</v>
      </c>
      <c r="K160">
        <v>2.8494999999999999E-2</v>
      </c>
      <c r="L160">
        <v>11.188307999999999</v>
      </c>
      <c r="M160" t="s">
        <v>27</v>
      </c>
      <c r="N160" t="s">
        <v>28</v>
      </c>
      <c r="O160" t="s">
        <v>113</v>
      </c>
      <c r="P160" t="s">
        <v>114</v>
      </c>
      <c r="Q160" t="s">
        <v>115</v>
      </c>
      <c r="R160" s="22">
        <f t="shared" si="10"/>
        <v>46288.821733931618</v>
      </c>
      <c r="S160" s="22">
        <f t="shared" si="11"/>
        <v>46288.821863425925</v>
      </c>
      <c r="T160" s="23">
        <f t="shared" si="12"/>
        <v>11.188308103010058</v>
      </c>
      <c r="U160" s="23">
        <f t="shared" si="13"/>
        <v>11.188308103010058</v>
      </c>
      <c r="V160" s="23">
        <f t="shared" si="14"/>
        <v>11.000000056810677</v>
      </c>
    </row>
    <row r="161" spans="1:22" ht="15" customHeight="1" x14ac:dyDescent="0.35">
      <c r="A161" t="s">
        <v>135</v>
      </c>
      <c r="B161">
        <v>78</v>
      </c>
      <c r="C161" t="s">
        <v>181</v>
      </c>
      <c r="D161" t="s">
        <v>121</v>
      </c>
      <c r="E161" t="s">
        <v>25</v>
      </c>
      <c r="F161" t="s">
        <v>26</v>
      </c>
      <c r="G161">
        <v>7385</v>
      </c>
      <c r="H161">
        <v>0</v>
      </c>
      <c r="I161">
        <v>566</v>
      </c>
      <c r="J161">
        <v>0</v>
      </c>
      <c r="K161">
        <v>2.4122999999999999E-2</v>
      </c>
      <c r="L161">
        <v>9.0675570000000008</v>
      </c>
      <c r="M161" t="s">
        <v>27</v>
      </c>
      <c r="N161" t="s">
        <v>28</v>
      </c>
      <c r="O161" t="s">
        <v>122</v>
      </c>
      <c r="P161" t="s">
        <v>123</v>
      </c>
      <c r="Q161" t="s">
        <v>124</v>
      </c>
      <c r="R161" s="22">
        <f t="shared" si="10"/>
        <v>46288.821862644014</v>
      </c>
      <c r="S161" s="22">
        <f t="shared" si="11"/>
        <v>46288.821967592594</v>
      </c>
      <c r="T161" s="23">
        <f t="shared" si="12"/>
        <v>9.0675573097541928</v>
      </c>
      <c r="U161" s="23">
        <f t="shared" si="13"/>
        <v>9.0000002179294825</v>
      </c>
      <c r="V161" s="23">
        <f t="shared" si="14"/>
        <v>9.0000002179294825</v>
      </c>
    </row>
    <row r="162" spans="1:22" ht="15" customHeight="1" x14ac:dyDescent="0.35">
      <c r="A162" t="s">
        <v>135</v>
      </c>
      <c r="B162">
        <v>79</v>
      </c>
      <c r="C162" t="s">
        <v>182</v>
      </c>
      <c r="D162" t="s">
        <v>121</v>
      </c>
      <c r="E162" t="s">
        <v>25</v>
      </c>
      <c r="F162" t="s">
        <v>26</v>
      </c>
      <c r="G162">
        <v>7294</v>
      </c>
      <c r="H162">
        <v>0</v>
      </c>
      <c r="I162">
        <v>814</v>
      </c>
      <c r="J162">
        <v>0</v>
      </c>
      <c r="K162">
        <v>2.6374999999999999E-2</v>
      </c>
      <c r="L162">
        <v>9.8804700000000008</v>
      </c>
      <c r="M162" t="s">
        <v>27</v>
      </c>
      <c r="N162" t="s">
        <v>28</v>
      </c>
      <c r="O162" t="s">
        <v>122</v>
      </c>
      <c r="P162" t="s">
        <v>123</v>
      </c>
      <c r="Q162" t="s">
        <v>124</v>
      </c>
      <c r="R162" s="22">
        <f t="shared" si="10"/>
        <v>46288.821864809375</v>
      </c>
      <c r="S162" s="22">
        <f t="shared" si="11"/>
        <v>46288.821979166663</v>
      </c>
      <c r="T162" s="23">
        <f t="shared" si="12"/>
        <v>0.99999960511922836</v>
      </c>
      <c r="U162" s="23">
        <f t="shared" si="13"/>
        <v>0.99999960511922836</v>
      </c>
      <c r="V162" s="23">
        <f t="shared" si="14"/>
        <v>0.99999960511922836</v>
      </c>
    </row>
    <row r="163" spans="1:22" ht="15" customHeight="1" x14ac:dyDescent="0.35">
      <c r="A163" t="s">
        <v>135</v>
      </c>
      <c r="B163">
        <v>80</v>
      </c>
      <c r="C163" t="s">
        <v>183</v>
      </c>
      <c r="D163" t="s">
        <v>121</v>
      </c>
      <c r="E163" t="s">
        <v>25</v>
      </c>
      <c r="F163" t="s">
        <v>26</v>
      </c>
      <c r="G163">
        <v>10181</v>
      </c>
      <c r="H163">
        <v>0</v>
      </c>
      <c r="I163">
        <v>1081</v>
      </c>
      <c r="J163">
        <v>0</v>
      </c>
      <c r="K163">
        <v>3.6262999999999997E-2</v>
      </c>
      <c r="L163">
        <v>12.570259999999999</v>
      </c>
      <c r="M163" t="s">
        <v>27</v>
      </c>
      <c r="N163" t="s">
        <v>28</v>
      </c>
      <c r="O163" t="s">
        <v>122</v>
      </c>
      <c r="P163" t="s">
        <v>123</v>
      </c>
      <c r="Q163" t="s">
        <v>124</v>
      </c>
      <c r="R163" s="22">
        <f t="shared" si="10"/>
        <v>46288.821984140515</v>
      </c>
      <c r="S163" s="22">
        <f t="shared" si="11"/>
        <v>46288.822129629632</v>
      </c>
      <c r="T163" s="23">
        <f t="shared" si="12"/>
        <v>0</v>
      </c>
      <c r="U163" s="23">
        <f t="shared" si="13"/>
        <v>0</v>
      </c>
      <c r="V163" s="23">
        <f t="shared" si="14"/>
        <v>0</v>
      </c>
    </row>
    <row r="164" spans="1:22" ht="15" customHeight="1" x14ac:dyDescent="0.35">
      <c r="A164" t="s">
        <v>135</v>
      </c>
      <c r="B164">
        <v>81</v>
      </c>
      <c r="C164" t="s">
        <v>184</v>
      </c>
      <c r="D164" t="s">
        <v>121</v>
      </c>
      <c r="E164" t="s">
        <v>25</v>
      </c>
      <c r="F164" t="s">
        <v>26</v>
      </c>
      <c r="G164">
        <v>8176</v>
      </c>
      <c r="H164">
        <v>0</v>
      </c>
      <c r="I164">
        <v>1468</v>
      </c>
      <c r="J164">
        <v>0</v>
      </c>
      <c r="K164">
        <v>3.5119999999999998E-2</v>
      </c>
      <c r="L164">
        <v>15.309676</v>
      </c>
      <c r="M164" t="s">
        <v>27</v>
      </c>
      <c r="N164" t="s">
        <v>28</v>
      </c>
      <c r="O164" t="s">
        <v>122</v>
      </c>
      <c r="P164" t="s">
        <v>123</v>
      </c>
      <c r="Q164" t="s">
        <v>124</v>
      </c>
      <c r="R164" s="22">
        <f t="shared" si="10"/>
        <v>46288.821987156531</v>
      </c>
      <c r="S164" s="22">
        <f t="shared" si="11"/>
        <v>46288.822164351855</v>
      </c>
      <c r="T164" s="23">
        <f t="shared" si="12"/>
        <v>0</v>
      </c>
      <c r="U164" s="23">
        <f t="shared" si="13"/>
        <v>0</v>
      </c>
      <c r="V164" s="23">
        <f t="shared" si="14"/>
        <v>0</v>
      </c>
    </row>
    <row r="165" spans="1:22" ht="15" customHeight="1" x14ac:dyDescent="0.35">
      <c r="A165" t="s">
        <v>135</v>
      </c>
      <c r="B165">
        <v>82</v>
      </c>
      <c r="C165" t="s">
        <v>184</v>
      </c>
      <c r="D165" t="s">
        <v>121</v>
      </c>
      <c r="E165" t="s">
        <v>25</v>
      </c>
      <c r="F165" t="s">
        <v>26</v>
      </c>
      <c r="G165">
        <v>10548</v>
      </c>
      <c r="H165">
        <v>0</v>
      </c>
      <c r="I165">
        <v>1359</v>
      </c>
      <c r="J165">
        <v>0</v>
      </c>
      <c r="K165">
        <v>3.9960000000000002E-2</v>
      </c>
      <c r="L165">
        <v>15.58709</v>
      </c>
      <c r="M165" t="s">
        <v>27</v>
      </c>
      <c r="N165" t="s">
        <v>28</v>
      </c>
      <c r="O165" t="s">
        <v>122</v>
      </c>
      <c r="P165" t="s">
        <v>123</v>
      </c>
      <c r="Q165" t="s">
        <v>124</v>
      </c>
      <c r="R165" s="22">
        <f t="shared" si="10"/>
        <v>46288.821983945723</v>
      </c>
      <c r="S165" s="22">
        <f t="shared" si="11"/>
        <v>46288.822164351855</v>
      </c>
      <c r="T165" s="23">
        <f t="shared" si="12"/>
        <v>0</v>
      </c>
      <c r="U165" s="23">
        <f t="shared" si="13"/>
        <v>0</v>
      </c>
      <c r="V165" s="23">
        <f t="shared" si="14"/>
        <v>0</v>
      </c>
    </row>
    <row r="166" spans="1:22" ht="15" customHeight="1" x14ac:dyDescent="0.35">
      <c r="A166" t="s">
        <v>135</v>
      </c>
      <c r="B166">
        <v>83</v>
      </c>
      <c r="C166" t="s">
        <v>184</v>
      </c>
      <c r="D166" t="s">
        <v>121</v>
      </c>
      <c r="E166" t="s">
        <v>25</v>
      </c>
      <c r="F166" t="s">
        <v>26</v>
      </c>
      <c r="G166">
        <v>10264</v>
      </c>
      <c r="H166">
        <v>0</v>
      </c>
      <c r="I166">
        <v>1306</v>
      </c>
      <c r="J166">
        <v>0</v>
      </c>
      <c r="K166">
        <v>3.8719999999999997E-2</v>
      </c>
      <c r="L166">
        <v>16.085913999999999</v>
      </c>
      <c r="M166" t="s">
        <v>27</v>
      </c>
      <c r="N166" t="s">
        <v>28</v>
      </c>
      <c r="O166" t="s">
        <v>122</v>
      </c>
      <c r="P166" t="s">
        <v>123</v>
      </c>
      <c r="Q166" t="s">
        <v>124</v>
      </c>
      <c r="R166" s="22">
        <f t="shared" si="10"/>
        <v>46288.821978172295</v>
      </c>
      <c r="S166" s="22">
        <f t="shared" si="11"/>
        <v>46288.822164351855</v>
      </c>
      <c r="T166" s="23">
        <f t="shared" si="12"/>
        <v>16.00000059697777</v>
      </c>
      <c r="U166" s="23">
        <f t="shared" si="13"/>
        <v>16.00000059697777</v>
      </c>
      <c r="V166" s="23">
        <f t="shared" si="14"/>
        <v>16.00000059697777</v>
      </c>
    </row>
    <row r="167" spans="1:22" ht="15" customHeight="1" x14ac:dyDescent="0.35">
      <c r="A167" t="s">
        <v>135</v>
      </c>
      <c r="B167">
        <v>84</v>
      </c>
      <c r="C167" t="s">
        <v>185</v>
      </c>
      <c r="D167" t="s">
        <v>121</v>
      </c>
      <c r="E167" t="s">
        <v>25</v>
      </c>
      <c r="F167" t="s">
        <v>26</v>
      </c>
      <c r="G167">
        <v>11338</v>
      </c>
      <c r="H167">
        <v>11136</v>
      </c>
      <c r="I167">
        <v>1386</v>
      </c>
      <c r="J167">
        <v>0</v>
      </c>
      <c r="K167">
        <v>2.8285000000000001E-2</v>
      </c>
      <c r="L167">
        <v>11.639303</v>
      </c>
      <c r="M167" t="s">
        <v>27</v>
      </c>
      <c r="N167" t="s">
        <v>28</v>
      </c>
      <c r="O167" t="s">
        <v>122</v>
      </c>
      <c r="P167" t="s">
        <v>123</v>
      </c>
      <c r="Q167" t="s">
        <v>124</v>
      </c>
      <c r="R167" s="22">
        <f t="shared" si="10"/>
        <v>46288.822133804366</v>
      </c>
      <c r="S167" s="22">
        <f t="shared" si="11"/>
        <v>46288.822268518517</v>
      </c>
      <c r="T167" s="23">
        <f t="shared" si="12"/>
        <v>8.9999995892867446</v>
      </c>
      <c r="U167" s="23">
        <f t="shared" si="13"/>
        <v>8.9999995892867446</v>
      </c>
      <c r="V167" s="23">
        <f t="shared" si="14"/>
        <v>8.9999995892867446</v>
      </c>
    </row>
    <row r="168" spans="1:22" ht="15" customHeight="1" x14ac:dyDescent="0.35">
      <c r="A168" t="s">
        <v>135</v>
      </c>
      <c r="B168">
        <v>85</v>
      </c>
      <c r="C168" t="s">
        <v>186</v>
      </c>
      <c r="D168" t="s">
        <v>121</v>
      </c>
      <c r="E168" t="s">
        <v>25</v>
      </c>
      <c r="F168" t="s">
        <v>26</v>
      </c>
      <c r="G168">
        <v>11381</v>
      </c>
      <c r="H168">
        <v>0</v>
      </c>
      <c r="I168">
        <v>1714</v>
      </c>
      <c r="J168">
        <v>0</v>
      </c>
      <c r="K168">
        <v>4.5593000000000002E-2</v>
      </c>
      <c r="L168">
        <v>15.012238</v>
      </c>
      <c r="M168" t="s">
        <v>27</v>
      </c>
      <c r="N168" t="s">
        <v>28</v>
      </c>
      <c r="O168" t="s">
        <v>122</v>
      </c>
      <c r="P168" t="s">
        <v>123</v>
      </c>
      <c r="Q168" t="s">
        <v>124</v>
      </c>
      <c r="R168" s="22">
        <f t="shared" si="10"/>
        <v>46288.822164210207</v>
      </c>
      <c r="S168" s="22">
        <f t="shared" si="11"/>
        <v>46288.822337962964</v>
      </c>
      <c r="T168" s="23">
        <f t="shared" si="12"/>
        <v>6.0000001452863216</v>
      </c>
      <c r="U168" s="23">
        <f t="shared" si="13"/>
        <v>6.0000001452863216</v>
      </c>
      <c r="V168" s="23">
        <f t="shared" si="14"/>
        <v>6.0000001452863216</v>
      </c>
    </row>
    <row r="169" spans="1:22" ht="15" customHeight="1" x14ac:dyDescent="0.35">
      <c r="A169" t="s">
        <v>135</v>
      </c>
      <c r="B169">
        <v>86</v>
      </c>
      <c r="C169" t="s">
        <v>187</v>
      </c>
      <c r="D169" t="s">
        <v>121</v>
      </c>
      <c r="E169" t="s">
        <v>25</v>
      </c>
      <c r="F169" t="s">
        <v>26</v>
      </c>
      <c r="G169">
        <v>13171</v>
      </c>
      <c r="H169">
        <v>12928</v>
      </c>
      <c r="I169">
        <v>1859</v>
      </c>
      <c r="J169">
        <v>0</v>
      </c>
      <c r="K169">
        <v>3.5358000000000001E-2</v>
      </c>
      <c r="L169">
        <v>16.542767999999999</v>
      </c>
      <c r="M169" t="s">
        <v>27</v>
      </c>
      <c r="N169" t="s">
        <v>28</v>
      </c>
      <c r="O169" t="s">
        <v>122</v>
      </c>
      <c r="P169" t="s">
        <v>123</v>
      </c>
      <c r="Q169" t="s">
        <v>124</v>
      </c>
      <c r="R169" s="22">
        <f t="shared" si="10"/>
        <v>46288.822331680924</v>
      </c>
      <c r="S169" s="22">
        <f t="shared" si="11"/>
        <v>46288.822523148148</v>
      </c>
      <c r="T169" s="23">
        <f t="shared" si="12"/>
        <v>15.999999968335032</v>
      </c>
      <c r="U169" s="23">
        <f t="shared" si="13"/>
        <v>15.999999968335032</v>
      </c>
      <c r="V169" s="23">
        <f t="shared" si="14"/>
        <v>15.999999968335032</v>
      </c>
    </row>
    <row r="170" spans="1:22" ht="15" customHeight="1" x14ac:dyDescent="0.35">
      <c r="A170" t="s">
        <v>135</v>
      </c>
      <c r="B170">
        <v>87</v>
      </c>
      <c r="C170" t="s">
        <v>188</v>
      </c>
      <c r="D170" t="s">
        <v>133</v>
      </c>
      <c r="E170" t="s">
        <v>25</v>
      </c>
      <c r="F170" t="s">
        <v>26</v>
      </c>
      <c r="G170">
        <v>2574</v>
      </c>
      <c r="H170">
        <v>0</v>
      </c>
      <c r="I170">
        <v>316</v>
      </c>
      <c r="J170">
        <v>0</v>
      </c>
      <c r="K170">
        <v>9.5949999999999994E-3</v>
      </c>
      <c r="L170">
        <v>5.0279959999999999</v>
      </c>
      <c r="M170" t="s">
        <v>27</v>
      </c>
      <c r="N170" t="s">
        <v>28</v>
      </c>
      <c r="O170" t="s">
        <v>122</v>
      </c>
      <c r="P170" t="s">
        <v>123</v>
      </c>
      <c r="Q170" t="s">
        <v>134</v>
      </c>
      <c r="R170" s="22">
        <f t="shared" si="10"/>
        <v>46288.822522824121</v>
      </c>
      <c r="S170" s="22">
        <f t="shared" si="11"/>
        <v>46288.822581018518</v>
      </c>
      <c r="T170" s="23">
        <f t="shared" si="12"/>
        <v>5.0279958872124553</v>
      </c>
      <c r="U170" s="23">
        <f t="shared" si="13"/>
        <v>4.9999999115243554</v>
      </c>
      <c r="V170" s="23">
        <f t="shared" si="14"/>
        <v>4.9999999115243554</v>
      </c>
    </row>
    <row r="171" spans="1:22" ht="15" customHeight="1" x14ac:dyDescent="0.35">
      <c r="A171" t="s">
        <v>189</v>
      </c>
      <c r="B171">
        <v>1</v>
      </c>
      <c r="C171" t="s">
        <v>190</v>
      </c>
      <c r="D171" t="s">
        <v>24</v>
      </c>
      <c r="E171" t="s">
        <v>25</v>
      </c>
      <c r="F171" t="s">
        <v>26</v>
      </c>
      <c r="G171">
        <v>1174</v>
      </c>
      <c r="H171">
        <v>1024</v>
      </c>
      <c r="I171">
        <v>55</v>
      </c>
      <c r="J171">
        <v>0</v>
      </c>
      <c r="K171">
        <v>2.2049999999999999E-3</v>
      </c>
      <c r="L171">
        <v>1.754993</v>
      </c>
      <c r="M171" t="s">
        <v>27</v>
      </c>
      <c r="N171" t="s">
        <v>28</v>
      </c>
      <c r="O171" t="s">
        <v>29</v>
      </c>
      <c r="P171" t="s">
        <v>30</v>
      </c>
      <c r="Q171" t="s">
        <v>31</v>
      </c>
      <c r="R171" s="22">
        <f t="shared" si="10"/>
        <v>46288.823127835727</v>
      </c>
      <c r="S171" s="22">
        <f t="shared" si="11"/>
        <v>46288.823148148149</v>
      </c>
      <c r="T171" s="23">
        <f t="shared" si="12"/>
        <v>1.7549932468682528</v>
      </c>
      <c r="U171" s="23">
        <f t="shared" si="13"/>
        <v>1.7549932468682528</v>
      </c>
      <c r="V171" s="23">
        <f t="shared" si="14"/>
        <v>1.7549932468682528</v>
      </c>
    </row>
    <row r="172" spans="1:22" ht="15" customHeight="1" x14ac:dyDescent="0.35">
      <c r="A172" t="s">
        <v>189</v>
      </c>
      <c r="B172">
        <v>2</v>
      </c>
      <c r="C172" t="s">
        <v>191</v>
      </c>
      <c r="D172" t="s">
        <v>33</v>
      </c>
      <c r="E172" t="s">
        <v>25</v>
      </c>
      <c r="F172" t="s">
        <v>34</v>
      </c>
      <c r="G172">
        <v>425</v>
      </c>
      <c r="H172">
        <v>0</v>
      </c>
      <c r="I172">
        <v>75</v>
      </c>
      <c r="J172">
        <v>0</v>
      </c>
      <c r="K172">
        <v>1.0900000000000001E-4</v>
      </c>
      <c r="L172">
        <v>4.8498590000000004</v>
      </c>
      <c r="M172" t="s">
        <v>27</v>
      </c>
      <c r="N172" t="s">
        <v>28</v>
      </c>
      <c r="O172" t="s">
        <v>35</v>
      </c>
      <c r="P172" t="s">
        <v>36</v>
      </c>
      <c r="Q172" t="s">
        <v>37</v>
      </c>
      <c r="R172" s="22">
        <f t="shared" si="10"/>
        <v>46288.823149885888</v>
      </c>
      <c r="S172" s="22">
        <f t="shared" si="11"/>
        <v>46288.823206018518</v>
      </c>
      <c r="T172" s="23">
        <f t="shared" si="12"/>
        <v>4.8498592805117369</v>
      </c>
      <c r="U172" s="23">
        <f t="shared" si="13"/>
        <v>4.8498592805117369</v>
      </c>
      <c r="V172" s="23">
        <f t="shared" si="14"/>
        <v>4.8498592805117369</v>
      </c>
    </row>
    <row r="173" spans="1:22" ht="15" customHeight="1" x14ac:dyDescent="0.35">
      <c r="A173" t="s">
        <v>189</v>
      </c>
      <c r="B173">
        <v>3</v>
      </c>
      <c r="C173" t="s">
        <v>192</v>
      </c>
      <c r="D173" t="s">
        <v>39</v>
      </c>
      <c r="E173" t="s">
        <v>40</v>
      </c>
      <c r="F173" t="s">
        <v>41</v>
      </c>
      <c r="G173">
        <v>673</v>
      </c>
      <c r="H173">
        <v>0</v>
      </c>
      <c r="I173">
        <v>2951</v>
      </c>
      <c r="J173">
        <v>5.0000000000000001E-3</v>
      </c>
      <c r="K173">
        <v>8.6199999999999992E-3</v>
      </c>
      <c r="L173">
        <v>31.410229999999999</v>
      </c>
      <c r="M173" t="s">
        <v>27</v>
      </c>
      <c r="N173" t="s">
        <v>42</v>
      </c>
      <c r="O173" t="s">
        <v>43</v>
      </c>
      <c r="P173" t="s">
        <v>44</v>
      </c>
      <c r="Q173" t="s">
        <v>45</v>
      </c>
      <c r="R173" s="22">
        <f t="shared" si="10"/>
        <v>46288.82320127049</v>
      </c>
      <c r="S173" s="22">
        <f t="shared" si="11"/>
        <v>46288.823564814818</v>
      </c>
      <c r="T173" s="23">
        <f t="shared" si="12"/>
        <v>31.410229951143265</v>
      </c>
      <c r="U173" s="23">
        <f t="shared" si="13"/>
        <v>31.410229951143265</v>
      </c>
      <c r="V173" s="23">
        <f t="shared" si="14"/>
        <v>31.000000331550837</v>
      </c>
    </row>
    <row r="174" spans="1:22" ht="15" customHeight="1" x14ac:dyDescent="0.35">
      <c r="A174" t="s">
        <v>189</v>
      </c>
      <c r="B174">
        <v>4</v>
      </c>
      <c r="C174" t="s">
        <v>193</v>
      </c>
      <c r="D174" t="s">
        <v>55</v>
      </c>
      <c r="E174" t="s">
        <v>25</v>
      </c>
      <c r="F174" t="s">
        <v>26</v>
      </c>
      <c r="G174">
        <v>10994</v>
      </c>
      <c r="H174">
        <v>0</v>
      </c>
      <c r="I174">
        <v>1525</v>
      </c>
      <c r="J174">
        <v>0</v>
      </c>
      <c r="K174">
        <v>4.2735000000000002E-2</v>
      </c>
      <c r="L174">
        <v>17.784887999999999</v>
      </c>
      <c r="M174" t="s">
        <v>27</v>
      </c>
      <c r="N174" t="s">
        <v>28</v>
      </c>
      <c r="O174" t="s">
        <v>56</v>
      </c>
      <c r="P174" t="s">
        <v>57</v>
      </c>
      <c r="Q174" t="s">
        <v>58</v>
      </c>
      <c r="R174" s="22">
        <f t="shared" si="10"/>
        <v>46288.823567304542</v>
      </c>
      <c r="S174" s="22">
        <f t="shared" si="11"/>
        <v>46288.823773148149</v>
      </c>
      <c r="T174" s="23">
        <f t="shared" si="12"/>
        <v>17.784887691959739</v>
      </c>
      <c r="U174" s="23">
        <f t="shared" si="13"/>
        <v>17.784887691959739</v>
      </c>
      <c r="V174" s="23">
        <f t="shared" si="14"/>
        <v>17.784887691959739</v>
      </c>
    </row>
    <row r="175" spans="1:22" ht="15" customHeight="1" x14ac:dyDescent="0.35">
      <c r="A175" t="s">
        <v>189</v>
      </c>
      <c r="B175">
        <v>5</v>
      </c>
      <c r="C175" t="s">
        <v>193</v>
      </c>
      <c r="D175" t="s">
        <v>61</v>
      </c>
      <c r="E175" t="s">
        <v>25</v>
      </c>
      <c r="F175" t="s">
        <v>62</v>
      </c>
      <c r="G175">
        <v>3</v>
      </c>
      <c r="H175">
        <v>0</v>
      </c>
      <c r="I175">
        <v>0</v>
      </c>
      <c r="J175">
        <v>0</v>
      </c>
      <c r="K175">
        <v>0</v>
      </c>
      <c r="L175">
        <v>0.42805799999999999</v>
      </c>
      <c r="M175" t="s">
        <v>27</v>
      </c>
      <c r="N175" t="s">
        <v>63</v>
      </c>
      <c r="O175" t="s">
        <v>64</v>
      </c>
      <c r="P175" t="s">
        <v>65</v>
      </c>
      <c r="Q175" t="s">
        <v>66</v>
      </c>
      <c r="R175" s="22">
        <f t="shared" si="10"/>
        <v>46288.823768193775</v>
      </c>
      <c r="S175" s="22">
        <f t="shared" si="11"/>
        <v>46288.823773148149</v>
      </c>
      <c r="T175" s="23">
        <f t="shared" si="12"/>
        <v>0.42805792763829231</v>
      </c>
      <c r="U175" s="23">
        <f t="shared" si="13"/>
        <v>0.42805792763829231</v>
      </c>
      <c r="V175" s="23">
        <f t="shared" si="14"/>
        <v>0</v>
      </c>
    </row>
    <row r="176" spans="1:22" ht="15" customHeight="1" x14ac:dyDescent="0.35">
      <c r="A176" t="s">
        <v>189</v>
      </c>
      <c r="B176">
        <v>6</v>
      </c>
      <c r="C176" t="s">
        <v>194</v>
      </c>
      <c r="D176" t="s">
        <v>61</v>
      </c>
      <c r="E176" t="s">
        <v>25</v>
      </c>
      <c r="F176" t="s">
        <v>62</v>
      </c>
      <c r="G176">
        <v>6</v>
      </c>
      <c r="H176">
        <v>0</v>
      </c>
      <c r="I176">
        <v>0</v>
      </c>
      <c r="J176">
        <v>0</v>
      </c>
      <c r="K176">
        <v>0</v>
      </c>
      <c r="L176">
        <v>0.22135299999999999</v>
      </c>
      <c r="M176" t="s">
        <v>27</v>
      </c>
      <c r="N176" t="s">
        <v>63</v>
      </c>
      <c r="O176" t="s">
        <v>64</v>
      </c>
      <c r="P176" t="s">
        <v>65</v>
      </c>
      <c r="Q176" t="s">
        <v>66</v>
      </c>
      <c r="R176" s="22">
        <f t="shared" si="10"/>
        <v>46288.82378216026</v>
      </c>
      <c r="S176" s="22">
        <f t="shared" si="11"/>
        <v>46288.823784722219</v>
      </c>
      <c r="T176" s="23">
        <f t="shared" si="12"/>
        <v>0.22135328035801649</v>
      </c>
      <c r="U176" s="23">
        <f t="shared" si="13"/>
        <v>0.22135328035801649</v>
      </c>
      <c r="V176" s="23">
        <f t="shared" si="14"/>
        <v>0.22135328035801649</v>
      </c>
    </row>
    <row r="177" spans="1:22" ht="15" customHeight="1" x14ac:dyDescent="0.35">
      <c r="A177" t="s">
        <v>189</v>
      </c>
      <c r="B177">
        <v>7</v>
      </c>
      <c r="C177" t="s">
        <v>194</v>
      </c>
      <c r="D177" t="s">
        <v>61</v>
      </c>
      <c r="E177" t="s">
        <v>25</v>
      </c>
      <c r="F177" t="s">
        <v>62</v>
      </c>
      <c r="G177">
        <v>4</v>
      </c>
      <c r="H177">
        <v>0</v>
      </c>
      <c r="I177">
        <v>0</v>
      </c>
      <c r="J177">
        <v>0</v>
      </c>
      <c r="K177">
        <v>0</v>
      </c>
      <c r="L177">
        <v>0.21478800000000001</v>
      </c>
      <c r="M177" t="s">
        <v>27</v>
      </c>
      <c r="N177" t="s">
        <v>63</v>
      </c>
      <c r="O177" t="s">
        <v>64</v>
      </c>
      <c r="P177" t="s">
        <v>65</v>
      </c>
      <c r="Q177" t="s">
        <v>66</v>
      </c>
      <c r="R177" s="22">
        <f t="shared" si="10"/>
        <v>46288.82378223625</v>
      </c>
      <c r="S177" s="22">
        <f t="shared" si="11"/>
        <v>46288.823784722219</v>
      </c>
      <c r="T177" s="23">
        <f t="shared" si="12"/>
        <v>0</v>
      </c>
      <c r="U177" s="23">
        <f t="shared" si="13"/>
        <v>0</v>
      </c>
      <c r="V177" s="23">
        <f t="shared" si="14"/>
        <v>0</v>
      </c>
    </row>
    <row r="178" spans="1:22" ht="15" customHeight="1" x14ac:dyDescent="0.35">
      <c r="A178" t="s">
        <v>189</v>
      </c>
      <c r="B178">
        <v>8</v>
      </c>
      <c r="C178" t="s">
        <v>194</v>
      </c>
      <c r="D178" t="s">
        <v>61</v>
      </c>
      <c r="E178" t="s">
        <v>25</v>
      </c>
      <c r="F178" t="s">
        <v>62</v>
      </c>
      <c r="G178">
        <v>5</v>
      </c>
      <c r="H178">
        <v>0</v>
      </c>
      <c r="I178">
        <v>0</v>
      </c>
      <c r="J178">
        <v>0</v>
      </c>
      <c r="K178">
        <v>0</v>
      </c>
      <c r="L178">
        <v>0.184311</v>
      </c>
      <c r="M178" t="s">
        <v>27</v>
      </c>
      <c r="N178" t="s">
        <v>63</v>
      </c>
      <c r="O178" t="s">
        <v>64</v>
      </c>
      <c r="P178" t="s">
        <v>65</v>
      </c>
      <c r="Q178" t="s">
        <v>66</v>
      </c>
      <c r="R178" s="22">
        <f t="shared" si="10"/>
        <v>46288.823782588988</v>
      </c>
      <c r="S178" s="22">
        <f t="shared" si="11"/>
        <v>46288.823784722219</v>
      </c>
      <c r="T178" s="23">
        <f t="shared" si="12"/>
        <v>0</v>
      </c>
      <c r="U178" s="23">
        <f t="shared" si="13"/>
        <v>0</v>
      </c>
      <c r="V178" s="23">
        <f t="shared" si="14"/>
        <v>0</v>
      </c>
    </row>
    <row r="179" spans="1:22" ht="15" customHeight="1" x14ac:dyDescent="0.35">
      <c r="A179" t="s">
        <v>189</v>
      </c>
      <c r="B179">
        <v>9</v>
      </c>
      <c r="C179" t="s">
        <v>195</v>
      </c>
      <c r="D179" t="s">
        <v>61</v>
      </c>
      <c r="E179" t="s">
        <v>25</v>
      </c>
      <c r="F179" t="s">
        <v>62</v>
      </c>
      <c r="G179">
        <v>4</v>
      </c>
      <c r="H179">
        <v>0</v>
      </c>
      <c r="I179">
        <v>0</v>
      </c>
      <c r="J179">
        <v>0</v>
      </c>
      <c r="K179">
        <v>0</v>
      </c>
      <c r="L179">
        <v>0.20616899999999999</v>
      </c>
      <c r="M179" t="s">
        <v>27</v>
      </c>
      <c r="N179" t="s">
        <v>63</v>
      </c>
      <c r="O179" t="s">
        <v>64</v>
      </c>
      <c r="P179" t="s">
        <v>65</v>
      </c>
      <c r="Q179" t="s">
        <v>66</v>
      </c>
      <c r="R179" s="22">
        <f t="shared" si="10"/>
        <v>46288.82379391008</v>
      </c>
      <c r="S179" s="22">
        <f t="shared" si="11"/>
        <v>46288.823796296296</v>
      </c>
      <c r="T179" s="23">
        <f t="shared" si="12"/>
        <v>0.20616904366761446</v>
      </c>
      <c r="U179" s="23">
        <f t="shared" si="13"/>
        <v>0.20616904366761446</v>
      </c>
      <c r="V179" s="23">
        <f t="shared" si="14"/>
        <v>0.20616904366761446</v>
      </c>
    </row>
    <row r="180" spans="1:22" ht="15" customHeight="1" x14ac:dyDescent="0.35">
      <c r="A180" t="s">
        <v>189</v>
      </c>
      <c r="B180">
        <v>10</v>
      </c>
      <c r="C180" t="s">
        <v>195</v>
      </c>
      <c r="D180" t="s">
        <v>61</v>
      </c>
      <c r="E180" t="s">
        <v>25</v>
      </c>
      <c r="F180" t="s">
        <v>62</v>
      </c>
      <c r="G180">
        <v>8</v>
      </c>
      <c r="H180">
        <v>0</v>
      </c>
      <c r="I180">
        <v>0</v>
      </c>
      <c r="J180">
        <v>0</v>
      </c>
      <c r="K180">
        <v>0</v>
      </c>
      <c r="L180">
        <v>0.19863500000000001</v>
      </c>
      <c r="M180" t="s">
        <v>27</v>
      </c>
      <c r="N180" t="s">
        <v>63</v>
      </c>
      <c r="O180" t="s">
        <v>64</v>
      </c>
      <c r="P180" t="s">
        <v>65</v>
      </c>
      <c r="Q180" t="s">
        <v>66</v>
      </c>
      <c r="R180" s="22">
        <f t="shared" si="10"/>
        <v>46288.823793997282</v>
      </c>
      <c r="S180" s="22">
        <f t="shared" si="11"/>
        <v>46288.823796296296</v>
      </c>
      <c r="T180" s="23">
        <f t="shared" si="12"/>
        <v>0</v>
      </c>
      <c r="U180" s="23">
        <f t="shared" si="13"/>
        <v>0</v>
      </c>
      <c r="V180" s="23">
        <f t="shared" si="14"/>
        <v>0</v>
      </c>
    </row>
    <row r="181" spans="1:22" ht="15" customHeight="1" x14ac:dyDescent="0.35">
      <c r="A181" t="s">
        <v>189</v>
      </c>
      <c r="B181">
        <v>11</v>
      </c>
      <c r="C181" t="s">
        <v>196</v>
      </c>
      <c r="D181" t="s">
        <v>61</v>
      </c>
      <c r="E181" t="s">
        <v>25</v>
      </c>
      <c r="F181" t="s">
        <v>62</v>
      </c>
      <c r="G181">
        <v>6</v>
      </c>
      <c r="H181">
        <v>0</v>
      </c>
      <c r="I181">
        <v>0</v>
      </c>
      <c r="J181">
        <v>0</v>
      </c>
      <c r="K181">
        <v>0</v>
      </c>
      <c r="L181">
        <v>0.20525399999999999</v>
      </c>
      <c r="M181" t="s">
        <v>27</v>
      </c>
      <c r="N181" t="s">
        <v>63</v>
      </c>
      <c r="O181" t="s">
        <v>64</v>
      </c>
      <c r="P181" t="s">
        <v>65</v>
      </c>
      <c r="Q181" t="s">
        <v>66</v>
      </c>
      <c r="R181" s="22">
        <f t="shared" si="10"/>
        <v>46288.823805494751</v>
      </c>
      <c r="S181" s="22">
        <f t="shared" si="11"/>
        <v>46288.823807870373</v>
      </c>
      <c r="T181" s="23">
        <f t="shared" si="12"/>
        <v>0.20525373984128237</v>
      </c>
      <c r="U181" s="23">
        <f t="shared" si="13"/>
        <v>0.20525373984128237</v>
      </c>
      <c r="V181" s="23">
        <f t="shared" si="14"/>
        <v>0.20525373984128237</v>
      </c>
    </row>
    <row r="182" spans="1:22" ht="15" customHeight="1" x14ac:dyDescent="0.35">
      <c r="A182" t="s">
        <v>189</v>
      </c>
      <c r="B182">
        <v>12</v>
      </c>
      <c r="C182" t="s">
        <v>196</v>
      </c>
      <c r="D182" t="s">
        <v>61</v>
      </c>
      <c r="E182" t="s">
        <v>25</v>
      </c>
      <c r="F182" t="s">
        <v>62</v>
      </c>
      <c r="G182">
        <v>7</v>
      </c>
      <c r="H182">
        <v>0</v>
      </c>
      <c r="I182">
        <v>0</v>
      </c>
      <c r="J182">
        <v>0</v>
      </c>
      <c r="K182">
        <v>0</v>
      </c>
      <c r="L182">
        <v>0.19184699999999999</v>
      </c>
      <c r="M182" t="s">
        <v>27</v>
      </c>
      <c r="N182" t="s">
        <v>63</v>
      </c>
      <c r="O182" t="s">
        <v>64</v>
      </c>
      <c r="P182" t="s">
        <v>65</v>
      </c>
      <c r="Q182" t="s">
        <v>66</v>
      </c>
      <c r="R182" s="22">
        <f t="shared" si="10"/>
        <v>46288.823805649918</v>
      </c>
      <c r="S182" s="22">
        <f t="shared" si="11"/>
        <v>46288.823807870373</v>
      </c>
      <c r="T182" s="23">
        <f t="shared" si="12"/>
        <v>0</v>
      </c>
      <c r="U182" s="23">
        <f t="shared" si="13"/>
        <v>0</v>
      </c>
      <c r="V182" s="23">
        <f t="shared" si="14"/>
        <v>0</v>
      </c>
    </row>
    <row r="183" spans="1:22" ht="15" customHeight="1" x14ac:dyDescent="0.35">
      <c r="A183" t="s">
        <v>189</v>
      </c>
      <c r="B183">
        <v>13</v>
      </c>
      <c r="C183" t="s">
        <v>196</v>
      </c>
      <c r="D183" t="s">
        <v>61</v>
      </c>
      <c r="E183" t="s">
        <v>25</v>
      </c>
      <c r="F183" t="s">
        <v>62</v>
      </c>
      <c r="G183">
        <v>3</v>
      </c>
      <c r="H183">
        <v>0</v>
      </c>
      <c r="I183">
        <v>0</v>
      </c>
      <c r="J183">
        <v>0</v>
      </c>
      <c r="K183">
        <v>0</v>
      </c>
      <c r="L183">
        <v>0.19864299999999999</v>
      </c>
      <c r="M183" t="s">
        <v>27</v>
      </c>
      <c r="N183" t="s">
        <v>63</v>
      </c>
      <c r="O183" t="s">
        <v>64</v>
      </c>
      <c r="P183" t="s">
        <v>65</v>
      </c>
      <c r="Q183" t="s">
        <v>66</v>
      </c>
      <c r="R183" s="22">
        <f t="shared" si="10"/>
        <v>46288.823805571265</v>
      </c>
      <c r="S183" s="22">
        <f t="shared" si="11"/>
        <v>46288.823807870373</v>
      </c>
      <c r="T183" s="23">
        <f t="shared" si="12"/>
        <v>0</v>
      </c>
      <c r="U183" s="23">
        <f t="shared" si="13"/>
        <v>0</v>
      </c>
      <c r="V183" s="23">
        <f t="shared" si="14"/>
        <v>0</v>
      </c>
    </row>
    <row r="184" spans="1:22" ht="15" customHeight="1" x14ac:dyDescent="0.35">
      <c r="A184" t="s">
        <v>189</v>
      </c>
      <c r="B184">
        <v>14</v>
      </c>
      <c r="C184" t="s">
        <v>197</v>
      </c>
      <c r="D184" t="s">
        <v>61</v>
      </c>
      <c r="E184" t="s">
        <v>25</v>
      </c>
      <c r="F184" t="s">
        <v>62</v>
      </c>
      <c r="G184">
        <v>2</v>
      </c>
      <c r="H184">
        <v>0</v>
      </c>
      <c r="I184">
        <v>0</v>
      </c>
      <c r="J184">
        <v>0</v>
      </c>
      <c r="K184">
        <v>0</v>
      </c>
      <c r="L184">
        <v>0.215999</v>
      </c>
      <c r="M184" t="s">
        <v>27</v>
      </c>
      <c r="N184" t="s">
        <v>63</v>
      </c>
      <c r="O184" t="s">
        <v>64</v>
      </c>
      <c r="P184" t="s">
        <v>65</v>
      </c>
      <c r="Q184" t="s">
        <v>66</v>
      </c>
      <c r="R184" s="22">
        <f t="shared" si="10"/>
        <v>46288.823816944452</v>
      </c>
      <c r="S184" s="22">
        <f t="shared" si="11"/>
        <v>46288.823819444442</v>
      </c>
      <c r="T184" s="23">
        <f t="shared" si="12"/>
        <v>0</v>
      </c>
      <c r="U184" s="23">
        <f t="shared" si="13"/>
        <v>0</v>
      </c>
      <c r="V184" s="23">
        <f t="shared" si="14"/>
        <v>0</v>
      </c>
    </row>
    <row r="185" spans="1:22" ht="15" customHeight="1" x14ac:dyDescent="0.35">
      <c r="A185" t="s">
        <v>189</v>
      </c>
      <c r="B185">
        <v>15</v>
      </c>
      <c r="C185" t="s">
        <v>197</v>
      </c>
      <c r="D185" t="s">
        <v>61</v>
      </c>
      <c r="E185" t="s">
        <v>25</v>
      </c>
      <c r="F185" t="s">
        <v>62</v>
      </c>
      <c r="G185">
        <v>2</v>
      </c>
      <c r="H185">
        <v>0</v>
      </c>
      <c r="I185">
        <v>0</v>
      </c>
      <c r="J185">
        <v>0</v>
      </c>
      <c r="K185">
        <v>0</v>
      </c>
      <c r="L185">
        <v>0.22969999999999999</v>
      </c>
      <c r="M185" t="s">
        <v>27</v>
      </c>
      <c r="N185" t="s">
        <v>63</v>
      </c>
      <c r="O185" t="s">
        <v>64</v>
      </c>
      <c r="P185" t="s">
        <v>65</v>
      </c>
      <c r="Q185" t="s">
        <v>66</v>
      </c>
      <c r="R185" s="22">
        <f t="shared" si="10"/>
        <v>46288.82381678588</v>
      </c>
      <c r="S185" s="22">
        <f t="shared" si="11"/>
        <v>46288.823819444442</v>
      </c>
      <c r="T185" s="23">
        <f t="shared" si="12"/>
        <v>0.22969976998865604</v>
      </c>
      <c r="U185" s="23">
        <f t="shared" si="13"/>
        <v>0.22969976998865604</v>
      </c>
      <c r="V185" s="23">
        <f t="shared" si="14"/>
        <v>0.22969976998865604</v>
      </c>
    </row>
    <row r="186" spans="1:22" ht="15" customHeight="1" x14ac:dyDescent="0.35">
      <c r="A186" t="s">
        <v>189</v>
      </c>
      <c r="B186">
        <v>16</v>
      </c>
      <c r="C186" t="s">
        <v>198</v>
      </c>
      <c r="D186" t="s">
        <v>61</v>
      </c>
      <c r="E186" t="s">
        <v>25</v>
      </c>
      <c r="F186" t="s">
        <v>62</v>
      </c>
      <c r="G186">
        <v>2</v>
      </c>
      <c r="H186">
        <v>0</v>
      </c>
      <c r="I186">
        <v>0</v>
      </c>
      <c r="J186">
        <v>0</v>
      </c>
      <c r="K186">
        <v>0</v>
      </c>
      <c r="L186">
        <v>0.49341499999999999</v>
      </c>
      <c r="M186" t="s">
        <v>27</v>
      </c>
      <c r="N186" t="s">
        <v>63</v>
      </c>
      <c r="O186" t="s">
        <v>64</v>
      </c>
      <c r="P186" t="s">
        <v>65</v>
      </c>
      <c r="Q186" t="s">
        <v>66</v>
      </c>
      <c r="R186" s="22">
        <f t="shared" si="10"/>
        <v>46288.8238253077</v>
      </c>
      <c r="S186" s="22">
        <f t="shared" si="11"/>
        <v>46288.823831018519</v>
      </c>
      <c r="T186" s="23">
        <f t="shared" si="12"/>
        <v>0.49341476988047361</v>
      </c>
      <c r="U186" s="23">
        <f t="shared" si="13"/>
        <v>0.49341476988047361</v>
      </c>
      <c r="V186" s="23">
        <f t="shared" si="14"/>
        <v>0.49341476988047361</v>
      </c>
    </row>
    <row r="187" spans="1:22" ht="15" customHeight="1" x14ac:dyDescent="0.35">
      <c r="A187" t="s">
        <v>189</v>
      </c>
      <c r="B187">
        <v>17</v>
      </c>
      <c r="C187" t="s">
        <v>199</v>
      </c>
      <c r="D187" t="s">
        <v>61</v>
      </c>
      <c r="E187" t="s">
        <v>25</v>
      </c>
      <c r="F187" t="s">
        <v>62</v>
      </c>
      <c r="G187">
        <v>5</v>
      </c>
      <c r="H187">
        <v>0</v>
      </c>
      <c r="I187">
        <v>0</v>
      </c>
      <c r="J187">
        <v>0</v>
      </c>
      <c r="K187">
        <v>0</v>
      </c>
      <c r="L187">
        <v>0.52780800000000005</v>
      </c>
      <c r="M187" t="s">
        <v>27</v>
      </c>
      <c r="N187" t="s">
        <v>63</v>
      </c>
      <c r="O187" t="s">
        <v>64</v>
      </c>
      <c r="P187" t="s">
        <v>65</v>
      </c>
      <c r="Q187" t="s">
        <v>66</v>
      </c>
      <c r="R187" s="22">
        <f t="shared" si="10"/>
        <v>46288.823836483709</v>
      </c>
      <c r="S187" s="22">
        <f t="shared" si="11"/>
        <v>46288.823842592596</v>
      </c>
      <c r="T187" s="23">
        <f t="shared" si="12"/>
        <v>0.52780781406909227</v>
      </c>
      <c r="U187" s="23">
        <f t="shared" si="13"/>
        <v>0.52780781406909227</v>
      </c>
      <c r="V187" s="23">
        <f t="shared" si="14"/>
        <v>0.52780781406909227</v>
      </c>
    </row>
    <row r="188" spans="1:22" ht="15" customHeight="1" x14ac:dyDescent="0.35">
      <c r="A188" t="s">
        <v>189</v>
      </c>
      <c r="B188">
        <v>18</v>
      </c>
      <c r="C188" t="s">
        <v>199</v>
      </c>
      <c r="D188" t="s">
        <v>61</v>
      </c>
      <c r="E188" t="s">
        <v>25</v>
      </c>
      <c r="F188" t="s">
        <v>62</v>
      </c>
      <c r="G188">
        <v>4</v>
      </c>
      <c r="H188">
        <v>0</v>
      </c>
      <c r="I188">
        <v>0</v>
      </c>
      <c r="J188">
        <v>0</v>
      </c>
      <c r="K188">
        <v>0</v>
      </c>
      <c r="L188">
        <v>0.26825900000000003</v>
      </c>
      <c r="M188" t="s">
        <v>27</v>
      </c>
      <c r="N188" t="s">
        <v>63</v>
      </c>
      <c r="O188" t="s">
        <v>64</v>
      </c>
      <c r="P188" t="s">
        <v>65</v>
      </c>
      <c r="Q188" t="s">
        <v>66</v>
      </c>
      <c r="R188" s="22">
        <f t="shared" si="10"/>
        <v>46288.823839487748</v>
      </c>
      <c r="S188" s="22">
        <f t="shared" si="11"/>
        <v>46288.823842592596</v>
      </c>
      <c r="T188" s="23">
        <f t="shared" si="12"/>
        <v>0</v>
      </c>
      <c r="U188" s="23">
        <f t="shared" si="13"/>
        <v>0</v>
      </c>
      <c r="V188" s="23">
        <f t="shared" si="14"/>
        <v>0</v>
      </c>
    </row>
    <row r="189" spans="1:22" ht="15" customHeight="1" x14ac:dyDescent="0.35">
      <c r="A189" t="s">
        <v>189</v>
      </c>
      <c r="B189">
        <v>19</v>
      </c>
      <c r="C189" t="s">
        <v>200</v>
      </c>
      <c r="D189" t="s">
        <v>61</v>
      </c>
      <c r="E189" t="s">
        <v>25</v>
      </c>
      <c r="F189" t="s">
        <v>62</v>
      </c>
      <c r="G189">
        <v>5</v>
      </c>
      <c r="H189">
        <v>0</v>
      </c>
      <c r="I189">
        <v>0</v>
      </c>
      <c r="J189">
        <v>0</v>
      </c>
      <c r="K189">
        <v>0</v>
      </c>
      <c r="L189">
        <v>0.18662200000000001</v>
      </c>
      <c r="M189" t="s">
        <v>27</v>
      </c>
      <c r="N189" t="s">
        <v>63</v>
      </c>
      <c r="O189" t="s">
        <v>64</v>
      </c>
      <c r="P189" t="s">
        <v>65</v>
      </c>
      <c r="Q189" t="s">
        <v>66</v>
      </c>
      <c r="R189" s="22">
        <f t="shared" si="10"/>
        <v>46288.823852006688</v>
      </c>
      <c r="S189" s="22">
        <f t="shared" si="11"/>
        <v>46288.823854166665</v>
      </c>
      <c r="T189" s="23">
        <f t="shared" si="12"/>
        <v>0</v>
      </c>
      <c r="U189" s="23">
        <f t="shared" si="13"/>
        <v>0</v>
      </c>
      <c r="V189" s="23">
        <f t="shared" si="14"/>
        <v>0</v>
      </c>
    </row>
    <row r="190" spans="1:22" ht="15" customHeight="1" x14ac:dyDescent="0.35">
      <c r="A190" t="s">
        <v>189</v>
      </c>
      <c r="B190">
        <v>20</v>
      </c>
      <c r="C190" t="s">
        <v>200</v>
      </c>
      <c r="D190" t="s">
        <v>61</v>
      </c>
      <c r="E190" t="s">
        <v>25</v>
      </c>
      <c r="F190" t="s">
        <v>62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0.185748</v>
      </c>
      <c r="M190" t="s">
        <v>27</v>
      </c>
      <c r="N190" t="s">
        <v>63</v>
      </c>
      <c r="O190" t="s">
        <v>64</v>
      </c>
      <c r="P190" t="s">
        <v>65</v>
      </c>
      <c r="Q190" t="s">
        <v>66</v>
      </c>
      <c r="R190" s="22">
        <f t="shared" si="10"/>
        <v>46288.823852016802</v>
      </c>
      <c r="S190" s="22">
        <f t="shared" si="11"/>
        <v>46288.823854166665</v>
      </c>
      <c r="T190" s="23">
        <f t="shared" si="12"/>
        <v>0</v>
      </c>
      <c r="U190" s="23">
        <f t="shared" si="13"/>
        <v>0</v>
      </c>
      <c r="V190" s="23">
        <f t="shared" si="14"/>
        <v>0</v>
      </c>
    </row>
    <row r="191" spans="1:22" ht="15" customHeight="1" x14ac:dyDescent="0.35">
      <c r="A191" t="s">
        <v>189</v>
      </c>
      <c r="B191">
        <v>21</v>
      </c>
      <c r="C191" t="s">
        <v>200</v>
      </c>
      <c r="D191" t="s">
        <v>61</v>
      </c>
      <c r="E191" t="s">
        <v>25</v>
      </c>
      <c r="F191" t="s">
        <v>62</v>
      </c>
      <c r="G191">
        <v>3</v>
      </c>
      <c r="H191">
        <v>0</v>
      </c>
      <c r="I191">
        <v>0</v>
      </c>
      <c r="J191">
        <v>0</v>
      </c>
      <c r="K191">
        <v>0</v>
      </c>
      <c r="L191">
        <v>0.19658600000000001</v>
      </c>
      <c r="M191" t="s">
        <v>27</v>
      </c>
      <c r="N191" t="s">
        <v>63</v>
      </c>
      <c r="O191" t="s">
        <v>64</v>
      </c>
      <c r="P191" t="s">
        <v>65</v>
      </c>
      <c r="Q191" t="s">
        <v>66</v>
      </c>
      <c r="R191" s="22">
        <f t="shared" si="10"/>
        <v>46288.823851891364</v>
      </c>
      <c r="S191" s="22">
        <f t="shared" si="11"/>
        <v>46288.823854166665</v>
      </c>
      <c r="T191" s="23">
        <f t="shared" si="12"/>
        <v>0.19658601377159357</v>
      </c>
      <c r="U191" s="23">
        <f t="shared" si="13"/>
        <v>0.19658601377159357</v>
      </c>
      <c r="V191" s="23">
        <f t="shared" si="14"/>
        <v>0.19658601377159357</v>
      </c>
    </row>
    <row r="192" spans="1:22" ht="15" customHeight="1" x14ac:dyDescent="0.35">
      <c r="A192" t="s">
        <v>189</v>
      </c>
      <c r="B192">
        <v>22</v>
      </c>
      <c r="C192" t="s">
        <v>201</v>
      </c>
      <c r="D192" t="s">
        <v>61</v>
      </c>
      <c r="E192" t="s">
        <v>25</v>
      </c>
      <c r="F192" t="s">
        <v>62</v>
      </c>
      <c r="G192">
        <v>3</v>
      </c>
      <c r="H192">
        <v>0</v>
      </c>
      <c r="I192">
        <v>0</v>
      </c>
      <c r="J192">
        <v>0</v>
      </c>
      <c r="K192">
        <v>0</v>
      </c>
      <c r="L192">
        <v>0.23941399999999999</v>
      </c>
      <c r="M192" t="s">
        <v>27</v>
      </c>
      <c r="N192" t="s">
        <v>63</v>
      </c>
      <c r="O192" t="s">
        <v>64</v>
      </c>
      <c r="P192" t="s">
        <v>65</v>
      </c>
      <c r="Q192" t="s">
        <v>66</v>
      </c>
      <c r="R192" s="22">
        <f t="shared" si="10"/>
        <v>46288.823862969744</v>
      </c>
      <c r="S192" s="22">
        <f t="shared" si="11"/>
        <v>46288.823865740742</v>
      </c>
      <c r="T192" s="23">
        <f t="shared" si="12"/>
        <v>0.23941418621689081</v>
      </c>
      <c r="U192" s="23">
        <f t="shared" si="13"/>
        <v>0.23941418621689081</v>
      </c>
      <c r="V192" s="23">
        <f t="shared" si="14"/>
        <v>0.23941418621689081</v>
      </c>
    </row>
    <row r="193" spans="1:22" ht="15" customHeight="1" x14ac:dyDescent="0.35">
      <c r="A193" t="s">
        <v>189</v>
      </c>
      <c r="B193">
        <v>23</v>
      </c>
      <c r="C193" t="s">
        <v>201</v>
      </c>
      <c r="D193" t="s">
        <v>61</v>
      </c>
      <c r="E193" t="s">
        <v>25</v>
      </c>
      <c r="F193" t="s">
        <v>62</v>
      </c>
      <c r="G193">
        <v>2</v>
      </c>
      <c r="H193">
        <v>0</v>
      </c>
      <c r="I193">
        <v>0</v>
      </c>
      <c r="J193">
        <v>0</v>
      </c>
      <c r="K193">
        <v>0</v>
      </c>
      <c r="L193">
        <v>0.20063600000000001</v>
      </c>
      <c r="M193" t="s">
        <v>27</v>
      </c>
      <c r="N193" t="s">
        <v>63</v>
      </c>
      <c r="O193" t="s">
        <v>64</v>
      </c>
      <c r="P193" t="s">
        <v>65</v>
      </c>
      <c r="Q193" t="s">
        <v>66</v>
      </c>
      <c r="R193" s="22">
        <f t="shared" si="10"/>
        <v>46288.823863418569</v>
      </c>
      <c r="S193" s="22">
        <f t="shared" si="11"/>
        <v>46288.823865740742</v>
      </c>
      <c r="T193" s="23">
        <f t="shared" si="12"/>
        <v>0</v>
      </c>
      <c r="U193" s="23">
        <f t="shared" si="13"/>
        <v>0</v>
      </c>
      <c r="V193" s="23">
        <f t="shared" si="14"/>
        <v>0</v>
      </c>
    </row>
    <row r="194" spans="1:22" ht="15" customHeight="1" x14ac:dyDescent="0.35">
      <c r="A194" t="s">
        <v>189</v>
      </c>
      <c r="B194">
        <v>24</v>
      </c>
      <c r="C194" t="s">
        <v>202</v>
      </c>
      <c r="D194" t="s">
        <v>61</v>
      </c>
      <c r="E194" t="s">
        <v>25</v>
      </c>
      <c r="F194" t="s">
        <v>62</v>
      </c>
      <c r="G194">
        <v>4</v>
      </c>
      <c r="H194">
        <v>0</v>
      </c>
      <c r="I194">
        <v>0</v>
      </c>
      <c r="J194">
        <v>0</v>
      </c>
      <c r="K194">
        <v>0</v>
      </c>
      <c r="L194">
        <v>0.23527799999999999</v>
      </c>
      <c r="M194" t="s">
        <v>27</v>
      </c>
      <c r="N194" t="s">
        <v>63</v>
      </c>
      <c r="O194" t="s">
        <v>64</v>
      </c>
      <c r="P194" t="s">
        <v>65</v>
      </c>
      <c r="Q194" t="s">
        <v>66</v>
      </c>
      <c r="R194" s="22">
        <f t="shared" ref="R194:R257" si="15">S194-L194/86400</f>
        <v>46288.82387459169</v>
      </c>
      <c r="S194" s="22">
        <f t="shared" ref="S194:S257" si="16">DATEVALUE(LEFT(C194,10))+TIMEVALUE(MID(C194,12,8))</f>
        <v>46288.823877314811</v>
      </c>
      <c r="T194" s="23">
        <f t="shared" ref="T194:T257" si="17">MAX(0,S194-MAX(R194,_xlfn.MAXIFS($S$2:$S$486,$A$2:$A$486,A194,$D$2:$D$486,D194,$F$2:$F$486,F194,$R$2:$R$486,"&lt;"&amp;R194)))*86400</f>
        <v>0.23527771700173616</v>
      </c>
      <c r="U194" s="23">
        <f t="shared" ref="U194:U257" si="18">MAX(0,S194-MAX(R194,_xlfn.MAXIFS($S$2:$S$486,$A$2:$A$486,A194,$F$2:$F$486,F194,$R$2:$R$486,"&lt;"&amp;R194)))*86400</f>
        <v>0.23527771700173616</v>
      </c>
      <c r="V194" s="23">
        <f t="shared" ref="V194:V257" si="19">MAX(0,S194-MAX(R194,_xlfn.MAXIFS($S$2:$S$486,$A$2:$A$486,A194,$R$2:$R$486,"&lt;"&amp;R194)))*86400</f>
        <v>0.23527771700173616</v>
      </c>
    </row>
    <row r="195" spans="1:22" ht="15" customHeight="1" x14ac:dyDescent="0.35">
      <c r="A195" t="s">
        <v>189</v>
      </c>
      <c r="B195">
        <v>25</v>
      </c>
      <c r="C195" t="s">
        <v>202</v>
      </c>
      <c r="D195" t="s">
        <v>61</v>
      </c>
      <c r="E195" t="s">
        <v>25</v>
      </c>
      <c r="F195" t="s">
        <v>62</v>
      </c>
      <c r="G195">
        <v>4</v>
      </c>
      <c r="H195">
        <v>0</v>
      </c>
      <c r="I195">
        <v>0</v>
      </c>
      <c r="J195">
        <v>0</v>
      </c>
      <c r="K195">
        <v>0</v>
      </c>
      <c r="L195">
        <v>0.22808700000000001</v>
      </c>
      <c r="M195" t="s">
        <v>27</v>
      </c>
      <c r="N195" t="s">
        <v>63</v>
      </c>
      <c r="O195" t="s">
        <v>64</v>
      </c>
      <c r="P195" t="s">
        <v>65</v>
      </c>
      <c r="Q195" t="s">
        <v>66</v>
      </c>
      <c r="R195" s="22">
        <f t="shared" si="15"/>
        <v>46288.823874674912</v>
      </c>
      <c r="S195" s="22">
        <f t="shared" si="16"/>
        <v>46288.823877314811</v>
      </c>
      <c r="T195" s="23">
        <f t="shared" si="17"/>
        <v>0</v>
      </c>
      <c r="U195" s="23">
        <f t="shared" si="18"/>
        <v>0</v>
      </c>
      <c r="V195" s="23">
        <f t="shared" si="19"/>
        <v>0</v>
      </c>
    </row>
    <row r="196" spans="1:22" x14ac:dyDescent="0.35">
      <c r="A196" t="s">
        <v>189</v>
      </c>
      <c r="B196">
        <v>26</v>
      </c>
      <c r="C196" t="s">
        <v>203</v>
      </c>
      <c r="D196" t="s">
        <v>61</v>
      </c>
      <c r="E196" t="s">
        <v>25</v>
      </c>
      <c r="F196" t="s">
        <v>62</v>
      </c>
      <c r="G196">
        <v>5</v>
      </c>
      <c r="H196">
        <v>0</v>
      </c>
      <c r="I196">
        <v>0</v>
      </c>
      <c r="J196">
        <v>0</v>
      </c>
      <c r="K196">
        <v>0</v>
      </c>
      <c r="L196">
        <v>0.50521899999999997</v>
      </c>
      <c r="M196" t="s">
        <v>27</v>
      </c>
      <c r="N196" t="s">
        <v>63</v>
      </c>
      <c r="O196" t="s">
        <v>64</v>
      </c>
      <c r="P196" t="s">
        <v>65</v>
      </c>
      <c r="Q196" t="s">
        <v>66</v>
      </c>
      <c r="R196" s="22">
        <f t="shared" si="15"/>
        <v>46288.823883041448</v>
      </c>
      <c r="S196" s="22">
        <f t="shared" si="16"/>
        <v>46288.823888888888</v>
      </c>
      <c r="T196" s="23">
        <f t="shared" si="17"/>
        <v>0.50521879456937313</v>
      </c>
      <c r="U196" s="23">
        <f t="shared" si="18"/>
        <v>0.50521879456937313</v>
      </c>
      <c r="V196" s="23">
        <f t="shared" si="19"/>
        <v>0.50521879456937313</v>
      </c>
    </row>
    <row r="197" spans="1:22" x14ac:dyDescent="0.35">
      <c r="A197" t="s">
        <v>189</v>
      </c>
      <c r="B197">
        <v>27</v>
      </c>
      <c r="C197" t="s">
        <v>203</v>
      </c>
      <c r="D197" t="s">
        <v>61</v>
      </c>
      <c r="E197" t="s">
        <v>25</v>
      </c>
      <c r="F197" t="s">
        <v>62</v>
      </c>
      <c r="G197">
        <v>4</v>
      </c>
      <c r="H197">
        <v>0</v>
      </c>
      <c r="I197">
        <v>0</v>
      </c>
      <c r="J197">
        <v>0</v>
      </c>
      <c r="K197">
        <v>0</v>
      </c>
      <c r="L197">
        <v>0.30258800000000002</v>
      </c>
      <c r="M197" t="s">
        <v>27</v>
      </c>
      <c r="N197" t="s">
        <v>63</v>
      </c>
      <c r="O197" t="s">
        <v>64</v>
      </c>
      <c r="P197" t="s">
        <v>65</v>
      </c>
      <c r="Q197" t="s">
        <v>66</v>
      </c>
      <c r="R197" s="22">
        <f t="shared" si="15"/>
        <v>46288.823885386715</v>
      </c>
      <c r="S197" s="22">
        <f t="shared" si="16"/>
        <v>46288.823888888888</v>
      </c>
      <c r="T197" s="23">
        <f t="shared" si="17"/>
        <v>0</v>
      </c>
      <c r="U197" s="23">
        <f t="shared" si="18"/>
        <v>0</v>
      </c>
      <c r="V197" s="23">
        <f t="shared" si="19"/>
        <v>0</v>
      </c>
    </row>
    <row r="198" spans="1:22" ht="15" customHeight="1" x14ac:dyDescent="0.35">
      <c r="A198" t="s">
        <v>189</v>
      </c>
      <c r="B198">
        <v>28</v>
      </c>
      <c r="C198" t="s">
        <v>204</v>
      </c>
      <c r="D198" t="s">
        <v>61</v>
      </c>
      <c r="E198" t="s">
        <v>25</v>
      </c>
      <c r="F198" t="s">
        <v>62</v>
      </c>
      <c r="G198">
        <v>15</v>
      </c>
      <c r="H198">
        <v>0</v>
      </c>
      <c r="I198">
        <v>0</v>
      </c>
      <c r="J198">
        <v>0</v>
      </c>
      <c r="K198">
        <v>0</v>
      </c>
      <c r="L198">
        <v>0.20610400000000001</v>
      </c>
      <c r="M198" t="s">
        <v>27</v>
      </c>
      <c r="N198" t="s">
        <v>63</v>
      </c>
      <c r="O198" t="s">
        <v>64</v>
      </c>
      <c r="P198" t="s">
        <v>65</v>
      </c>
      <c r="Q198" t="s">
        <v>66</v>
      </c>
      <c r="R198" s="22">
        <f t="shared" si="15"/>
        <v>46288.823898077499</v>
      </c>
      <c r="S198" s="22">
        <f t="shared" si="16"/>
        <v>46288.823900462965</v>
      </c>
      <c r="T198" s="23">
        <f t="shared" si="17"/>
        <v>0.20610429346561432</v>
      </c>
      <c r="U198" s="23">
        <f t="shared" si="18"/>
        <v>0.20610429346561432</v>
      </c>
      <c r="V198" s="23">
        <f t="shared" si="19"/>
        <v>0.20610429346561432</v>
      </c>
    </row>
    <row r="199" spans="1:22" x14ac:dyDescent="0.35">
      <c r="A199" t="s">
        <v>189</v>
      </c>
      <c r="B199">
        <v>29</v>
      </c>
      <c r="C199" t="s">
        <v>205</v>
      </c>
      <c r="D199" t="s">
        <v>61</v>
      </c>
      <c r="E199" t="s">
        <v>25</v>
      </c>
      <c r="F199" t="s">
        <v>62</v>
      </c>
      <c r="G199">
        <v>2</v>
      </c>
      <c r="H199">
        <v>0</v>
      </c>
      <c r="I199">
        <v>0</v>
      </c>
      <c r="J199">
        <v>0</v>
      </c>
      <c r="K199">
        <v>0</v>
      </c>
      <c r="L199">
        <v>0.18768799999999999</v>
      </c>
      <c r="M199" t="s">
        <v>27</v>
      </c>
      <c r="N199" t="s">
        <v>63</v>
      </c>
      <c r="O199" t="s">
        <v>64</v>
      </c>
      <c r="P199" t="s">
        <v>65</v>
      </c>
      <c r="Q199" t="s">
        <v>66</v>
      </c>
      <c r="R199" s="22">
        <f t="shared" si="15"/>
        <v>46288.823909864717</v>
      </c>
      <c r="S199" s="22">
        <f t="shared" si="16"/>
        <v>46288.823912037034</v>
      </c>
      <c r="T199" s="23">
        <f t="shared" si="17"/>
        <v>0</v>
      </c>
      <c r="U199" s="23">
        <f t="shared" si="18"/>
        <v>0</v>
      </c>
      <c r="V199" s="23">
        <f t="shared" si="19"/>
        <v>0</v>
      </c>
    </row>
    <row r="200" spans="1:22" ht="15" customHeight="1" x14ac:dyDescent="0.35">
      <c r="A200" t="s">
        <v>189</v>
      </c>
      <c r="B200">
        <v>30</v>
      </c>
      <c r="C200" t="s">
        <v>205</v>
      </c>
      <c r="D200" t="s">
        <v>61</v>
      </c>
      <c r="E200" t="s">
        <v>25</v>
      </c>
      <c r="F200" t="s">
        <v>62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0.21420900000000001</v>
      </c>
      <c r="M200" t="s">
        <v>27</v>
      </c>
      <c r="N200" t="s">
        <v>63</v>
      </c>
      <c r="O200" t="s">
        <v>64</v>
      </c>
      <c r="P200" t="s">
        <v>65</v>
      </c>
      <c r="Q200" t="s">
        <v>66</v>
      </c>
      <c r="R200" s="22">
        <f t="shared" si="15"/>
        <v>46288.823909557766</v>
      </c>
      <c r="S200" s="22">
        <f t="shared" si="16"/>
        <v>46288.823912037034</v>
      </c>
      <c r="T200" s="23">
        <f t="shared" si="17"/>
        <v>0.21420875564217567</v>
      </c>
      <c r="U200" s="23">
        <f t="shared" si="18"/>
        <v>0.21420875564217567</v>
      </c>
      <c r="V200" s="23">
        <f t="shared" si="19"/>
        <v>0.21420875564217567</v>
      </c>
    </row>
    <row r="201" spans="1:22" ht="27.75" customHeight="1" x14ac:dyDescent="0.35">
      <c r="A201" t="s">
        <v>189</v>
      </c>
      <c r="B201">
        <v>31</v>
      </c>
      <c r="C201" t="s">
        <v>206</v>
      </c>
      <c r="D201" t="s">
        <v>61</v>
      </c>
      <c r="E201" t="s">
        <v>25</v>
      </c>
      <c r="F201" t="s">
        <v>62</v>
      </c>
      <c r="G201">
        <v>3</v>
      </c>
      <c r="H201">
        <v>0</v>
      </c>
      <c r="I201">
        <v>0</v>
      </c>
      <c r="J201">
        <v>0</v>
      </c>
      <c r="K201">
        <v>0</v>
      </c>
      <c r="L201">
        <v>0.21678900000000001</v>
      </c>
      <c r="M201" t="s">
        <v>27</v>
      </c>
      <c r="N201" t="s">
        <v>63</v>
      </c>
      <c r="O201" t="s">
        <v>64</v>
      </c>
      <c r="P201" t="s">
        <v>65</v>
      </c>
      <c r="Q201" t="s">
        <v>66</v>
      </c>
      <c r="R201" s="22">
        <f t="shared" si="15"/>
        <v>46288.823921101983</v>
      </c>
      <c r="S201" s="22">
        <f t="shared" si="16"/>
        <v>46288.823923611111</v>
      </c>
      <c r="T201" s="23">
        <f t="shared" si="17"/>
        <v>0</v>
      </c>
      <c r="U201" s="23">
        <f t="shared" si="18"/>
        <v>0</v>
      </c>
      <c r="V201" s="23">
        <f t="shared" si="19"/>
        <v>0</v>
      </c>
    </row>
    <row r="202" spans="1:22" ht="15" customHeight="1" x14ac:dyDescent="0.35">
      <c r="A202" t="s">
        <v>189</v>
      </c>
      <c r="B202">
        <v>32</v>
      </c>
      <c r="C202" t="s">
        <v>206</v>
      </c>
      <c r="D202" t="s">
        <v>61</v>
      </c>
      <c r="E202" t="s">
        <v>25</v>
      </c>
      <c r="F202" t="s">
        <v>62</v>
      </c>
      <c r="G202">
        <v>4</v>
      </c>
      <c r="H202">
        <v>0</v>
      </c>
      <c r="I202">
        <v>0</v>
      </c>
      <c r="J202">
        <v>0</v>
      </c>
      <c r="K202">
        <v>0</v>
      </c>
      <c r="L202">
        <v>0.23324900000000001</v>
      </c>
      <c r="M202" t="s">
        <v>27</v>
      </c>
      <c r="N202" t="s">
        <v>63</v>
      </c>
      <c r="O202" t="s">
        <v>64</v>
      </c>
      <c r="P202" t="s">
        <v>65</v>
      </c>
      <c r="Q202" t="s">
        <v>66</v>
      </c>
      <c r="R202" s="22">
        <f t="shared" si="15"/>
        <v>46288.823920911469</v>
      </c>
      <c r="S202" s="22">
        <f t="shared" si="16"/>
        <v>46288.823923611111</v>
      </c>
      <c r="T202" s="23">
        <f t="shared" si="17"/>
        <v>0.23324908688664436</v>
      </c>
      <c r="U202" s="23">
        <f t="shared" si="18"/>
        <v>0.23324908688664436</v>
      </c>
      <c r="V202" s="23">
        <f t="shared" si="19"/>
        <v>0.23324908688664436</v>
      </c>
    </row>
    <row r="203" spans="1:22" ht="15" customHeight="1" x14ac:dyDescent="0.35">
      <c r="A203" t="s">
        <v>189</v>
      </c>
      <c r="B203">
        <v>33</v>
      </c>
      <c r="C203" t="s">
        <v>206</v>
      </c>
      <c r="D203" t="s">
        <v>61</v>
      </c>
      <c r="E203" t="s">
        <v>25</v>
      </c>
      <c r="F203" t="s">
        <v>62</v>
      </c>
      <c r="G203">
        <v>4</v>
      </c>
      <c r="H203">
        <v>0</v>
      </c>
      <c r="I203">
        <v>0</v>
      </c>
      <c r="J203">
        <v>0</v>
      </c>
      <c r="K203">
        <v>0</v>
      </c>
      <c r="L203">
        <v>0.205124</v>
      </c>
      <c r="M203" t="s">
        <v>27</v>
      </c>
      <c r="N203" t="s">
        <v>63</v>
      </c>
      <c r="O203" t="s">
        <v>64</v>
      </c>
      <c r="P203" t="s">
        <v>65</v>
      </c>
      <c r="Q203" t="s">
        <v>66</v>
      </c>
      <c r="R203" s="22">
        <f t="shared" si="15"/>
        <v>46288.823921236988</v>
      </c>
      <c r="S203" s="22">
        <f t="shared" si="16"/>
        <v>46288.823923611111</v>
      </c>
      <c r="T203" s="23">
        <f t="shared" si="17"/>
        <v>0</v>
      </c>
      <c r="U203" s="23">
        <f t="shared" si="18"/>
        <v>0</v>
      </c>
      <c r="V203" s="23">
        <f t="shared" si="19"/>
        <v>0</v>
      </c>
    </row>
    <row r="204" spans="1:22" ht="15" customHeight="1" x14ac:dyDescent="0.35">
      <c r="A204" t="s">
        <v>189</v>
      </c>
      <c r="B204">
        <v>34</v>
      </c>
      <c r="C204" t="s">
        <v>207</v>
      </c>
      <c r="D204" t="s">
        <v>61</v>
      </c>
      <c r="E204" t="s">
        <v>25</v>
      </c>
      <c r="F204" t="s">
        <v>62</v>
      </c>
      <c r="G204">
        <v>5</v>
      </c>
      <c r="H204">
        <v>0</v>
      </c>
      <c r="I204">
        <v>0</v>
      </c>
      <c r="J204">
        <v>0</v>
      </c>
      <c r="K204">
        <v>0</v>
      </c>
      <c r="L204">
        <v>0.198517</v>
      </c>
      <c r="M204" t="s">
        <v>27</v>
      </c>
      <c r="N204" t="s">
        <v>63</v>
      </c>
      <c r="O204" t="s">
        <v>64</v>
      </c>
      <c r="P204" t="s">
        <v>65</v>
      </c>
      <c r="Q204" t="s">
        <v>66</v>
      </c>
      <c r="R204" s="22">
        <f t="shared" si="15"/>
        <v>46288.823932887535</v>
      </c>
      <c r="S204" s="22">
        <f t="shared" si="16"/>
        <v>46288.823935185188</v>
      </c>
      <c r="T204" s="23">
        <f t="shared" si="17"/>
        <v>0</v>
      </c>
      <c r="U204" s="23">
        <f t="shared" si="18"/>
        <v>0</v>
      </c>
      <c r="V204" s="23">
        <f t="shared" si="19"/>
        <v>0</v>
      </c>
    </row>
    <row r="205" spans="1:22" ht="15" customHeight="1" x14ac:dyDescent="0.35">
      <c r="A205" t="s">
        <v>189</v>
      </c>
      <c r="B205">
        <v>35</v>
      </c>
      <c r="C205" t="s">
        <v>207</v>
      </c>
      <c r="D205" t="s">
        <v>61</v>
      </c>
      <c r="E205" t="s">
        <v>25</v>
      </c>
      <c r="F205" t="s">
        <v>62</v>
      </c>
      <c r="G205">
        <v>6</v>
      </c>
      <c r="H205">
        <v>0</v>
      </c>
      <c r="I205">
        <v>0</v>
      </c>
      <c r="J205">
        <v>0</v>
      </c>
      <c r="K205">
        <v>0</v>
      </c>
      <c r="L205">
        <v>0.20128699999999999</v>
      </c>
      <c r="M205" t="s">
        <v>27</v>
      </c>
      <c r="N205" t="s">
        <v>63</v>
      </c>
      <c r="O205" t="s">
        <v>64</v>
      </c>
      <c r="P205" t="s">
        <v>65</v>
      </c>
      <c r="Q205" t="s">
        <v>66</v>
      </c>
      <c r="R205" s="22">
        <f t="shared" si="15"/>
        <v>46288.823932855477</v>
      </c>
      <c r="S205" s="22">
        <f t="shared" si="16"/>
        <v>46288.823935185188</v>
      </c>
      <c r="T205" s="23">
        <f t="shared" si="17"/>
        <v>0</v>
      </c>
      <c r="U205" s="23">
        <f t="shared" si="18"/>
        <v>0</v>
      </c>
      <c r="V205" s="23">
        <f t="shared" si="19"/>
        <v>0</v>
      </c>
    </row>
    <row r="206" spans="1:22" ht="15" customHeight="1" x14ac:dyDescent="0.35">
      <c r="A206" t="s">
        <v>189</v>
      </c>
      <c r="B206">
        <v>36</v>
      </c>
      <c r="C206" t="s">
        <v>207</v>
      </c>
      <c r="D206" t="s">
        <v>61</v>
      </c>
      <c r="E206" t="s">
        <v>25</v>
      </c>
      <c r="F206" t="s">
        <v>62</v>
      </c>
      <c r="G206">
        <v>17</v>
      </c>
      <c r="H206">
        <v>0</v>
      </c>
      <c r="I206">
        <v>0</v>
      </c>
      <c r="J206">
        <v>0</v>
      </c>
      <c r="K206">
        <v>0</v>
      </c>
      <c r="L206">
        <v>0.26012600000000002</v>
      </c>
      <c r="M206" t="s">
        <v>27</v>
      </c>
      <c r="N206" t="s">
        <v>63</v>
      </c>
      <c r="O206" t="s">
        <v>64</v>
      </c>
      <c r="P206" t="s">
        <v>65</v>
      </c>
      <c r="Q206" t="s">
        <v>66</v>
      </c>
      <c r="R206" s="22">
        <f t="shared" si="15"/>
        <v>46288.82393217447</v>
      </c>
      <c r="S206" s="22">
        <f t="shared" si="16"/>
        <v>46288.823935185188</v>
      </c>
      <c r="T206" s="23">
        <f t="shared" si="17"/>
        <v>0.26012607850134373</v>
      </c>
      <c r="U206" s="23">
        <f t="shared" si="18"/>
        <v>0.26012607850134373</v>
      </c>
      <c r="V206" s="23">
        <f t="shared" si="19"/>
        <v>0.26012607850134373</v>
      </c>
    </row>
    <row r="207" spans="1:22" ht="15" customHeight="1" x14ac:dyDescent="0.35">
      <c r="A207" t="s">
        <v>189</v>
      </c>
      <c r="B207">
        <v>37</v>
      </c>
      <c r="C207" t="s">
        <v>208</v>
      </c>
      <c r="D207" t="s">
        <v>61</v>
      </c>
      <c r="E207" t="s">
        <v>25</v>
      </c>
      <c r="F207" t="s">
        <v>62</v>
      </c>
      <c r="G207">
        <v>4</v>
      </c>
      <c r="H207">
        <v>0</v>
      </c>
      <c r="I207">
        <v>0</v>
      </c>
      <c r="J207">
        <v>0</v>
      </c>
      <c r="K207">
        <v>0</v>
      </c>
      <c r="L207">
        <v>0.201289</v>
      </c>
      <c r="M207" t="s">
        <v>27</v>
      </c>
      <c r="N207" t="s">
        <v>63</v>
      </c>
      <c r="O207" t="s">
        <v>64</v>
      </c>
      <c r="P207" t="s">
        <v>65</v>
      </c>
      <c r="Q207" t="s">
        <v>66</v>
      </c>
      <c r="R207" s="22">
        <f t="shared" si="15"/>
        <v>46288.823944429525</v>
      </c>
      <c r="S207" s="22">
        <f t="shared" si="16"/>
        <v>46288.823946759258</v>
      </c>
      <c r="T207" s="23">
        <f t="shared" si="17"/>
        <v>0</v>
      </c>
      <c r="U207" s="23">
        <f t="shared" si="18"/>
        <v>0</v>
      </c>
      <c r="V207" s="23">
        <f t="shared" si="19"/>
        <v>0</v>
      </c>
    </row>
    <row r="208" spans="1:22" ht="15" customHeight="1" x14ac:dyDescent="0.35">
      <c r="A208" t="s">
        <v>189</v>
      </c>
      <c r="B208">
        <v>38</v>
      </c>
      <c r="C208" t="s">
        <v>208</v>
      </c>
      <c r="D208" t="s">
        <v>61</v>
      </c>
      <c r="E208" t="s">
        <v>25</v>
      </c>
      <c r="F208" t="s">
        <v>62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0.208537</v>
      </c>
      <c r="M208" t="s">
        <v>27</v>
      </c>
      <c r="N208" t="s">
        <v>63</v>
      </c>
      <c r="O208" t="s">
        <v>64</v>
      </c>
      <c r="P208" t="s">
        <v>65</v>
      </c>
      <c r="Q208" t="s">
        <v>66</v>
      </c>
      <c r="R208" s="22">
        <f t="shared" si="15"/>
        <v>46288.823944345633</v>
      </c>
      <c r="S208" s="22">
        <f t="shared" si="16"/>
        <v>46288.823946759258</v>
      </c>
      <c r="T208" s="23">
        <f t="shared" si="17"/>
        <v>0</v>
      </c>
      <c r="U208" s="23">
        <f t="shared" si="18"/>
        <v>0</v>
      </c>
      <c r="V208" s="23">
        <f t="shared" si="19"/>
        <v>0</v>
      </c>
    </row>
    <row r="209" spans="1:22" ht="15" customHeight="1" x14ac:dyDescent="0.35">
      <c r="A209" t="s">
        <v>189</v>
      </c>
      <c r="B209">
        <v>39</v>
      </c>
      <c r="C209" t="s">
        <v>208</v>
      </c>
      <c r="D209" t="s">
        <v>61</v>
      </c>
      <c r="E209" t="s">
        <v>25</v>
      </c>
      <c r="F209" t="s">
        <v>62</v>
      </c>
      <c r="G209">
        <v>3</v>
      </c>
      <c r="H209">
        <v>0</v>
      </c>
      <c r="I209">
        <v>0</v>
      </c>
      <c r="J209">
        <v>0</v>
      </c>
      <c r="K209">
        <v>0</v>
      </c>
      <c r="L209">
        <v>0.199486</v>
      </c>
      <c r="M209" t="s">
        <v>27</v>
      </c>
      <c r="N209" t="s">
        <v>63</v>
      </c>
      <c r="O209" t="s">
        <v>64</v>
      </c>
      <c r="P209" t="s">
        <v>65</v>
      </c>
      <c r="Q209" t="s">
        <v>66</v>
      </c>
      <c r="R209" s="22">
        <f t="shared" si="15"/>
        <v>46288.823944450392</v>
      </c>
      <c r="S209" s="22">
        <f t="shared" si="16"/>
        <v>46288.823946759258</v>
      </c>
      <c r="T209" s="23">
        <f t="shared" si="17"/>
        <v>0</v>
      </c>
      <c r="U209" s="23">
        <f t="shared" si="18"/>
        <v>0</v>
      </c>
      <c r="V209" s="23">
        <f t="shared" si="19"/>
        <v>0</v>
      </c>
    </row>
    <row r="210" spans="1:22" ht="15" customHeight="1" x14ac:dyDescent="0.35">
      <c r="A210" t="s">
        <v>189</v>
      </c>
      <c r="B210">
        <v>40</v>
      </c>
      <c r="C210" t="s">
        <v>208</v>
      </c>
      <c r="D210" t="s">
        <v>61</v>
      </c>
      <c r="E210" t="s">
        <v>25</v>
      </c>
      <c r="F210" t="s">
        <v>62</v>
      </c>
      <c r="G210">
        <v>6</v>
      </c>
      <c r="H210">
        <v>0</v>
      </c>
      <c r="I210">
        <v>0</v>
      </c>
      <c r="J210">
        <v>0</v>
      </c>
      <c r="K210">
        <v>0</v>
      </c>
      <c r="L210">
        <v>0.21193600000000001</v>
      </c>
      <c r="M210" t="s">
        <v>27</v>
      </c>
      <c r="N210" t="s">
        <v>63</v>
      </c>
      <c r="O210" t="s">
        <v>64</v>
      </c>
      <c r="P210" t="s">
        <v>65</v>
      </c>
      <c r="Q210" t="s">
        <v>66</v>
      </c>
      <c r="R210" s="22">
        <f t="shared" si="15"/>
        <v>46288.823944306292</v>
      </c>
      <c r="S210" s="22">
        <f t="shared" si="16"/>
        <v>46288.823946759258</v>
      </c>
      <c r="T210" s="23">
        <f t="shared" si="17"/>
        <v>0.21193621214479208</v>
      </c>
      <c r="U210" s="23">
        <f t="shared" si="18"/>
        <v>0.21193621214479208</v>
      </c>
      <c r="V210" s="23">
        <f t="shared" si="19"/>
        <v>0.21193621214479208</v>
      </c>
    </row>
    <row r="211" spans="1:22" x14ac:dyDescent="0.35">
      <c r="A211" t="s">
        <v>189</v>
      </c>
      <c r="B211">
        <v>41</v>
      </c>
      <c r="C211" t="s">
        <v>209</v>
      </c>
      <c r="D211" t="s">
        <v>61</v>
      </c>
      <c r="E211" t="s">
        <v>25</v>
      </c>
      <c r="F211" t="s">
        <v>62</v>
      </c>
      <c r="G211">
        <v>4</v>
      </c>
      <c r="H211">
        <v>0</v>
      </c>
      <c r="I211">
        <v>0</v>
      </c>
      <c r="J211">
        <v>0</v>
      </c>
      <c r="K211">
        <v>0</v>
      </c>
      <c r="L211">
        <v>0.33449600000000002</v>
      </c>
      <c r="M211" t="s">
        <v>27</v>
      </c>
      <c r="N211" t="s">
        <v>63</v>
      </c>
      <c r="O211" t="s">
        <v>64</v>
      </c>
      <c r="P211" t="s">
        <v>65</v>
      </c>
      <c r="Q211" t="s">
        <v>66</v>
      </c>
      <c r="R211" s="22">
        <f t="shared" si="15"/>
        <v>46288.823954461855</v>
      </c>
      <c r="S211" s="22">
        <f t="shared" si="16"/>
        <v>46288.823958333334</v>
      </c>
      <c r="T211" s="23">
        <f t="shared" si="17"/>
        <v>0.33449577167630196</v>
      </c>
      <c r="U211" s="23">
        <f t="shared" si="18"/>
        <v>0.33449577167630196</v>
      </c>
      <c r="V211" s="23">
        <f t="shared" si="19"/>
        <v>0.33449577167630196</v>
      </c>
    </row>
    <row r="212" spans="1:22" x14ac:dyDescent="0.35">
      <c r="A212" t="s">
        <v>189</v>
      </c>
      <c r="B212">
        <v>42</v>
      </c>
      <c r="C212" t="s">
        <v>209</v>
      </c>
      <c r="D212" t="s">
        <v>61</v>
      </c>
      <c r="E212" t="s">
        <v>25</v>
      </c>
      <c r="F212" t="s">
        <v>62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0.26871899999999999</v>
      </c>
      <c r="M212" t="s">
        <v>27</v>
      </c>
      <c r="N212" t="s">
        <v>63</v>
      </c>
      <c r="O212" t="s">
        <v>64</v>
      </c>
      <c r="P212" t="s">
        <v>65</v>
      </c>
      <c r="Q212" t="s">
        <v>66</v>
      </c>
      <c r="R212" s="22">
        <f t="shared" si="15"/>
        <v>46288.823955223161</v>
      </c>
      <c r="S212" s="22">
        <f t="shared" si="16"/>
        <v>46288.823958333334</v>
      </c>
      <c r="T212" s="23">
        <f t="shared" si="17"/>
        <v>0</v>
      </c>
      <c r="U212" s="23">
        <f t="shared" si="18"/>
        <v>0</v>
      </c>
      <c r="V212" s="23">
        <f t="shared" si="19"/>
        <v>0</v>
      </c>
    </row>
    <row r="213" spans="1:22" x14ac:dyDescent="0.35">
      <c r="A213" t="s">
        <v>189</v>
      </c>
      <c r="B213">
        <v>43</v>
      </c>
      <c r="C213" t="s">
        <v>209</v>
      </c>
      <c r="D213" t="s">
        <v>61</v>
      </c>
      <c r="E213" t="s">
        <v>25</v>
      </c>
      <c r="F213" t="s">
        <v>62</v>
      </c>
      <c r="G213">
        <v>4</v>
      </c>
      <c r="H213">
        <v>0</v>
      </c>
      <c r="I213">
        <v>0</v>
      </c>
      <c r="J213">
        <v>0</v>
      </c>
      <c r="K213">
        <v>0</v>
      </c>
      <c r="L213">
        <v>0.22458700000000001</v>
      </c>
      <c r="M213" t="s">
        <v>27</v>
      </c>
      <c r="N213" t="s">
        <v>63</v>
      </c>
      <c r="O213" t="s">
        <v>64</v>
      </c>
      <c r="P213" t="s">
        <v>65</v>
      </c>
      <c r="Q213" t="s">
        <v>66</v>
      </c>
      <c r="R213" s="22">
        <f t="shared" si="15"/>
        <v>46288.823955733948</v>
      </c>
      <c r="S213" s="22">
        <f t="shared" si="16"/>
        <v>46288.823958333334</v>
      </c>
      <c r="T213" s="23">
        <f t="shared" si="17"/>
        <v>0</v>
      </c>
      <c r="U213" s="23">
        <f t="shared" si="18"/>
        <v>0</v>
      </c>
      <c r="V213" s="23">
        <f t="shared" si="19"/>
        <v>0</v>
      </c>
    </row>
    <row r="214" spans="1:22" x14ac:dyDescent="0.35">
      <c r="A214" t="s">
        <v>189</v>
      </c>
      <c r="B214">
        <v>44</v>
      </c>
      <c r="C214" t="s">
        <v>210</v>
      </c>
      <c r="D214" t="s">
        <v>61</v>
      </c>
      <c r="E214" t="s">
        <v>25</v>
      </c>
      <c r="F214" t="s">
        <v>62</v>
      </c>
      <c r="G214">
        <v>18</v>
      </c>
      <c r="H214">
        <v>0</v>
      </c>
      <c r="I214">
        <v>0</v>
      </c>
      <c r="J214">
        <v>0</v>
      </c>
      <c r="K214">
        <v>0</v>
      </c>
      <c r="L214">
        <v>0.23632700000000001</v>
      </c>
      <c r="M214" t="s">
        <v>27</v>
      </c>
      <c r="N214" t="s">
        <v>63</v>
      </c>
      <c r="O214" t="s">
        <v>64</v>
      </c>
      <c r="P214" t="s">
        <v>65</v>
      </c>
      <c r="Q214" t="s">
        <v>66</v>
      </c>
      <c r="R214" s="22">
        <f t="shared" si="15"/>
        <v>46288.823967172139</v>
      </c>
      <c r="S214" s="22">
        <f t="shared" si="16"/>
        <v>46288.823969907404</v>
      </c>
      <c r="T214" s="23">
        <f t="shared" si="17"/>
        <v>0.2363269217312336</v>
      </c>
      <c r="U214" s="23">
        <f t="shared" si="18"/>
        <v>0.2363269217312336</v>
      </c>
      <c r="V214" s="23">
        <f t="shared" si="19"/>
        <v>0.2363269217312336</v>
      </c>
    </row>
    <row r="215" spans="1:22" x14ac:dyDescent="0.35">
      <c r="A215" t="s">
        <v>189</v>
      </c>
      <c r="B215">
        <v>45</v>
      </c>
      <c r="C215" t="s">
        <v>211</v>
      </c>
      <c r="D215" t="s">
        <v>61</v>
      </c>
      <c r="E215" t="s">
        <v>25</v>
      </c>
      <c r="F215" t="s">
        <v>62</v>
      </c>
      <c r="G215">
        <v>3</v>
      </c>
      <c r="H215">
        <v>0</v>
      </c>
      <c r="I215">
        <v>0</v>
      </c>
      <c r="J215">
        <v>0</v>
      </c>
      <c r="K215">
        <v>0</v>
      </c>
      <c r="L215">
        <v>0.58997900000000003</v>
      </c>
      <c r="M215" t="s">
        <v>27</v>
      </c>
      <c r="N215" t="s">
        <v>63</v>
      </c>
      <c r="O215" t="s">
        <v>64</v>
      </c>
      <c r="P215" t="s">
        <v>65</v>
      </c>
      <c r="Q215" t="s">
        <v>66</v>
      </c>
      <c r="R215" s="22">
        <f t="shared" si="15"/>
        <v>46288.823974653023</v>
      </c>
      <c r="S215" s="22">
        <f t="shared" si="16"/>
        <v>46288.823981481481</v>
      </c>
      <c r="T215" s="23">
        <f t="shared" si="17"/>
        <v>0.58997869491577148</v>
      </c>
      <c r="U215" s="23">
        <f t="shared" si="18"/>
        <v>0.58997869491577148</v>
      </c>
      <c r="V215" s="23">
        <f t="shared" si="19"/>
        <v>0.58997869491577148</v>
      </c>
    </row>
    <row r="216" spans="1:22" x14ac:dyDescent="0.35">
      <c r="A216" t="s">
        <v>189</v>
      </c>
      <c r="B216">
        <v>46</v>
      </c>
      <c r="C216" t="s">
        <v>211</v>
      </c>
      <c r="D216" t="s">
        <v>61</v>
      </c>
      <c r="E216" t="s">
        <v>25</v>
      </c>
      <c r="F216" t="s">
        <v>62</v>
      </c>
      <c r="G216">
        <v>4</v>
      </c>
      <c r="H216">
        <v>0</v>
      </c>
      <c r="I216">
        <v>0</v>
      </c>
      <c r="J216">
        <v>0</v>
      </c>
      <c r="K216">
        <v>0</v>
      </c>
      <c r="L216">
        <v>0.18886600000000001</v>
      </c>
      <c r="M216" t="s">
        <v>27</v>
      </c>
      <c r="N216" t="s">
        <v>63</v>
      </c>
      <c r="O216" t="s">
        <v>64</v>
      </c>
      <c r="P216" t="s">
        <v>65</v>
      </c>
      <c r="Q216" t="s">
        <v>66</v>
      </c>
      <c r="R216" s="22">
        <f t="shared" si="15"/>
        <v>46288.823979295528</v>
      </c>
      <c r="S216" s="22">
        <f t="shared" si="16"/>
        <v>46288.823981481481</v>
      </c>
      <c r="T216" s="23">
        <f t="shared" si="17"/>
        <v>0</v>
      </c>
      <c r="U216" s="23">
        <f t="shared" si="18"/>
        <v>0</v>
      </c>
      <c r="V216" s="23">
        <f t="shared" si="19"/>
        <v>0</v>
      </c>
    </row>
    <row r="217" spans="1:22" x14ac:dyDescent="0.35">
      <c r="A217" t="s">
        <v>189</v>
      </c>
      <c r="B217">
        <v>47</v>
      </c>
      <c r="C217" t="s">
        <v>211</v>
      </c>
      <c r="D217" t="s">
        <v>61</v>
      </c>
      <c r="E217" t="s">
        <v>25</v>
      </c>
      <c r="F217" t="s">
        <v>62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0.209261</v>
      </c>
      <c r="M217" t="s">
        <v>27</v>
      </c>
      <c r="N217" t="s">
        <v>63</v>
      </c>
      <c r="O217" t="s">
        <v>64</v>
      </c>
      <c r="P217" t="s">
        <v>65</v>
      </c>
      <c r="Q217" t="s">
        <v>66</v>
      </c>
      <c r="R217" s="22">
        <f t="shared" si="15"/>
        <v>46288.823979059482</v>
      </c>
      <c r="S217" s="22">
        <f t="shared" si="16"/>
        <v>46288.823981481481</v>
      </c>
      <c r="T217" s="23">
        <f t="shared" si="17"/>
        <v>0</v>
      </c>
      <c r="U217" s="23">
        <f t="shared" si="18"/>
        <v>0</v>
      </c>
      <c r="V217" s="23">
        <f t="shared" si="19"/>
        <v>0</v>
      </c>
    </row>
    <row r="218" spans="1:22" x14ac:dyDescent="0.35">
      <c r="A218" t="s">
        <v>189</v>
      </c>
      <c r="B218">
        <v>48</v>
      </c>
      <c r="C218" t="s">
        <v>212</v>
      </c>
      <c r="D218" t="s">
        <v>61</v>
      </c>
      <c r="E218" t="s">
        <v>25</v>
      </c>
      <c r="F218" t="s">
        <v>62</v>
      </c>
      <c r="G218">
        <v>4</v>
      </c>
      <c r="H218">
        <v>0</v>
      </c>
      <c r="I218">
        <v>0</v>
      </c>
      <c r="J218">
        <v>0</v>
      </c>
      <c r="K218">
        <v>0</v>
      </c>
      <c r="L218">
        <v>0.20728199999999999</v>
      </c>
      <c r="M218" t="s">
        <v>27</v>
      </c>
      <c r="N218" t="s">
        <v>63</v>
      </c>
      <c r="O218" t="s">
        <v>64</v>
      </c>
      <c r="P218" t="s">
        <v>65</v>
      </c>
      <c r="Q218" t="s">
        <v>66</v>
      </c>
      <c r="R218" s="22">
        <f t="shared" si="15"/>
        <v>46288.823990656463</v>
      </c>
      <c r="S218" s="22">
        <f t="shared" si="16"/>
        <v>46288.823993055557</v>
      </c>
      <c r="T218" s="23">
        <f t="shared" si="17"/>
        <v>0</v>
      </c>
      <c r="U218" s="23">
        <f t="shared" si="18"/>
        <v>0</v>
      </c>
      <c r="V218" s="23">
        <f t="shared" si="19"/>
        <v>0</v>
      </c>
    </row>
    <row r="219" spans="1:22" x14ac:dyDescent="0.35">
      <c r="A219" t="s">
        <v>189</v>
      </c>
      <c r="B219">
        <v>49</v>
      </c>
      <c r="C219" t="s">
        <v>212</v>
      </c>
      <c r="D219" t="s">
        <v>61</v>
      </c>
      <c r="E219" t="s">
        <v>25</v>
      </c>
      <c r="F219" t="s">
        <v>62</v>
      </c>
      <c r="G219">
        <v>5</v>
      </c>
      <c r="H219">
        <v>0</v>
      </c>
      <c r="I219">
        <v>0</v>
      </c>
      <c r="J219">
        <v>0</v>
      </c>
      <c r="K219">
        <v>0</v>
      </c>
      <c r="L219">
        <v>0.23163</v>
      </c>
      <c r="M219" t="s">
        <v>27</v>
      </c>
      <c r="N219" t="s">
        <v>63</v>
      </c>
      <c r="O219" t="s">
        <v>64</v>
      </c>
      <c r="P219" t="s">
        <v>65</v>
      </c>
      <c r="Q219" t="s">
        <v>66</v>
      </c>
      <c r="R219" s="22">
        <f t="shared" si="15"/>
        <v>46288.823990374658</v>
      </c>
      <c r="S219" s="22">
        <f t="shared" si="16"/>
        <v>46288.823993055557</v>
      </c>
      <c r="T219" s="23">
        <f t="shared" si="17"/>
        <v>0.23162970319390297</v>
      </c>
      <c r="U219" s="23">
        <f t="shared" si="18"/>
        <v>0.23162970319390297</v>
      </c>
      <c r="V219" s="23">
        <f t="shared" si="19"/>
        <v>0.23162970319390297</v>
      </c>
    </row>
    <row r="220" spans="1:22" x14ac:dyDescent="0.35">
      <c r="A220" t="s">
        <v>189</v>
      </c>
      <c r="B220">
        <v>50</v>
      </c>
      <c r="C220" t="s">
        <v>213</v>
      </c>
      <c r="D220" t="s">
        <v>61</v>
      </c>
      <c r="E220" t="s">
        <v>25</v>
      </c>
      <c r="F220" t="s">
        <v>62</v>
      </c>
      <c r="G220">
        <v>4</v>
      </c>
      <c r="H220">
        <v>0</v>
      </c>
      <c r="I220">
        <v>0</v>
      </c>
      <c r="J220">
        <v>0</v>
      </c>
      <c r="K220">
        <v>0</v>
      </c>
      <c r="L220">
        <v>0.19070100000000001</v>
      </c>
      <c r="M220" t="s">
        <v>27</v>
      </c>
      <c r="N220" t="s">
        <v>63</v>
      </c>
      <c r="O220" t="s">
        <v>64</v>
      </c>
      <c r="P220" t="s">
        <v>65</v>
      </c>
      <c r="Q220" t="s">
        <v>66</v>
      </c>
      <c r="R220" s="22">
        <f t="shared" si="15"/>
        <v>46288.824002422436</v>
      </c>
      <c r="S220" s="22">
        <f t="shared" si="16"/>
        <v>46288.824004629627</v>
      </c>
      <c r="T220" s="23">
        <f t="shared" si="17"/>
        <v>0</v>
      </c>
      <c r="U220" s="23">
        <f t="shared" si="18"/>
        <v>0</v>
      </c>
      <c r="V220" s="23">
        <f t="shared" si="19"/>
        <v>0</v>
      </c>
    </row>
    <row r="221" spans="1:22" x14ac:dyDescent="0.35">
      <c r="A221" t="s">
        <v>189</v>
      </c>
      <c r="B221">
        <v>51</v>
      </c>
      <c r="C221" t="s">
        <v>213</v>
      </c>
      <c r="D221" t="s">
        <v>61</v>
      </c>
      <c r="E221" t="s">
        <v>25</v>
      </c>
      <c r="F221" t="s">
        <v>62</v>
      </c>
      <c r="G221">
        <v>25</v>
      </c>
      <c r="H221">
        <v>0</v>
      </c>
      <c r="I221">
        <v>0</v>
      </c>
      <c r="J221">
        <v>0</v>
      </c>
      <c r="K221">
        <v>0</v>
      </c>
      <c r="L221">
        <v>0.22250500000000001</v>
      </c>
      <c r="M221" t="s">
        <v>27</v>
      </c>
      <c r="N221" t="s">
        <v>63</v>
      </c>
      <c r="O221" t="s">
        <v>64</v>
      </c>
      <c r="P221" t="s">
        <v>65</v>
      </c>
      <c r="Q221" t="s">
        <v>66</v>
      </c>
      <c r="R221" s="22">
        <f t="shared" si="15"/>
        <v>46288.824002054338</v>
      </c>
      <c r="S221" s="22">
        <f t="shared" si="16"/>
        <v>46288.824004629627</v>
      </c>
      <c r="T221" s="23">
        <f t="shared" si="17"/>
        <v>0.22250495385378599</v>
      </c>
      <c r="U221" s="23">
        <f t="shared" si="18"/>
        <v>0.22250495385378599</v>
      </c>
      <c r="V221" s="23">
        <f t="shared" si="19"/>
        <v>0.22250495385378599</v>
      </c>
    </row>
    <row r="222" spans="1:22" x14ac:dyDescent="0.35">
      <c r="A222" t="s">
        <v>189</v>
      </c>
      <c r="B222">
        <v>52</v>
      </c>
      <c r="C222" t="s">
        <v>214</v>
      </c>
      <c r="D222" t="s">
        <v>82</v>
      </c>
      <c r="E222" t="s">
        <v>25</v>
      </c>
      <c r="F222" t="s">
        <v>62</v>
      </c>
      <c r="G222">
        <v>200</v>
      </c>
      <c r="H222">
        <v>0</v>
      </c>
      <c r="I222">
        <v>0</v>
      </c>
      <c r="J222">
        <v>0</v>
      </c>
      <c r="K222">
        <v>3.9999999999999998E-6</v>
      </c>
      <c r="L222">
        <v>0.36757899999999999</v>
      </c>
      <c r="M222" t="s">
        <v>27</v>
      </c>
      <c r="N222" t="s">
        <v>63</v>
      </c>
      <c r="O222" t="s">
        <v>113</v>
      </c>
      <c r="P222" t="s">
        <v>114</v>
      </c>
      <c r="Q222" t="s">
        <v>115</v>
      </c>
      <c r="R222" s="22">
        <f t="shared" si="15"/>
        <v>46288.82401194932</v>
      </c>
      <c r="S222" s="22">
        <f t="shared" si="16"/>
        <v>46288.824016203704</v>
      </c>
      <c r="T222" s="23">
        <f t="shared" si="17"/>
        <v>0</v>
      </c>
      <c r="U222" s="23">
        <f t="shared" si="18"/>
        <v>0</v>
      </c>
      <c r="V222" s="23">
        <f t="shared" si="19"/>
        <v>0</v>
      </c>
    </row>
    <row r="223" spans="1:22" x14ac:dyDescent="0.35">
      <c r="A223" t="s">
        <v>189</v>
      </c>
      <c r="B223">
        <v>53</v>
      </c>
      <c r="C223" t="s">
        <v>214</v>
      </c>
      <c r="D223" t="s">
        <v>82</v>
      </c>
      <c r="E223" t="s">
        <v>25</v>
      </c>
      <c r="F223" t="s">
        <v>62</v>
      </c>
      <c r="G223">
        <v>206</v>
      </c>
      <c r="H223">
        <v>0</v>
      </c>
      <c r="I223">
        <v>0</v>
      </c>
      <c r="J223">
        <v>0</v>
      </c>
      <c r="K223">
        <v>3.9999999999999998E-6</v>
      </c>
      <c r="L223">
        <v>0.39378400000000002</v>
      </c>
      <c r="M223" t="s">
        <v>27</v>
      </c>
      <c r="N223" t="s">
        <v>63</v>
      </c>
      <c r="O223" t="s">
        <v>113</v>
      </c>
      <c r="P223" t="s">
        <v>114</v>
      </c>
      <c r="Q223" t="s">
        <v>115</v>
      </c>
      <c r="R223" s="22">
        <f t="shared" si="15"/>
        <v>46288.824011646022</v>
      </c>
      <c r="S223" s="22">
        <f t="shared" si="16"/>
        <v>46288.824016203704</v>
      </c>
      <c r="T223" s="23">
        <f t="shared" si="17"/>
        <v>0</v>
      </c>
      <c r="U223" s="23">
        <f t="shared" si="18"/>
        <v>0</v>
      </c>
      <c r="V223" s="23">
        <f t="shared" si="19"/>
        <v>0</v>
      </c>
    </row>
    <row r="224" spans="1:22" x14ac:dyDescent="0.35">
      <c r="A224" t="s">
        <v>189</v>
      </c>
      <c r="B224">
        <v>54</v>
      </c>
      <c r="C224" t="s">
        <v>214</v>
      </c>
      <c r="D224" t="s">
        <v>82</v>
      </c>
      <c r="E224" t="s">
        <v>25</v>
      </c>
      <c r="F224" t="s">
        <v>62</v>
      </c>
      <c r="G224">
        <v>200</v>
      </c>
      <c r="H224">
        <v>0</v>
      </c>
      <c r="I224">
        <v>0</v>
      </c>
      <c r="J224">
        <v>0</v>
      </c>
      <c r="K224">
        <v>3.9999999999999998E-6</v>
      </c>
      <c r="L224">
        <v>0.42369699999999999</v>
      </c>
      <c r="M224" t="s">
        <v>27</v>
      </c>
      <c r="N224" t="s">
        <v>63</v>
      </c>
      <c r="O224" t="s">
        <v>113</v>
      </c>
      <c r="P224" t="s">
        <v>114</v>
      </c>
      <c r="Q224" t="s">
        <v>115</v>
      </c>
      <c r="R224" s="22">
        <f t="shared" si="15"/>
        <v>46288.824011299803</v>
      </c>
      <c r="S224" s="22">
        <f t="shared" si="16"/>
        <v>46288.824016203704</v>
      </c>
      <c r="T224" s="23">
        <f t="shared" si="17"/>
        <v>0.4236970329657197</v>
      </c>
      <c r="U224" s="23">
        <f t="shared" si="18"/>
        <v>0.4236970329657197</v>
      </c>
      <c r="V224" s="23">
        <f t="shared" si="19"/>
        <v>0.4236970329657197</v>
      </c>
    </row>
    <row r="225" spans="1:22" x14ac:dyDescent="0.35">
      <c r="A225" t="s">
        <v>189</v>
      </c>
      <c r="B225">
        <v>55</v>
      </c>
      <c r="C225" t="s">
        <v>215</v>
      </c>
      <c r="D225" t="s">
        <v>82</v>
      </c>
      <c r="E225" t="s">
        <v>25</v>
      </c>
      <c r="F225" t="s">
        <v>26</v>
      </c>
      <c r="G225">
        <v>8595</v>
      </c>
      <c r="H225">
        <v>6016</v>
      </c>
      <c r="I225">
        <v>599</v>
      </c>
      <c r="J225">
        <v>0</v>
      </c>
      <c r="K225">
        <v>1.9956999999999999E-2</v>
      </c>
      <c r="L225">
        <v>5.7164979999999996</v>
      </c>
      <c r="M225" t="s">
        <v>27</v>
      </c>
      <c r="N225" t="s">
        <v>28</v>
      </c>
      <c r="O225" t="s">
        <v>113</v>
      </c>
      <c r="P225" t="s">
        <v>114</v>
      </c>
      <c r="Q225" t="s">
        <v>115</v>
      </c>
      <c r="R225" s="22">
        <f t="shared" si="15"/>
        <v>46288.824019484979</v>
      </c>
      <c r="S225" s="22">
        <f t="shared" si="16"/>
        <v>46288.82408564815</v>
      </c>
      <c r="T225" s="23">
        <f t="shared" si="17"/>
        <v>0</v>
      </c>
      <c r="U225" s="23">
        <f t="shared" si="18"/>
        <v>0</v>
      </c>
      <c r="V225" s="23">
        <f t="shared" si="19"/>
        <v>0</v>
      </c>
    </row>
    <row r="226" spans="1:22" x14ac:dyDescent="0.35">
      <c r="A226" t="s">
        <v>189</v>
      </c>
      <c r="B226">
        <v>56</v>
      </c>
      <c r="C226" t="s">
        <v>215</v>
      </c>
      <c r="D226" t="s">
        <v>82</v>
      </c>
      <c r="E226" t="s">
        <v>25</v>
      </c>
      <c r="F226" t="s">
        <v>26</v>
      </c>
      <c r="G226">
        <v>9549</v>
      </c>
      <c r="H226">
        <v>1920</v>
      </c>
      <c r="I226">
        <v>397</v>
      </c>
      <c r="J226">
        <v>0</v>
      </c>
      <c r="K226">
        <v>2.5441999999999999E-2</v>
      </c>
      <c r="L226">
        <v>6.364344</v>
      </c>
      <c r="M226" t="s">
        <v>27</v>
      </c>
      <c r="N226" t="s">
        <v>28</v>
      </c>
      <c r="O226" t="s">
        <v>113</v>
      </c>
      <c r="P226" t="s">
        <v>114</v>
      </c>
      <c r="Q226" t="s">
        <v>115</v>
      </c>
      <c r="R226" s="22">
        <f t="shared" si="15"/>
        <v>46288.824011986762</v>
      </c>
      <c r="S226" s="22">
        <f t="shared" si="16"/>
        <v>46288.82408564815</v>
      </c>
      <c r="T226" s="23">
        <f t="shared" si="17"/>
        <v>6.3643438741564751</v>
      </c>
      <c r="U226" s="23">
        <f t="shared" si="18"/>
        <v>6.3643438741564751</v>
      </c>
      <c r="V226" s="23">
        <f t="shared" si="19"/>
        <v>6.0000001452863216</v>
      </c>
    </row>
    <row r="227" spans="1:22" x14ac:dyDescent="0.35">
      <c r="A227" t="s">
        <v>189</v>
      </c>
      <c r="B227">
        <v>57</v>
      </c>
      <c r="C227" t="s">
        <v>216</v>
      </c>
      <c r="D227" t="s">
        <v>82</v>
      </c>
      <c r="E227" t="s">
        <v>25</v>
      </c>
      <c r="F227" t="s">
        <v>26</v>
      </c>
      <c r="G227">
        <v>10023</v>
      </c>
      <c r="H227">
        <v>4992</v>
      </c>
      <c r="I227">
        <v>588</v>
      </c>
      <c r="J227">
        <v>0</v>
      </c>
      <c r="K227">
        <v>2.4698000000000001E-2</v>
      </c>
      <c r="L227">
        <v>6.7626369999999998</v>
      </c>
      <c r="M227" t="s">
        <v>27</v>
      </c>
      <c r="N227" t="s">
        <v>28</v>
      </c>
      <c r="O227" t="s">
        <v>113</v>
      </c>
      <c r="P227" t="s">
        <v>114</v>
      </c>
      <c r="Q227" t="s">
        <v>115</v>
      </c>
      <c r="R227" s="22">
        <f t="shared" si="15"/>
        <v>46288.82401895096</v>
      </c>
      <c r="S227" s="22">
        <f t="shared" si="16"/>
        <v>46288.824097222219</v>
      </c>
      <c r="T227" s="23">
        <f t="shared" si="17"/>
        <v>0.99999960511922836</v>
      </c>
      <c r="U227" s="23">
        <f t="shared" si="18"/>
        <v>0.99999960511922836</v>
      </c>
      <c r="V227" s="23">
        <f t="shared" si="19"/>
        <v>0.99999960511922836</v>
      </c>
    </row>
    <row r="228" spans="1:22" x14ac:dyDescent="0.35">
      <c r="A228" t="s">
        <v>189</v>
      </c>
      <c r="B228">
        <v>58</v>
      </c>
      <c r="C228" t="s">
        <v>217</v>
      </c>
      <c r="D228" t="s">
        <v>121</v>
      </c>
      <c r="E228" t="s">
        <v>25</v>
      </c>
      <c r="F228" t="s">
        <v>26</v>
      </c>
      <c r="G228">
        <v>7617</v>
      </c>
      <c r="H228">
        <v>0</v>
      </c>
      <c r="I228">
        <v>562</v>
      </c>
      <c r="J228">
        <v>0</v>
      </c>
      <c r="K228">
        <v>2.4663000000000001E-2</v>
      </c>
      <c r="L228">
        <v>7.9115190000000002</v>
      </c>
      <c r="M228" t="s">
        <v>27</v>
      </c>
      <c r="N228" t="s">
        <v>28</v>
      </c>
      <c r="O228" t="s">
        <v>122</v>
      </c>
      <c r="P228" t="s">
        <v>123</v>
      </c>
      <c r="Q228" t="s">
        <v>124</v>
      </c>
      <c r="R228" s="22">
        <f t="shared" si="15"/>
        <v>46288.824098246303</v>
      </c>
      <c r="S228" s="22">
        <f t="shared" si="16"/>
        <v>46288.824189814812</v>
      </c>
      <c r="T228" s="23">
        <f t="shared" si="17"/>
        <v>7.9115191474556923</v>
      </c>
      <c r="U228" s="23">
        <f t="shared" si="18"/>
        <v>7.9115191474556923</v>
      </c>
      <c r="V228" s="23">
        <f t="shared" si="19"/>
        <v>7.9115191474556923</v>
      </c>
    </row>
    <row r="229" spans="1:22" x14ac:dyDescent="0.35">
      <c r="A229" t="s">
        <v>189</v>
      </c>
      <c r="B229">
        <v>59</v>
      </c>
      <c r="C229" t="s">
        <v>218</v>
      </c>
      <c r="D229" t="s">
        <v>121</v>
      </c>
      <c r="E229" t="s">
        <v>25</v>
      </c>
      <c r="F229" t="s">
        <v>26</v>
      </c>
      <c r="G229">
        <v>7802</v>
      </c>
      <c r="H229">
        <v>0</v>
      </c>
      <c r="I229">
        <v>711</v>
      </c>
      <c r="J229">
        <v>0</v>
      </c>
      <c r="K229">
        <v>2.6615E-2</v>
      </c>
      <c r="L229">
        <v>9.8046830000000007</v>
      </c>
      <c r="M229" t="s">
        <v>27</v>
      </c>
      <c r="N229" t="s">
        <v>28</v>
      </c>
      <c r="O229" t="s">
        <v>122</v>
      </c>
      <c r="P229" t="s">
        <v>123</v>
      </c>
      <c r="Q229" t="s">
        <v>124</v>
      </c>
      <c r="R229" s="22">
        <f t="shared" si="15"/>
        <v>46288.824099482837</v>
      </c>
      <c r="S229" s="22">
        <f t="shared" si="16"/>
        <v>46288.824212962965</v>
      </c>
      <c r="T229" s="23">
        <f t="shared" si="17"/>
        <v>2.0000004675239325</v>
      </c>
      <c r="U229" s="23">
        <f t="shared" si="18"/>
        <v>2.0000004675239325</v>
      </c>
      <c r="V229" s="23">
        <f t="shared" si="19"/>
        <v>2.0000004675239325</v>
      </c>
    </row>
    <row r="230" spans="1:22" x14ac:dyDescent="0.35">
      <c r="A230" t="s">
        <v>189</v>
      </c>
      <c r="B230">
        <v>60</v>
      </c>
      <c r="C230" t="s">
        <v>219</v>
      </c>
      <c r="D230" t="s">
        <v>121</v>
      </c>
      <c r="E230" t="s">
        <v>25</v>
      </c>
      <c r="F230" t="s">
        <v>26</v>
      </c>
      <c r="G230">
        <v>10277</v>
      </c>
      <c r="H230">
        <v>0</v>
      </c>
      <c r="I230">
        <v>1177</v>
      </c>
      <c r="J230">
        <v>0</v>
      </c>
      <c r="K230">
        <v>3.7463000000000003E-2</v>
      </c>
      <c r="L230">
        <v>12.553079</v>
      </c>
      <c r="M230" t="s">
        <v>27</v>
      </c>
      <c r="N230" t="s">
        <v>28</v>
      </c>
      <c r="O230" t="s">
        <v>122</v>
      </c>
      <c r="P230" t="s">
        <v>123</v>
      </c>
      <c r="Q230" t="s">
        <v>124</v>
      </c>
      <c r="R230" s="22">
        <f t="shared" si="15"/>
        <v>46288.824206561585</v>
      </c>
      <c r="S230" s="22">
        <f t="shared" si="16"/>
        <v>46288.82435185185</v>
      </c>
      <c r="T230" s="23">
        <f t="shared" si="17"/>
        <v>11.999999661929905</v>
      </c>
      <c r="U230" s="23">
        <f t="shared" si="18"/>
        <v>11.999999661929905</v>
      </c>
      <c r="V230" s="23">
        <f t="shared" si="19"/>
        <v>11.999999661929905</v>
      </c>
    </row>
    <row r="231" spans="1:22" x14ac:dyDescent="0.35">
      <c r="A231" t="s">
        <v>189</v>
      </c>
      <c r="B231">
        <v>61</v>
      </c>
      <c r="C231" t="s">
        <v>220</v>
      </c>
      <c r="D231" t="s">
        <v>121</v>
      </c>
      <c r="E231" t="s">
        <v>25</v>
      </c>
      <c r="F231" t="s">
        <v>26</v>
      </c>
      <c r="G231">
        <v>8698</v>
      </c>
      <c r="H231">
        <v>0</v>
      </c>
      <c r="I231">
        <v>1350</v>
      </c>
      <c r="J231">
        <v>0</v>
      </c>
      <c r="K231">
        <v>3.5244999999999999E-2</v>
      </c>
      <c r="L231">
        <v>13.968895</v>
      </c>
      <c r="M231" t="s">
        <v>27</v>
      </c>
      <c r="N231" t="s">
        <v>28</v>
      </c>
      <c r="O231" t="s">
        <v>122</v>
      </c>
      <c r="P231" t="s">
        <v>123</v>
      </c>
      <c r="Q231" t="s">
        <v>124</v>
      </c>
      <c r="R231" s="22">
        <f t="shared" si="15"/>
        <v>46288.824213322972</v>
      </c>
      <c r="S231" s="22">
        <f t="shared" si="16"/>
        <v>46288.824374999997</v>
      </c>
      <c r="T231" s="23">
        <f t="shared" si="17"/>
        <v>0</v>
      </c>
      <c r="U231" s="23">
        <f t="shared" si="18"/>
        <v>0</v>
      </c>
      <c r="V231" s="23">
        <f t="shared" si="19"/>
        <v>0</v>
      </c>
    </row>
    <row r="232" spans="1:22" x14ac:dyDescent="0.35">
      <c r="A232" t="s">
        <v>189</v>
      </c>
      <c r="B232">
        <v>62</v>
      </c>
      <c r="C232" t="s">
        <v>220</v>
      </c>
      <c r="D232" t="s">
        <v>121</v>
      </c>
      <c r="E232" t="s">
        <v>25</v>
      </c>
      <c r="F232" t="s">
        <v>26</v>
      </c>
      <c r="G232">
        <v>10639</v>
      </c>
      <c r="H232">
        <v>0</v>
      </c>
      <c r="I232">
        <v>1352</v>
      </c>
      <c r="J232">
        <v>0</v>
      </c>
      <c r="K232">
        <v>4.0118000000000001E-2</v>
      </c>
      <c r="L232">
        <v>13.969673</v>
      </c>
      <c r="M232" t="s">
        <v>27</v>
      </c>
      <c r="N232" t="s">
        <v>28</v>
      </c>
      <c r="O232" t="s">
        <v>122</v>
      </c>
      <c r="P232" t="s">
        <v>123</v>
      </c>
      <c r="Q232" t="s">
        <v>124</v>
      </c>
      <c r="R232" s="22">
        <f t="shared" si="15"/>
        <v>46288.824213313965</v>
      </c>
      <c r="S232" s="22">
        <f t="shared" si="16"/>
        <v>46288.824374999997</v>
      </c>
      <c r="T232" s="23">
        <f t="shared" si="17"/>
        <v>0</v>
      </c>
      <c r="U232" s="23">
        <f t="shared" si="18"/>
        <v>0</v>
      </c>
      <c r="V232" s="23">
        <f t="shared" si="19"/>
        <v>0</v>
      </c>
    </row>
    <row r="233" spans="1:22" x14ac:dyDescent="0.35">
      <c r="A233" t="s">
        <v>189</v>
      </c>
      <c r="B233">
        <v>63</v>
      </c>
      <c r="C233" t="s">
        <v>221</v>
      </c>
      <c r="D233" t="s">
        <v>121</v>
      </c>
      <c r="E233" t="s">
        <v>25</v>
      </c>
      <c r="F233" t="s">
        <v>26</v>
      </c>
      <c r="G233">
        <v>11261</v>
      </c>
      <c r="H233">
        <v>0</v>
      </c>
      <c r="I233">
        <v>1815</v>
      </c>
      <c r="J233">
        <v>0</v>
      </c>
      <c r="K233">
        <v>4.6302999999999997E-2</v>
      </c>
      <c r="L233">
        <v>16.245135000000001</v>
      </c>
      <c r="M233" t="s">
        <v>27</v>
      </c>
      <c r="N233" t="s">
        <v>28</v>
      </c>
      <c r="O233" t="s">
        <v>122</v>
      </c>
      <c r="P233" t="s">
        <v>123</v>
      </c>
      <c r="Q233" t="s">
        <v>124</v>
      </c>
      <c r="R233" s="22">
        <f t="shared" si="15"/>
        <v>46288.824210125757</v>
      </c>
      <c r="S233" s="22">
        <f t="shared" si="16"/>
        <v>46288.82439814815</v>
      </c>
      <c r="T233" s="23">
        <f t="shared" si="17"/>
        <v>4.000000306405127</v>
      </c>
      <c r="U233" s="23">
        <f t="shared" si="18"/>
        <v>4.000000306405127</v>
      </c>
      <c r="V233" s="23">
        <f t="shared" si="19"/>
        <v>4.000000306405127</v>
      </c>
    </row>
    <row r="234" spans="1:22" x14ac:dyDescent="0.35">
      <c r="A234" t="s">
        <v>189</v>
      </c>
      <c r="B234">
        <v>64</v>
      </c>
      <c r="C234" t="s">
        <v>222</v>
      </c>
      <c r="D234" t="s">
        <v>121</v>
      </c>
      <c r="E234" t="s">
        <v>25</v>
      </c>
      <c r="F234" t="s">
        <v>26</v>
      </c>
      <c r="G234">
        <v>13152</v>
      </c>
      <c r="H234">
        <v>12928</v>
      </c>
      <c r="I234">
        <v>1788</v>
      </c>
      <c r="J234">
        <v>0</v>
      </c>
      <c r="K234">
        <v>3.4599999999999999E-2</v>
      </c>
      <c r="L234">
        <v>18.708113999999998</v>
      </c>
      <c r="M234" t="s">
        <v>27</v>
      </c>
      <c r="N234" t="s">
        <v>28</v>
      </c>
      <c r="O234" t="s">
        <v>122</v>
      </c>
      <c r="P234" t="s">
        <v>123</v>
      </c>
      <c r="Q234" t="s">
        <v>124</v>
      </c>
      <c r="R234" s="22">
        <f t="shared" si="15"/>
        <v>46288.824401526457</v>
      </c>
      <c r="S234" s="22">
        <f t="shared" si="16"/>
        <v>46288.824618055558</v>
      </c>
      <c r="T234" s="23">
        <f t="shared" si="17"/>
        <v>18.708114302717149</v>
      </c>
      <c r="U234" s="23">
        <f t="shared" si="18"/>
        <v>18.708114302717149</v>
      </c>
      <c r="V234" s="23">
        <f t="shared" si="19"/>
        <v>18.708114302717149</v>
      </c>
    </row>
    <row r="235" spans="1:22" x14ac:dyDescent="0.35">
      <c r="A235" t="s">
        <v>189</v>
      </c>
      <c r="B235">
        <v>65</v>
      </c>
      <c r="C235" t="s">
        <v>223</v>
      </c>
      <c r="D235" t="s">
        <v>133</v>
      </c>
      <c r="E235" t="s">
        <v>25</v>
      </c>
      <c r="F235" t="s">
        <v>26</v>
      </c>
      <c r="G235">
        <v>2257</v>
      </c>
      <c r="H235">
        <v>0</v>
      </c>
      <c r="I235">
        <v>297</v>
      </c>
      <c r="J235">
        <v>0</v>
      </c>
      <c r="K235">
        <v>8.6130000000000009E-3</v>
      </c>
      <c r="L235">
        <v>3.0038749999999999</v>
      </c>
      <c r="M235" t="s">
        <v>27</v>
      </c>
      <c r="N235" t="s">
        <v>28</v>
      </c>
      <c r="O235" t="s">
        <v>122</v>
      </c>
      <c r="P235" t="s">
        <v>123</v>
      </c>
      <c r="Q235" t="s">
        <v>134</v>
      </c>
      <c r="R235" s="22">
        <f t="shared" si="15"/>
        <v>46288.824618010709</v>
      </c>
      <c r="S235" s="22">
        <f t="shared" si="16"/>
        <v>46288.824652777781</v>
      </c>
      <c r="T235" s="23">
        <f t="shared" si="17"/>
        <v>3.0038750264793634</v>
      </c>
      <c r="U235" s="23">
        <f t="shared" si="18"/>
        <v>3.0000000726431608</v>
      </c>
      <c r="V235" s="23">
        <f t="shared" si="19"/>
        <v>3.0000000726431608</v>
      </c>
    </row>
    <row r="236" spans="1:22" x14ac:dyDescent="0.35">
      <c r="A236" t="s">
        <v>224</v>
      </c>
      <c r="B236">
        <v>1</v>
      </c>
      <c r="C236" t="s">
        <v>225</v>
      </c>
      <c r="D236" t="s">
        <v>24</v>
      </c>
      <c r="E236" t="s">
        <v>25</v>
      </c>
      <c r="F236" t="s">
        <v>26</v>
      </c>
      <c r="G236">
        <v>1174</v>
      </c>
      <c r="H236">
        <v>1024</v>
      </c>
      <c r="I236">
        <v>54</v>
      </c>
      <c r="J236">
        <v>0</v>
      </c>
      <c r="K236">
        <v>2.1949999999999999E-3</v>
      </c>
      <c r="L236">
        <v>1.653699</v>
      </c>
      <c r="M236" t="s">
        <v>27</v>
      </c>
      <c r="N236" t="s">
        <v>28</v>
      </c>
      <c r="O236" t="s">
        <v>29</v>
      </c>
      <c r="P236" t="s">
        <v>30</v>
      </c>
      <c r="Q236" t="s">
        <v>31</v>
      </c>
      <c r="R236" s="22">
        <f t="shared" si="15"/>
        <v>46288.82510817478</v>
      </c>
      <c r="S236" s="22">
        <f t="shared" si="16"/>
        <v>46288.825127314813</v>
      </c>
      <c r="T236" s="23">
        <f t="shared" si="17"/>
        <v>1.6536987852305174</v>
      </c>
      <c r="U236" s="23">
        <f t="shared" si="18"/>
        <v>1.6536987852305174</v>
      </c>
      <c r="V236" s="23">
        <f t="shared" si="19"/>
        <v>1.6536987852305174</v>
      </c>
    </row>
    <row r="237" spans="1:22" x14ac:dyDescent="0.35">
      <c r="A237" t="s">
        <v>224</v>
      </c>
      <c r="B237">
        <v>2</v>
      </c>
      <c r="C237" t="s">
        <v>226</v>
      </c>
      <c r="D237" t="s">
        <v>33</v>
      </c>
      <c r="E237" t="s">
        <v>25</v>
      </c>
      <c r="F237" t="s">
        <v>34</v>
      </c>
      <c r="G237">
        <v>425</v>
      </c>
      <c r="H237">
        <v>0</v>
      </c>
      <c r="I237">
        <v>92</v>
      </c>
      <c r="J237">
        <v>0</v>
      </c>
      <c r="K237">
        <v>1.1900000000000001E-4</v>
      </c>
      <c r="L237">
        <v>2.022494</v>
      </c>
      <c r="M237" t="s">
        <v>27</v>
      </c>
      <c r="N237" t="s">
        <v>28</v>
      </c>
      <c r="O237" t="s">
        <v>35</v>
      </c>
      <c r="P237" t="s">
        <v>36</v>
      </c>
      <c r="Q237" t="s">
        <v>37</v>
      </c>
      <c r="R237" s="22">
        <f t="shared" si="15"/>
        <v>46288.825127054472</v>
      </c>
      <c r="S237" s="22">
        <f t="shared" si="16"/>
        <v>46288.825150462966</v>
      </c>
      <c r="T237" s="23">
        <f t="shared" si="17"/>
        <v>2.0224939333274961</v>
      </c>
      <c r="U237" s="23">
        <f t="shared" si="18"/>
        <v>2.0224939333274961</v>
      </c>
      <c r="V237" s="23">
        <f t="shared" si="19"/>
        <v>2.0000004675239325</v>
      </c>
    </row>
    <row r="238" spans="1:22" x14ac:dyDescent="0.35">
      <c r="A238" t="s">
        <v>224</v>
      </c>
      <c r="B238">
        <v>3</v>
      </c>
      <c r="C238" t="s">
        <v>227</v>
      </c>
      <c r="D238" t="s">
        <v>39</v>
      </c>
      <c r="E238" t="s">
        <v>40</v>
      </c>
      <c r="F238" t="s">
        <v>41</v>
      </c>
      <c r="G238">
        <v>679</v>
      </c>
      <c r="H238">
        <v>0</v>
      </c>
      <c r="I238">
        <v>1860</v>
      </c>
      <c r="J238">
        <v>5.0000000000000001E-3</v>
      </c>
      <c r="K238">
        <v>7.5399999999999998E-3</v>
      </c>
      <c r="L238">
        <v>24.265657000000001</v>
      </c>
      <c r="M238" t="s">
        <v>27</v>
      </c>
      <c r="N238" t="s">
        <v>42</v>
      </c>
      <c r="O238" t="s">
        <v>43</v>
      </c>
      <c r="P238" t="s">
        <v>44</v>
      </c>
      <c r="Q238" t="s">
        <v>45</v>
      </c>
      <c r="R238" s="22">
        <f t="shared" si="15"/>
        <v>46288.825158962303</v>
      </c>
      <c r="S238" s="22">
        <f t="shared" si="16"/>
        <v>46288.825439814813</v>
      </c>
      <c r="T238" s="23">
        <f t="shared" si="17"/>
        <v>24.265656829811633</v>
      </c>
      <c r="U238" s="23">
        <f t="shared" si="18"/>
        <v>24.265656829811633</v>
      </c>
      <c r="V238" s="23">
        <f t="shared" si="19"/>
        <v>24.265656829811633</v>
      </c>
    </row>
    <row r="239" spans="1:22" x14ac:dyDescent="0.35">
      <c r="A239" t="s">
        <v>224</v>
      </c>
      <c r="B239">
        <v>4</v>
      </c>
      <c r="C239" t="s">
        <v>228</v>
      </c>
      <c r="D239" t="s">
        <v>39</v>
      </c>
      <c r="E239" t="s">
        <v>47</v>
      </c>
      <c r="F239" t="s">
        <v>47</v>
      </c>
      <c r="G239">
        <v>0</v>
      </c>
      <c r="H239">
        <v>0</v>
      </c>
      <c r="I239">
        <v>0</v>
      </c>
      <c r="J239">
        <v>1E-3</v>
      </c>
      <c r="K239">
        <v>1E-3</v>
      </c>
      <c r="L239">
        <v>1.2174700000000001</v>
      </c>
      <c r="M239" t="s">
        <v>27</v>
      </c>
      <c r="N239" t="s">
        <v>48</v>
      </c>
      <c r="O239" t="s">
        <v>49</v>
      </c>
      <c r="P239" t="s">
        <v>50</v>
      </c>
      <c r="Q239" t="s">
        <v>51</v>
      </c>
      <c r="R239" s="22">
        <f t="shared" si="15"/>
        <v>46288.825437297804</v>
      </c>
      <c r="S239" s="22">
        <f t="shared" si="16"/>
        <v>46288.82545138889</v>
      </c>
      <c r="T239" s="23">
        <f t="shared" si="17"/>
        <v>1.21746975928545</v>
      </c>
      <c r="U239" s="23">
        <f t="shared" si="18"/>
        <v>1.21746975928545</v>
      </c>
      <c r="V239" s="23">
        <f t="shared" si="19"/>
        <v>1.0000002337619662</v>
      </c>
    </row>
    <row r="240" spans="1:22" x14ac:dyDescent="0.35">
      <c r="A240" t="s">
        <v>224</v>
      </c>
      <c r="B240">
        <v>5</v>
      </c>
      <c r="C240" t="s">
        <v>229</v>
      </c>
      <c r="D240" t="s">
        <v>55</v>
      </c>
      <c r="E240" t="s">
        <v>25</v>
      </c>
      <c r="F240" t="s">
        <v>26</v>
      </c>
      <c r="G240">
        <v>11012</v>
      </c>
      <c r="H240">
        <v>0</v>
      </c>
      <c r="I240">
        <v>1403</v>
      </c>
      <c r="J240">
        <v>0</v>
      </c>
      <c r="K240">
        <v>4.156E-2</v>
      </c>
      <c r="L240">
        <v>17.432186999999999</v>
      </c>
      <c r="M240" t="s">
        <v>27</v>
      </c>
      <c r="N240" t="s">
        <v>28</v>
      </c>
      <c r="O240" t="s">
        <v>56</v>
      </c>
      <c r="P240" t="s">
        <v>57</v>
      </c>
      <c r="Q240" t="s">
        <v>58</v>
      </c>
      <c r="R240" s="22">
        <f t="shared" si="15"/>
        <v>46288.825446386727</v>
      </c>
      <c r="S240" s="22">
        <f t="shared" si="16"/>
        <v>46288.825648148151</v>
      </c>
      <c r="T240" s="23">
        <f t="shared" si="17"/>
        <v>17.432187055237591</v>
      </c>
      <c r="U240" s="23">
        <f t="shared" si="18"/>
        <v>17.432187055237591</v>
      </c>
      <c r="V240" s="23">
        <f t="shared" si="19"/>
        <v>17.000000202096999</v>
      </c>
    </row>
    <row r="241" spans="1:22" x14ac:dyDescent="0.35">
      <c r="A241" t="s">
        <v>224</v>
      </c>
      <c r="B241">
        <v>6</v>
      </c>
      <c r="C241" t="s">
        <v>230</v>
      </c>
      <c r="D241" t="s">
        <v>61</v>
      </c>
      <c r="E241" t="s">
        <v>25</v>
      </c>
      <c r="F241" t="s">
        <v>62</v>
      </c>
      <c r="G241">
        <v>5</v>
      </c>
      <c r="H241">
        <v>0</v>
      </c>
      <c r="I241">
        <v>0</v>
      </c>
      <c r="J241">
        <v>0</v>
      </c>
      <c r="K241">
        <v>0</v>
      </c>
      <c r="L241">
        <v>0.72835700000000003</v>
      </c>
      <c r="M241" t="s">
        <v>27</v>
      </c>
      <c r="N241" t="s">
        <v>63</v>
      </c>
      <c r="O241" t="s">
        <v>64</v>
      </c>
      <c r="P241" t="s">
        <v>65</v>
      </c>
      <c r="Q241" t="s">
        <v>66</v>
      </c>
      <c r="R241" s="22">
        <f t="shared" si="15"/>
        <v>46288.825651292165</v>
      </c>
      <c r="S241" s="22">
        <f t="shared" si="16"/>
        <v>46288.825659722221</v>
      </c>
      <c r="T241" s="23">
        <f t="shared" si="17"/>
        <v>0.72835679166018963</v>
      </c>
      <c r="U241" s="23">
        <f t="shared" si="18"/>
        <v>0.72835679166018963</v>
      </c>
      <c r="V241" s="23">
        <f t="shared" si="19"/>
        <v>0.72835679166018963</v>
      </c>
    </row>
    <row r="242" spans="1:22" x14ac:dyDescent="0.35">
      <c r="A242" t="s">
        <v>224</v>
      </c>
      <c r="B242">
        <v>7</v>
      </c>
      <c r="C242" t="s">
        <v>230</v>
      </c>
      <c r="D242" t="s">
        <v>61</v>
      </c>
      <c r="E242" t="s">
        <v>25</v>
      </c>
      <c r="F242" t="s">
        <v>62</v>
      </c>
      <c r="G242">
        <v>7</v>
      </c>
      <c r="H242">
        <v>0</v>
      </c>
      <c r="I242">
        <v>0</v>
      </c>
      <c r="J242">
        <v>0</v>
      </c>
      <c r="K242">
        <v>0</v>
      </c>
      <c r="L242">
        <v>0.42694300000000002</v>
      </c>
      <c r="M242" t="s">
        <v>27</v>
      </c>
      <c r="N242" t="s">
        <v>63</v>
      </c>
      <c r="O242" t="s">
        <v>64</v>
      </c>
      <c r="P242" t="s">
        <v>65</v>
      </c>
      <c r="Q242" t="s">
        <v>66</v>
      </c>
      <c r="R242" s="22">
        <f t="shared" si="15"/>
        <v>46288.825654780754</v>
      </c>
      <c r="S242" s="22">
        <f t="shared" si="16"/>
        <v>46288.825659722221</v>
      </c>
      <c r="T242" s="23">
        <f t="shared" si="17"/>
        <v>0</v>
      </c>
      <c r="U242" s="23">
        <f t="shared" si="18"/>
        <v>0</v>
      </c>
      <c r="V242" s="23">
        <f t="shared" si="19"/>
        <v>0</v>
      </c>
    </row>
    <row r="243" spans="1:22" x14ac:dyDescent="0.35">
      <c r="A243" t="s">
        <v>224</v>
      </c>
      <c r="B243">
        <v>8</v>
      </c>
      <c r="C243" t="s">
        <v>231</v>
      </c>
      <c r="D243" t="s">
        <v>61</v>
      </c>
      <c r="E243" t="s">
        <v>25</v>
      </c>
      <c r="F243" t="s">
        <v>62</v>
      </c>
      <c r="G243">
        <v>5</v>
      </c>
      <c r="H243">
        <v>0</v>
      </c>
      <c r="I243">
        <v>0</v>
      </c>
      <c r="J243">
        <v>0</v>
      </c>
      <c r="K243">
        <v>0</v>
      </c>
      <c r="L243">
        <v>0.19452900000000001</v>
      </c>
      <c r="M243" t="s">
        <v>27</v>
      </c>
      <c r="N243" t="s">
        <v>63</v>
      </c>
      <c r="O243" t="s">
        <v>64</v>
      </c>
      <c r="P243" t="s">
        <v>65</v>
      </c>
      <c r="Q243" t="s">
        <v>66</v>
      </c>
      <c r="R243" s="22">
        <f t="shared" si="15"/>
        <v>46288.825669044803</v>
      </c>
      <c r="S243" s="22">
        <f t="shared" si="16"/>
        <v>46288.825671296298</v>
      </c>
      <c r="T243" s="23">
        <f t="shared" si="17"/>
        <v>0</v>
      </c>
      <c r="U243" s="23">
        <f t="shared" si="18"/>
        <v>0</v>
      </c>
      <c r="V243" s="23">
        <f t="shared" si="19"/>
        <v>0</v>
      </c>
    </row>
    <row r="244" spans="1:22" x14ac:dyDescent="0.35">
      <c r="A244" t="s">
        <v>224</v>
      </c>
      <c r="B244">
        <v>9</v>
      </c>
      <c r="C244" t="s">
        <v>231</v>
      </c>
      <c r="D244" t="s">
        <v>61</v>
      </c>
      <c r="E244" t="s">
        <v>25</v>
      </c>
      <c r="F244" t="s">
        <v>62</v>
      </c>
      <c r="G244">
        <v>8</v>
      </c>
      <c r="H244">
        <v>0</v>
      </c>
      <c r="I244">
        <v>0</v>
      </c>
      <c r="J244">
        <v>0</v>
      </c>
      <c r="K244">
        <v>0</v>
      </c>
      <c r="L244">
        <v>0.21216599999999999</v>
      </c>
      <c r="M244" t="s">
        <v>27</v>
      </c>
      <c r="N244" t="s">
        <v>63</v>
      </c>
      <c r="O244" t="s">
        <v>64</v>
      </c>
      <c r="P244" t="s">
        <v>65</v>
      </c>
      <c r="Q244" t="s">
        <v>66</v>
      </c>
      <c r="R244" s="22">
        <f t="shared" si="15"/>
        <v>46288.825668840669</v>
      </c>
      <c r="S244" s="22">
        <f t="shared" si="16"/>
        <v>46288.825671296298</v>
      </c>
      <c r="T244" s="23">
        <f t="shared" si="17"/>
        <v>0</v>
      </c>
      <c r="U244" s="23">
        <f t="shared" si="18"/>
        <v>0</v>
      </c>
      <c r="V244" s="23">
        <f t="shared" si="19"/>
        <v>0</v>
      </c>
    </row>
    <row r="245" spans="1:22" x14ac:dyDescent="0.35">
      <c r="A245" t="s">
        <v>224</v>
      </c>
      <c r="B245">
        <v>10</v>
      </c>
      <c r="C245" t="s">
        <v>231</v>
      </c>
      <c r="D245" t="s">
        <v>61</v>
      </c>
      <c r="E245" t="s">
        <v>25</v>
      </c>
      <c r="F245" t="s">
        <v>62</v>
      </c>
      <c r="G245">
        <v>3</v>
      </c>
      <c r="H245">
        <v>0</v>
      </c>
      <c r="I245">
        <v>0</v>
      </c>
      <c r="J245">
        <v>0</v>
      </c>
      <c r="K245">
        <v>0</v>
      </c>
      <c r="L245">
        <v>0.21867700000000001</v>
      </c>
      <c r="M245" t="s">
        <v>27</v>
      </c>
      <c r="N245" t="s">
        <v>63</v>
      </c>
      <c r="O245" t="s">
        <v>64</v>
      </c>
      <c r="P245" t="s">
        <v>65</v>
      </c>
      <c r="Q245" t="s">
        <v>66</v>
      </c>
      <c r="R245" s="22">
        <f t="shared" si="15"/>
        <v>46288.825668765312</v>
      </c>
      <c r="S245" s="22">
        <f t="shared" si="16"/>
        <v>46288.825671296298</v>
      </c>
      <c r="T245" s="23">
        <f t="shared" si="17"/>
        <v>0.21867714822292328</v>
      </c>
      <c r="U245" s="23">
        <f t="shared" si="18"/>
        <v>0.21867714822292328</v>
      </c>
      <c r="V245" s="23">
        <f t="shared" si="19"/>
        <v>0.21867714822292328</v>
      </c>
    </row>
    <row r="246" spans="1:22" x14ac:dyDescent="0.35">
      <c r="A246" t="s">
        <v>224</v>
      </c>
      <c r="B246">
        <v>11</v>
      </c>
      <c r="C246" t="s">
        <v>232</v>
      </c>
      <c r="D246" t="s">
        <v>61</v>
      </c>
      <c r="E246" t="s">
        <v>25</v>
      </c>
      <c r="F246" t="s">
        <v>62</v>
      </c>
      <c r="G246">
        <v>6</v>
      </c>
      <c r="H246">
        <v>0</v>
      </c>
      <c r="I246">
        <v>0</v>
      </c>
      <c r="J246">
        <v>0</v>
      </c>
      <c r="K246">
        <v>0</v>
      </c>
      <c r="L246">
        <v>0.204738</v>
      </c>
      <c r="M246" t="s">
        <v>27</v>
      </c>
      <c r="N246" t="s">
        <v>63</v>
      </c>
      <c r="O246" t="s">
        <v>64</v>
      </c>
      <c r="P246" t="s">
        <v>65</v>
      </c>
      <c r="Q246" t="s">
        <v>66</v>
      </c>
      <c r="R246" s="22">
        <f t="shared" si="15"/>
        <v>46288.825680500711</v>
      </c>
      <c r="S246" s="22">
        <f t="shared" si="16"/>
        <v>46288.825682870367</v>
      </c>
      <c r="T246" s="23">
        <f t="shared" si="17"/>
        <v>0</v>
      </c>
      <c r="U246" s="23">
        <f t="shared" si="18"/>
        <v>0</v>
      </c>
      <c r="V246" s="23">
        <f t="shared" si="19"/>
        <v>0</v>
      </c>
    </row>
    <row r="247" spans="1:22" x14ac:dyDescent="0.35">
      <c r="A247" t="s">
        <v>224</v>
      </c>
      <c r="B247">
        <v>12</v>
      </c>
      <c r="C247" t="s">
        <v>232</v>
      </c>
      <c r="D247" t="s">
        <v>61</v>
      </c>
      <c r="E247" t="s">
        <v>25</v>
      </c>
      <c r="F247" t="s">
        <v>62</v>
      </c>
      <c r="G247">
        <v>4</v>
      </c>
      <c r="H247">
        <v>0</v>
      </c>
      <c r="I247">
        <v>0</v>
      </c>
      <c r="J247">
        <v>0</v>
      </c>
      <c r="K247">
        <v>0</v>
      </c>
      <c r="L247">
        <v>0.20911299999999999</v>
      </c>
      <c r="M247" t="s">
        <v>27</v>
      </c>
      <c r="N247" t="s">
        <v>63</v>
      </c>
      <c r="O247" t="s">
        <v>64</v>
      </c>
      <c r="P247" t="s">
        <v>65</v>
      </c>
      <c r="Q247" t="s">
        <v>66</v>
      </c>
      <c r="R247" s="22">
        <f t="shared" si="15"/>
        <v>46288.825680450078</v>
      </c>
      <c r="S247" s="22">
        <f t="shared" si="16"/>
        <v>46288.825682870367</v>
      </c>
      <c r="T247" s="23">
        <f t="shared" si="17"/>
        <v>0.20911297760903835</v>
      </c>
      <c r="U247" s="23">
        <f t="shared" si="18"/>
        <v>0.20911297760903835</v>
      </c>
      <c r="V247" s="23">
        <f t="shared" si="19"/>
        <v>0.20911297760903835</v>
      </c>
    </row>
    <row r="248" spans="1:22" x14ac:dyDescent="0.35">
      <c r="A248" t="s">
        <v>224</v>
      </c>
      <c r="B248">
        <v>13</v>
      </c>
      <c r="C248" t="s">
        <v>232</v>
      </c>
      <c r="D248" t="s">
        <v>61</v>
      </c>
      <c r="E248" t="s">
        <v>25</v>
      </c>
      <c r="F248" t="s">
        <v>62</v>
      </c>
      <c r="G248">
        <v>4</v>
      </c>
      <c r="H248">
        <v>0</v>
      </c>
      <c r="I248">
        <v>0</v>
      </c>
      <c r="J248">
        <v>0</v>
      </c>
      <c r="K248">
        <v>0</v>
      </c>
      <c r="L248">
        <v>0.195155</v>
      </c>
      <c r="M248" t="s">
        <v>27</v>
      </c>
      <c r="N248" t="s">
        <v>63</v>
      </c>
      <c r="O248" t="s">
        <v>64</v>
      </c>
      <c r="P248" t="s">
        <v>65</v>
      </c>
      <c r="Q248" t="s">
        <v>66</v>
      </c>
      <c r="R248" s="22">
        <f t="shared" si="15"/>
        <v>46288.825680611626</v>
      </c>
      <c r="S248" s="22">
        <f t="shared" si="16"/>
        <v>46288.825682870367</v>
      </c>
      <c r="T248" s="23">
        <f t="shared" si="17"/>
        <v>0</v>
      </c>
      <c r="U248" s="23">
        <f t="shared" si="18"/>
        <v>0</v>
      </c>
      <c r="V248" s="23">
        <f t="shared" si="19"/>
        <v>0</v>
      </c>
    </row>
    <row r="249" spans="1:22" x14ac:dyDescent="0.35">
      <c r="A249" t="s">
        <v>224</v>
      </c>
      <c r="B249">
        <v>14</v>
      </c>
      <c r="C249" t="s">
        <v>232</v>
      </c>
      <c r="D249" t="s">
        <v>61</v>
      </c>
      <c r="E249" t="s">
        <v>25</v>
      </c>
      <c r="F249" t="s">
        <v>62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0.20279900000000001</v>
      </c>
      <c r="M249" t="s">
        <v>27</v>
      </c>
      <c r="N249" t="s">
        <v>63</v>
      </c>
      <c r="O249" t="s">
        <v>64</v>
      </c>
      <c r="P249" t="s">
        <v>65</v>
      </c>
      <c r="Q249" t="s">
        <v>66</v>
      </c>
      <c r="R249" s="22">
        <f t="shared" si="15"/>
        <v>46288.825680523158</v>
      </c>
      <c r="S249" s="22">
        <f t="shared" si="16"/>
        <v>46288.825682870367</v>
      </c>
      <c r="T249" s="23">
        <f t="shared" si="17"/>
        <v>0</v>
      </c>
      <c r="U249" s="23">
        <f t="shared" si="18"/>
        <v>0</v>
      </c>
      <c r="V249" s="23">
        <f t="shared" si="19"/>
        <v>0</v>
      </c>
    </row>
    <row r="250" spans="1:22" x14ac:dyDescent="0.35">
      <c r="A250" t="s">
        <v>224</v>
      </c>
      <c r="B250">
        <v>15</v>
      </c>
      <c r="C250" t="s">
        <v>233</v>
      </c>
      <c r="D250" t="s">
        <v>61</v>
      </c>
      <c r="E250" t="s">
        <v>25</v>
      </c>
      <c r="F250" t="s">
        <v>62</v>
      </c>
      <c r="G250">
        <v>5</v>
      </c>
      <c r="H250">
        <v>0</v>
      </c>
      <c r="I250">
        <v>0</v>
      </c>
      <c r="J250">
        <v>0</v>
      </c>
      <c r="K250">
        <v>0</v>
      </c>
      <c r="L250">
        <v>0.193991</v>
      </c>
      <c r="M250" t="s">
        <v>27</v>
      </c>
      <c r="N250" t="s">
        <v>63</v>
      </c>
      <c r="O250" t="s">
        <v>64</v>
      </c>
      <c r="P250" t="s">
        <v>65</v>
      </c>
      <c r="Q250" t="s">
        <v>66</v>
      </c>
      <c r="R250" s="22">
        <f t="shared" si="15"/>
        <v>46288.825692199178</v>
      </c>
      <c r="S250" s="22">
        <f t="shared" si="16"/>
        <v>46288.825694444444</v>
      </c>
      <c r="T250" s="23">
        <f t="shared" si="17"/>
        <v>0</v>
      </c>
      <c r="U250" s="23">
        <f t="shared" si="18"/>
        <v>0</v>
      </c>
      <c r="V250" s="23">
        <f t="shared" si="19"/>
        <v>0</v>
      </c>
    </row>
    <row r="251" spans="1:22" x14ac:dyDescent="0.35">
      <c r="A251" t="s">
        <v>224</v>
      </c>
      <c r="B251">
        <v>16</v>
      </c>
      <c r="C251" t="s">
        <v>233</v>
      </c>
      <c r="D251" t="s">
        <v>61</v>
      </c>
      <c r="E251" t="s">
        <v>25</v>
      </c>
      <c r="F251" t="s">
        <v>62</v>
      </c>
      <c r="G251">
        <v>5</v>
      </c>
      <c r="H251">
        <v>0</v>
      </c>
      <c r="I251">
        <v>0</v>
      </c>
      <c r="J251">
        <v>0</v>
      </c>
      <c r="K251">
        <v>0</v>
      </c>
      <c r="L251">
        <v>0.20366799999999999</v>
      </c>
      <c r="M251" t="s">
        <v>27</v>
      </c>
      <c r="N251" t="s">
        <v>63</v>
      </c>
      <c r="O251" t="s">
        <v>64</v>
      </c>
      <c r="P251" t="s">
        <v>65</v>
      </c>
      <c r="Q251" t="s">
        <v>66</v>
      </c>
      <c r="R251" s="22">
        <f t="shared" si="15"/>
        <v>46288.825692087172</v>
      </c>
      <c r="S251" s="22">
        <f t="shared" si="16"/>
        <v>46288.825694444444</v>
      </c>
      <c r="T251" s="23">
        <f t="shared" si="17"/>
        <v>0</v>
      </c>
      <c r="U251" s="23">
        <f t="shared" si="18"/>
        <v>0</v>
      </c>
      <c r="V251" s="23">
        <f t="shared" si="19"/>
        <v>0</v>
      </c>
    </row>
    <row r="252" spans="1:22" x14ac:dyDescent="0.35">
      <c r="A252" t="s">
        <v>224</v>
      </c>
      <c r="B252">
        <v>17</v>
      </c>
      <c r="C252" t="s">
        <v>233</v>
      </c>
      <c r="D252" t="s">
        <v>61</v>
      </c>
      <c r="E252" t="s">
        <v>25</v>
      </c>
      <c r="F252" t="s">
        <v>62</v>
      </c>
      <c r="G252">
        <v>4</v>
      </c>
      <c r="H252">
        <v>0</v>
      </c>
      <c r="I252">
        <v>0</v>
      </c>
      <c r="J252">
        <v>0</v>
      </c>
      <c r="K252">
        <v>0</v>
      </c>
      <c r="L252">
        <v>0.21284500000000001</v>
      </c>
      <c r="M252" t="s">
        <v>27</v>
      </c>
      <c r="N252" t="s">
        <v>63</v>
      </c>
      <c r="O252" t="s">
        <v>64</v>
      </c>
      <c r="P252" t="s">
        <v>65</v>
      </c>
      <c r="Q252" t="s">
        <v>66</v>
      </c>
      <c r="R252" s="22">
        <f t="shared" si="15"/>
        <v>46288.825691980957</v>
      </c>
      <c r="S252" s="22">
        <f t="shared" si="16"/>
        <v>46288.825694444444</v>
      </c>
      <c r="T252" s="23">
        <f t="shared" si="17"/>
        <v>0.21284522954374552</v>
      </c>
      <c r="U252" s="23">
        <f t="shared" si="18"/>
        <v>0.21284522954374552</v>
      </c>
      <c r="V252" s="23">
        <f t="shared" si="19"/>
        <v>0.21284522954374552</v>
      </c>
    </row>
    <row r="253" spans="1:22" x14ac:dyDescent="0.35">
      <c r="A253" t="s">
        <v>224</v>
      </c>
      <c r="B253">
        <v>18</v>
      </c>
      <c r="C253" t="s">
        <v>233</v>
      </c>
      <c r="D253" t="s">
        <v>61</v>
      </c>
      <c r="E253" t="s">
        <v>25</v>
      </c>
      <c r="F253" t="s">
        <v>62</v>
      </c>
      <c r="G253">
        <v>4</v>
      </c>
      <c r="H253">
        <v>0</v>
      </c>
      <c r="I253">
        <v>0</v>
      </c>
      <c r="J253">
        <v>0</v>
      </c>
      <c r="K253">
        <v>0</v>
      </c>
      <c r="L253">
        <v>0.21068000000000001</v>
      </c>
      <c r="M253" t="s">
        <v>27</v>
      </c>
      <c r="N253" t="s">
        <v>63</v>
      </c>
      <c r="O253" t="s">
        <v>64</v>
      </c>
      <c r="P253" t="s">
        <v>65</v>
      </c>
      <c r="Q253" t="s">
        <v>66</v>
      </c>
      <c r="R253" s="22">
        <f t="shared" si="15"/>
        <v>46288.825692006016</v>
      </c>
      <c r="S253" s="22">
        <f t="shared" si="16"/>
        <v>46288.825694444444</v>
      </c>
      <c r="T253" s="23">
        <f t="shared" si="17"/>
        <v>0</v>
      </c>
      <c r="U253" s="23">
        <f t="shared" si="18"/>
        <v>0</v>
      </c>
      <c r="V253" s="23">
        <f t="shared" si="19"/>
        <v>0</v>
      </c>
    </row>
    <row r="254" spans="1:22" x14ac:dyDescent="0.35">
      <c r="A254" t="s">
        <v>224</v>
      </c>
      <c r="B254">
        <v>19</v>
      </c>
      <c r="C254" t="s">
        <v>234</v>
      </c>
      <c r="D254" t="s">
        <v>61</v>
      </c>
      <c r="E254" t="s">
        <v>25</v>
      </c>
      <c r="F254" t="s">
        <v>62</v>
      </c>
      <c r="G254">
        <v>20</v>
      </c>
      <c r="H254">
        <v>0</v>
      </c>
      <c r="I254">
        <v>0</v>
      </c>
      <c r="J254">
        <v>0</v>
      </c>
      <c r="K254">
        <v>0</v>
      </c>
      <c r="L254">
        <v>0.276115</v>
      </c>
      <c r="M254" t="s">
        <v>27</v>
      </c>
      <c r="N254" t="s">
        <v>63</v>
      </c>
      <c r="O254" t="s">
        <v>64</v>
      </c>
      <c r="P254" t="s">
        <v>65</v>
      </c>
      <c r="Q254" t="s">
        <v>66</v>
      </c>
      <c r="R254" s="22">
        <f t="shared" si="15"/>
        <v>46288.825702822745</v>
      </c>
      <c r="S254" s="22">
        <f t="shared" si="16"/>
        <v>46288.825706018521</v>
      </c>
      <c r="T254" s="23">
        <f t="shared" si="17"/>
        <v>0.27611497789621353</v>
      </c>
      <c r="U254" s="23">
        <f t="shared" si="18"/>
        <v>0.27611497789621353</v>
      </c>
      <c r="V254" s="23">
        <f t="shared" si="19"/>
        <v>0.27611497789621353</v>
      </c>
    </row>
    <row r="255" spans="1:22" x14ac:dyDescent="0.35">
      <c r="A255" t="s">
        <v>224</v>
      </c>
      <c r="B255">
        <v>20</v>
      </c>
      <c r="C255" t="s">
        <v>234</v>
      </c>
      <c r="D255" t="s">
        <v>61</v>
      </c>
      <c r="E255" t="s">
        <v>25</v>
      </c>
      <c r="F255" t="s">
        <v>62</v>
      </c>
      <c r="G255">
        <v>5</v>
      </c>
      <c r="H255">
        <v>0</v>
      </c>
      <c r="I255">
        <v>0</v>
      </c>
      <c r="J255">
        <v>0</v>
      </c>
      <c r="K255">
        <v>0</v>
      </c>
      <c r="L255">
        <v>0.222219</v>
      </c>
      <c r="M255" t="s">
        <v>27</v>
      </c>
      <c r="N255" t="s">
        <v>63</v>
      </c>
      <c r="O255" t="s">
        <v>64</v>
      </c>
      <c r="P255" t="s">
        <v>65</v>
      </c>
      <c r="Q255" t="s">
        <v>66</v>
      </c>
      <c r="R255" s="22">
        <f t="shared" si="15"/>
        <v>46288.825703446542</v>
      </c>
      <c r="S255" s="22">
        <f t="shared" si="16"/>
        <v>46288.825706018521</v>
      </c>
      <c r="T255" s="23">
        <f t="shared" si="17"/>
        <v>0</v>
      </c>
      <c r="U255" s="23">
        <f t="shared" si="18"/>
        <v>0</v>
      </c>
      <c r="V255" s="23">
        <f t="shared" si="19"/>
        <v>0</v>
      </c>
    </row>
    <row r="256" spans="1:22" x14ac:dyDescent="0.35">
      <c r="A256" t="s">
        <v>224</v>
      </c>
      <c r="B256">
        <v>21</v>
      </c>
      <c r="C256" t="s">
        <v>235</v>
      </c>
      <c r="D256" t="s">
        <v>61</v>
      </c>
      <c r="E256" t="s">
        <v>25</v>
      </c>
      <c r="F256" t="s">
        <v>62</v>
      </c>
      <c r="G256">
        <v>3</v>
      </c>
      <c r="H256">
        <v>0</v>
      </c>
      <c r="I256">
        <v>0</v>
      </c>
      <c r="J256">
        <v>0</v>
      </c>
      <c r="K256">
        <v>0</v>
      </c>
      <c r="L256">
        <v>0.46405400000000002</v>
      </c>
      <c r="M256" t="s">
        <v>27</v>
      </c>
      <c r="N256" t="s">
        <v>63</v>
      </c>
      <c r="O256" t="s">
        <v>64</v>
      </c>
      <c r="P256" t="s">
        <v>65</v>
      </c>
      <c r="Q256" t="s">
        <v>66</v>
      </c>
      <c r="R256" s="22">
        <f t="shared" si="15"/>
        <v>46288.825712221595</v>
      </c>
      <c r="S256" s="22">
        <f t="shared" si="16"/>
        <v>46288.82571759259</v>
      </c>
      <c r="T256" s="23">
        <f t="shared" si="17"/>
        <v>0.46405401080846786</v>
      </c>
      <c r="U256" s="23">
        <f t="shared" si="18"/>
        <v>0.46405401080846786</v>
      </c>
      <c r="V256" s="23">
        <f t="shared" si="19"/>
        <v>0.46405401080846786</v>
      </c>
    </row>
    <row r="257" spans="1:22" x14ac:dyDescent="0.35">
      <c r="A257" t="s">
        <v>224</v>
      </c>
      <c r="B257">
        <v>22</v>
      </c>
      <c r="C257" t="s">
        <v>235</v>
      </c>
      <c r="D257" t="s">
        <v>61</v>
      </c>
      <c r="E257" t="s">
        <v>25</v>
      </c>
      <c r="F257" t="s">
        <v>62</v>
      </c>
      <c r="G257">
        <v>5</v>
      </c>
      <c r="H257">
        <v>0</v>
      </c>
      <c r="I257">
        <v>0</v>
      </c>
      <c r="J257">
        <v>0</v>
      </c>
      <c r="K257">
        <v>0</v>
      </c>
      <c r="L257">
        <v>0.221636</v>
      </c>
      <c r="M257" t="s">
        <v>27</v>
      </c>
      <c r="N257" t="s">
        <v>63</v>
      </c>
      <c r="O257" t="s">
        <v>64</v>
      </c>
      <c r="P257" t="s">
        <v>65</v>
      </c>
      <c r="Q257" t="s">
        <v>66</v>
      </c>
      <c r="R257" s="22">
        <f t="shared" si="15"/>
        <v>46288.825715027357</v>
      </c>
      <c r="S257" s="22">
        <f t="shared" si="16"/>
        <v>46288.82571759259</v>
      </c>
      <c r="T257" s="23">
        <f t="shared" si="17"/>
        <v>0</v>
      </c>
      <c r="U257" s="23">
        <f t="shared" si="18"/>
        <v>0</v>
      </c>
      <c r="V257" s="23">
        <f t="shared" si="19"/>
        <v>0</v>
      </c>
    </row>
    <row r="258" spans="1:22" x14ac:dyDescent="0.35">
      <c r="A258" t="s">
        <v>224</v>
      </c>
      <c r="B258">
        <v>23</v>
      </c>
      <c r="C258" t="s">
        <v>235</v>
      </c>
      <c r="D258" t="s">
        <v>61</v>
      </c>
      <c r="E258" t="s">
        <v>25</v>
      </c>
      <c r="F258" t="s">
        <v>62</v>
      </c>
      <c r="G258">
        <v>4</v>
      </c>
      <c r="H258">
        <v>0</v>
      </c>
      <c r="I258">
        <v>0</v>
      </c>
      <c r="J258">
        <v>0</v>
      </c>
      <c r="K258">
        <v>0</v>
      </c>
      <c r="L258">
        <v>0.32241999999999998</v>
      </c>
      <c r="M258" t="s">
        <v>27</v>
      </c>
      <c r="N258" t="s">
        <v>63</v>
      </c>
      <c r="O258" t="s">
        <v>64</v>
      </c>
      <c r="P258" t="s">
        <v>65</v>
      </c>
      <c r="Q258" t="s">
        <v>66</v>
      </c>
      <c r="R258" s="22">
        <f t="shared" ref="R258:R321" si="20">S258-L258/86400</f>
        <v>46288.825713860875</v>
      </c>
      <c r="S258" s="22">
        <f t="shared" ref="S258:S321" si="21">DATEVALUE(LEFT(C258,10))+TIMEVALUE(MID(C258,12,8))</f>
        <v>46288.82571759259</v>
      </c>
      <c r="T258" s="23">
        <f t="shared" ref="T258:T321" si="22">MAX(0,S258-MAX(R258,_xlfn.MAXIFS($S$2:$S$486,$A$2:$A$486,A258,$D$2:$D$486,D258,$F$2:$F$486,F258,$R$2:$R$486,"&lt;"&amp;R258)))*86400</f>
        <v>0</v>
      </c>
      <c r="U258" s="23">
        <f t="shared" ref="U258:U321" si="23">MAX(0,S258-MAX(R258,_xlfn.MAXIFS($S$2:$S$486,$A$2:$A$486,A258,$F$2:$F$486,F258,$R$2:$R$486,"&lt;"&amp;R258)))*86400</f>
        <v>0</v>
      </c>
      <c r="V258" s="23">
        <f t="shared" ref="V258:V321" si="24">MAX(0,S258-MAX(R258,_xlfn.MAXIFS($S$2:$S$486,$A$2:$A$486,A258,$R$2:$R$486,"&lt;"&amp;R258)))*86400</f>
        <v>0</v>
      </c>
    </row>
    <row r="259" spans="1:22" x14ac:dyDescent="0.35">
      <c r="A259" t="s">
        <v>224</v>
      </c>
      <c r="B259">
        <v>24</v>
      </c>
      <c r="C259" t="s">
        <v>236</v>
      </c>
      <c r="D259" t="s">
        <v>61</v>
      </c>
      <c r="E259" t="s">
        <v>25</v>
      </c>
      <c r="F259" t="s">
        <v>62</v>
      </c>
      <c r="G259">
        <v>5</v>
      </c>
      <c r="H259">
        <v>0</v>
      </c>
      <c r="I259">
        <v>0</v>
      </c>
      <c r="J259">
        <v>0</v>
      </c>
      <c r="K259">
        <v>0</v>
      </c>
      <c r="L259">
        <v>0.225073</v>
      </c>
      <c r="M259" t="s">
        <v>27</v>
      </c>
      <c r="N259" t="s">
        <v>63</v>
      </c>
      <c r="O259" t="s">
        <v>64</v>
      </c>
      <c r="P259" t="s">
        <v>65</v>
      </c>
      <c r="Q259" t="s">
        <v>66</v>
      </c>
      <c r="R259" s="22">
        <f t="shared" si="20"/>
        <v>46288.825726561656</v>
      </c>
      <c r="S259" s="22">
        <f t="shared" si="21"/>
        <v>46288.825729166667</v>
      </c>
      <c r="T259" s="23">
        <f t="shared" si="22"/>
        <v>0</v>
      </c>
      <c r="U259" s="23">
        <f t="shared" si="23"/>
        <v>0</v>
      </c>
      <c r="V259" s="23">
        <f t="shared" si="24"/>
        <v>0</v>
      </c>
    </row>
    <row r="260" spans="1:22" x14ac:dyDescent="0.35">
      <c r="A260" t="s">
        <v>224</v>
      </c>
      <c r="B260">
        <v>25</v>
      </c>
      <c r="C260" t="s">
        <v>236</v>
      </c>
      <c r="D260" t="s">
        <v>61</v>
      </c>
      <c r="E260" t="s">
        <v>25</v>
      </c>
      <c r="F260" t="s">
        <v>62</v>
      </c>
      <c r="G260">
        <v>17</v>
      </c>
      <c r="H260">
        <v>0</v>
      </c>
      <c r="I260">
        <v>0</v>
      </c>
      <c r="J260">
        <v>0</v>
      </c>
      <c r="K260">
        <v>0</v>
      </c>
      <c r="L260">
        <v>0.223242</v>
      </c>
      <c r="M260" t="s">
        <v>27</v>
      </c>
      <c r="N260" t="s">
        <v>63</v>
      </c>
      <c r="O260" t="s">
        <v>64</v>
      </c>
      <c r="P260" t="s">
        <v>65</v>
      </c>
      <c r="Q260" t="s">
        <v>66</v>
      </c>
      <c r="R260" s="22">
        <f t="shared" si="20"/>
        <v>46288.825726582851</v>
      </c>
      <c r="S260" s="22">
        <f t="shared" si="21"/>
        <v>46288.825729166667</v>
      </c>
      <c r="T260" s="23">
        <f t="shared" si="22"/>
        <v>0</v>
      </c>
      <c r="U260" s="23">
        <f t="shared" si="23"/>
        <v>0</v>
      </c>
      <c r="V260" s="23">
        <f t="shared" si="24"/>
        <v>0</v>
      </c>
    </row>
    <row r="261" spans="1:22" x14ac:dyDescent="0.35">
      <c r="A261" t="s">
        <v>224</v>
      </c>
      <c r="B261">
        <v>26</v>
      </c>
      <c r="C261" t="s">
        <v>236</v>
      </c>
      <c r="D261" t="s">
        <v>61</v>
      </c>
      <c r="E261" t="s">
        <v>25</v>
      </c>
      <c r="F261" t="s">
        <v>62</v>
      </c>
      <c r="G261">
        <v>5</v>
      </c>
      <c r="H261">
        <v>0</v>
      </c>
      <c r="I261">
        <v>0</v>
      </c>
      <c r="J261">
        <v>0</v>
      </c>
      <c r="K261">
        <v>0</v>
      </c>
      <c r="L261">
        <v>0.18321899999999999</v>
      </c>
      <c r="M261" t="s">
        <v>27</v>
      </c>
      <c r="N261" t="s">
        <v>63</v>
      </c>
      <c r="O261" t="s">
        <v>64</v>
      </c>
      <c r="P261" t="s">
        <v>65</v>
      </c>
      <c r="Q261" t="s">
        <v>66</v>
      </c>
      <c r="R261" s="22">
        <f t="shared" si="20"/>
        <v>46288.825727046074</v>
      </c>
      <c r="S261" s="22">
        <f t="shared" si="21"/>
        <v>46288.825729166667</v>
      </c>
      <c r="T261" s="23">
        <f t="shared" si="22"/>
        <v>0</v>
      </c>
      <c r="U261" s="23">
        <f t="shared" si="23"/>
        <v>0</v>
      </c>
      <c r="V261" s="23">
        <f t="shared" si="24"/>
        <v>0</v>
      </c>
    </row>
    <row r="262" spans="1:22" x14ac:dyDescent="0.35">
      <c r="A262" t="s">
        <v>224</v>
      </c>
      <c r="B262">
        <v>27</v>
      </c>
      <c r="C262" t="s">
        <v>236</v>
      </c>
      <c r="D262" t="s">
        <v>61</v>
      </c>
      <c r="E262" t="s">
        <v>25</v>
      </c>
      <c r="F262" t="s">
        <v>62</v>
      </c>
      <c r="G262">
        <v>3</v>
      </c>
      <c r="H262">
        <v>0</v>
      </c>
      <c r="I262">
        <v>0</v>
      </c>
      <c r="J262">
        <v>0</v>
      </c>
      <c r="K262">
        <v>0</v>
      </c>
      <c r="L262">
        <v>0.240291</v>
      </c>
      <c r="M262" t="s">
        <v>27</v>
      </c>
      <c r="N262" t="s">
        <v>63</v>
      </c>
      <c r="O262" t="s">
        <v>64</v>
      </c>
      <c r="P262" t="s">
        <v>65</v>
      </c>
      <c r="Q262" t="s">
        <v>66</v>
      </c>
      <c r="R262" s="22">
        <f t="shared" si="20"/>
        <v>46288.825726385519</v>
      </c>
      <c r="S262" s="22">
        <f t="shared" si="21"/>
        <v>46288.825729166667</v>
      </c>
      <c r="T262" s="23">
        <f t="shared" si="22"/>
        <v>0.24029114283621311</v>
      </c>
      <c r="U262" s="23">
        <f t="shared" si="23"/>
        <v>0.24029114283621311</v>
      </c>
      <c r="V262" s="23">
        <f t="shared" si="24"/>
        <v>0.24029114283621311</v>
      </c>
    </row>
    <row r="263" spans="1:22" x14ac:dyDescent="0.35">
      <c r="A263" t="s">
        <v>224</v>
      </c>
      <c r="B263">
        <v>28</v>
      </c>
      <c r="C263" t="s">
        <v>237</v>
      </c>
      <c r="D263" t="s">
        <v>61</v>
      </c>
      <c r="E263" t="s">
        <v>25</v>
      </c>
      <c r="F263" t="s">
        <v>62</v>
      </c>
      <c r="G263">
        <v>6</v>
      </c>
      <c r="H263">
        <v>0</v>
      </c>
      <c r="I263">
        <v>0</v>
      </c>
      <c r="J263">
        <v>0</v>
      </c>
      <c r="K263">
        <v>0</v>
      </c>
      <c r="L263">
        <v>0.20350299999999999</v>
      </c>
      <c r="M263" t="s">
        <v>27</v>
      </c>
      <c r="N263" t="s">
        <v>63</v>
      </c>
      <c r="O263" t="s">
        <v>64</v>
      </c>
      <c r="P263" t="s">
        <v>65</v>
      </c>
      <c r="Q263" t="s">
        <v>66</v>
      </c>
      <c r="R263" s="22">
        <f t="shared" si="20"/>
        <v>46288.825738385385</v>
      </c>
      <c r="S263" s="22">
        <f t="shared" si="21"/>
        <v>46288.825740740744</v>
      </c>
      <c r="T263" s="23">
        <f t="shared" si="22"/>
        <v>0</v>
      </c>
      <c r="U263" s="23">
        <f t="shared" si="23"/>
        <v>0</v>
      </c>
      <c r="V263" s="23">
        <f t="shared" si="24"/>
        <v>0</v>
      </c>
    </row>
    <row r="264" spans="1:22" x14ac:dyDescent="0.35">
      <c r="A264" t="s">
        <v>224</v>
      </c>
      <c r="B264">
        <v>29</v>
      </c>
      <c r="C264" t="s">
        <v>237</v>
      </c>
      <c r="D264" t="s">
        <v>61</v>
      </c>
      <c r="E264" t="s">
        <v>25</v>
      </c>
      <c r="F264" t="s">
        <v>62</v>
      </c>
      <c r="G264">
        <v>5</v>
      </c>
      <c r="H264">
        <v>0</v>
      </c>
      <c r="I264">
        <v>0</v>
      </c>
      <c r="J264">
        <v>0</v>
      </c>
      <c r="K264">
        <v>0</v>
      </c>
      <c r="L264">
        <v>0.18578800000000001</v>
      </c>
      <c r="M264" t="s">
        <v>27</v>
      </c>
      <c r="N264" t="s">
        <v>63</v>
      </c>
      <c r="O264" t="s">
        <v>64</v>
      </c>
      <c r="P264" t="s">
        <v>65</v>
      </c>
      <c r="Q264" t="s">
        <v>66</v>
      </c>
      <c r="R264" s="22">
        <f t="shared" si="20"/>
        <v>46288.825738590422</v>
      </c>
      <c r="S264" s="22">
        <f t="shared" si="21"/>
        <v>46288.825740740744</v>
      </c>
      <c r="T264" s="23">
        <f t="shared" si="22"/>
        <v>0</v>
      </c>
      <c r="U264" s="23">
        <f t="shared" si="23"/>
        <v>0</v>
      </c>
      <c r="V264" s="23">
        <f t="shared" si="24"/>
        <v>0</v>
      </c>
    </row>
    <row r="265" spans="1:22" x14ac:dyDescent="0.35">
      <c r="A265" t="s">
        <v>224</v>
      </c>
      <c r="B265">
        <v>30</v>
      </c>
      <c r="C265" t="s">
        <v>237</v>
      </c>
      <c r="D265" t="s">
        <v>61</v>
      </c>
      <c r="E265" t="s">
        <v>25</v>
      </c>
      <c r="F265" t="s">
        <v>62</v>
      </c>
      <c r="G265">
        <v>22</v>
      </c>
      <c r="H265">
        <v>0</v>
      </c>
      <c r="I265">
        <v>0</v>
      </c>
      <c r="J265">
        <v>0</v>
      </c>
      <c r="K265">
        <v>0</v>
      </c>
      <c r="L265">
        <v>0.21262900000000001</v>
      </c>
      <c r="M265" t="s">
        <v>27</v>
      </c>
      <c r="N265" t="s">
        <v>63</v>
      </c>
      <c r="O265" t="s">
        <v>64</v>
      </c>
      <c r="P265" t="s">
        <v>65</v>
      </c>
      <c r="Q265" t="s">
        <v>66</v>
      </c>
      <c r="R265" s="22">
        <f t="shared" si="20"/>
        <v>46288.82573827976</v>
      </c>
      <c r="S265" s="22">
        <f t="shared" si="21"/>
        <v>46288.825740740744</v>
      </c>
      <c r="T265" s="23">
        <f t="shared" si="22"/>
        <v>0.2126289764419198</v>
      </c>
      <c r="U265" s="23">
        <f t="shared" si="23"/>
        <v>0.2126289764419198</v>
      </c>
      <c r="V265" s="23">
        <f t="shared" si="24"/>
        <v>0.2126289764419198</v>
      </c>
    </row>
    <row r="266" spans="1:22" x14ac:dyDescent="0.35">
      <c r="A266" t="s">
        <v>224</v>
      </c>
      <c r="B266">
        <v>31</v>
      </c>
      <c r="C266" t="s">
        <v>238</v>
      </c>
      <c r="D266" t="s">
        <v>61</v>
      </c>
      <c r="E266" t="s">
        <v>25</v>
      </c>
      <c r="F266" t="s">
        <v>62</v>
      </c>
      <c r="G266">
        <v>4</v>
      </c>
      <c r="H266">
        <v>0</v>
      </c>
      <c r="I266">
        <v>0</v>
      </c>
      <c r="J266">
        <v>0</v>
      </c>
      <c r="K266">
        <v>0</v>
      </c>
      <c r="L266">
        <v>0.19749</v>
      </c>
      <c r="M266" t="s">
        <v>27</v>
      </c>
      <c r="N266" t="s">
        <v>63</v>
      </c>
      <c r="O266" t="s">
        <v>64</v>
      </c>
      <c r="P266" t="s">
        <v>65</v>
      </c>
      <c r="Q266" t="s">
        <v>66</v>
      </c>
      <c r="R266" s="22">
        <f t="shared" si="20"/>
        <v>46288.825750029049</v>
      </c>
      <c r="S266" s="22">
        <f t="shared" si="21"/>
        <v>46288.825752314813</v>
      </c>
      <c r="T266" s="23">
        <f t="shared" si="22"/>
        <v>0</v>
      </c>
      <c r="U266" s="23">
        <f t="shared" si="23"/>
        <v>0</v>
      </c>
      <c r="V266" s="23">
        <f t="shared" si="24"/>
        <v>0</v>
      </c>
    </row>
    <row r="267" spans="1:22" x14ac:dyDescent="0.35">
      <c r="A267" t="s">
        <v>224</v>
      </c>
      <c r="B267">
        <v>32</v>
      </c>
      <c r="C267" t="s">
        <v>238</v>
      </c>
      <c r="D267" t="s">
        <v>61</v>
      </c>
      <c r="E267" t="s">
        <v>25</v>
      </c>
      <c r="F267" t="s">
        <v>62</v>
      </c>
      <c r="G267">
        <v>4</v>
      </c>
      <c r="H267">
        <v>0</v>
      </c>
      <c r="I267">
        <v>0</v>
      </c>
      <c r="J267">
        <v>0</v>
      </c>
      <c r="K267">
        <v>0</v>
      </c>
      <c r="L267">
        <v>0.32932499999999998</v>
      </c>
      <c r="M267" t="s">
        <v>27</v>
      </c>
      <c r="N267" t="s">
        <v>63</v>
      </c>
      <c r="O267" t="s">
        <v>64</v>
      </c>
      <c r="P267" t="s">
        <v>65</v>
      </c>
      <c r="Q267" t="s">
        <v>66</v>
      </c>
      <c r="R267" s="22">
        <f t="shared" si="20"/>
        <v>46288.825748503179</v>
      </c>
      <c r="S267" s="22">
        <f t="shared" si="21"/>
        <v>46288.825752314813</v>
      </c>
      <c r="T267" s="23">
        <f t="shared" si="22"/>
        <v>0.32932518515735865</v>
      </c>
      <c r="U267" s="23">
        <f t="shared" si="23"/>
        <v>0.32932518515735865</v>
      </c>
      <c r="V267" s="23">
        <f t="shared" si="24"/>
        <v>0.32932518515735865</v>
      </c>
    </row>
    <row r="268" spans="1:22" x14ac:dyDescent="0.35">
      <c r="A268" t="s">
        <v>224</v>
      </c>
      <c r="B268">
        <v>33</v>
      </c>
      <c r="C268" t="s">
        <v>238</v>
      </c>
      <c r="D268" t="s">
        <v>61</v>
      </c>
      <c r="E268" t="s">
        <v>25</v>
      </c>
      <c r="F268" t="s">
        <v>62</v>
      </c>
      <c r="G268">
        <v>4</v>
      </c>
      <c r="H268">
        <v>0</v>
      </c>
      <c r="I268">
        <v>0</v>
      </c>
      <c r="J268">
        <v>0</v>
      </c>
      <c r="K268">
        <v>0</v>
      </c>
      <c r="L268">
        <v>0.25426199999999999</v>
      </c>
      <c r="M268" t="s">
        <v>27</v>
      </c>
      <c r="N268" t="s">
        <v>63</v>
      </c>
      <c r="O268" t="s">
        <v>64</v>
      </c>
      <c r="P268" t="s">
        <v>65</v>
      </c>
      <c r="Q268" t="s">
        <v>66</v>
      </c>
      <c r="R268" s="22">
        <f t="shared" si="20"/>
        <v>46288.825749371965</v>
      </c>
      <c r="S268" s="22">
        <f t="shared" si="21"/>
        <v>46288.825752314813</v>
      </c>
      <c r="T268" s="23">
        <f t="shared" si="22"/>
        <v>0</v>
      </c>
      <c r="U268" s="23">
        <f t="shared" si="23"/>
        <v>0</v>
      </c>
      <c r="V268" s="23">
        <f t="shared" si="24"/>
        <v>0</v>
      </c>
    </row>
    <row r="269" spans="1:22" x14ac:dyDescent="0.35">
      <c r="A269" t="s">
        <v>224</v>
      </c>
      <c r="B269">
        <v>34</v>
      </c>
      <c r="C269" t="s">
        <v>239</v>
      </c>
      <c r="D269" t="s">
        <v>61</v>
      </c>
      <c r="E269" t="s">
        <v>25</v>
      </c>
      <c r="F269" t="s">
        <v>62</v>
      </c>
      <c r="G269">
        <v>6</v>
      </c>
      <c r="H269">
        <v>0</v>
      </c>
      <c r="I269">
        <v>0</v>
      </c>
      <c r="J269">
        <v>0</v>
      </c>
      <c r="K269">
        <v>0</v>
      </c>
      <c r="L269">
        <v>0.20757999999999999</v>
      </c>
      <c r="M269" t="s">
        <v>27</v>
      </c>
      <c r="N269" t="s">
        <v>63</v>
      </c>
      <c r="O269" t="s">
        <v>64</v>
      </c>
      <c r="P269" t="s">
        <v>65</v>
      </c>
      <c r="Q269" t="s">
        <v>66</v>
      </c>
      <c r="R269" s="22">
        <f t="shared" si="20"/>
        <v>46288.825761486347</v>
      </c>
      <c r="S269" s="22">
        <f t="shared" si="21"/>
        <v>46288.82576388889</v>
      </c>
      <c r="T269" s="23">
        <f t="shared" si="22"/>
        <v>0.20757971797138453</v>
      </c>
      <c r="U269" s="23">
        <f t="shared" si="23"/>
        <v>0.20757971797138453</v>
      </c>
      <c r="V269" s="23">
        <f t="shared" si="24"/>
        <v>0.20757971797138453</v>
      </c>
    </row>
    <row r="270" spans="1:22" x14ac:dyDescent="0.35">
      <c r="A270" t="s">
        <v>224</v>
      </c>
      <c r="B270">
        <v>35</v>
      </c>
      <c r="C270" t="s">
        <v>239</v>
      </c>
      <c r="D270" t="s">
        <v>61</v>
      </c>
      <c r="E270" t="s">
        <v>25</v>
      </c>
      <c r="F270" t="s">
        <v>62</v>
      </c>
      <c r="G270">
        <v>25</v>
      </c>
      <c r="H270">
        <v>0</v>
      </c>
      <c r="I270">
        <v>0</v>
      </c>
      <c r="J270">
        <v>0</v>
      </c>
      <c r="K270">
        <v>0</v>
      </c>
      <c r="L270">
        <v>0.20114099999999999</v>
      </c>
      <c r="M270" t="s">
        <v>27</v>
      </c>
      <c r="N270" t="s">
        <v>63</v>
      </c>
      <c r="O270" t="s">
        <v>64</v>
      </c>
      <c r="P270" t="s">
        <v>65</v>
      </c>
      <c r="Q270" t="s">
        <v>66</v>
      </c>
      <c r="R270" s="22">
        <f t="shared" si="20"/>
        <v>46288.825761560867</v>
      </c>
      <c r="S270" s="22">
        <f t="shared" si="21"/>
        <v>46288.82576388889</v>
      </c>
      <c r="T270" s="23">
        <f t="shared" si="22"/>
        <v>0</v>
      </c>
      <c r="U270" s="23">
        <f t="shared" si="23"/>
        <v>0</v>
      </c>
      <c r="V270" s="23">
        <f t="shared" si="24"/>
        <v>0</v>
      </c>
    </row>
    <row r="271" spans="1:22" x14ac:dyDescent="0.35">
      <c r="A271" t="s">
        <v>224</v>
      </c>
      <c r="B271">
        <v>36</v>
      </c>
      <c r="C271" t="s">
        <v>240</v>
      </c>
      <c r="D271" t="s">
        <v>82</v>
      </c>
      <c r="E271" t="s">
        <v>25</v>
      </c>
      <c r="F271" t="s">
        <v>62</v>
      </c>
      <c r="G271">
        <v>15582</v>
      </c>
      <c r="H271">
        <v>0</v>
      </c>
      <c r="I271">
        <v>0</v>
      </c>
      <c r="J271">
        <v>0</v>
      </c>
      <c r="K271">
        <v>3.1199999999999999E-4</v>
      </c>
      <c r="L271">
        <v>0.81842000000000004</v>
      </c>
      <c r="M271" t="s">
        <v>27</v>
      </c>
      <c r="N271" t="s">
        <v>63</v>
      </c>
      <c r="O271" t="s">
        <v>109</v>
      </c>
      <c r="P271" t="s">
        <v>110</v>
      </c>
      <c r="Q271" t="s">
        <v>111</v>
      </c>
      <c r="R271" s="22">
        <f t="shared" si="20"/>
        <v>46288.825812286806</v>
      </c>
      <c r="S271" s="22">
        <f t="shared" si="21"/>
        <v>46288.825821759259</v>
      </c>
      <c r="T271" s="23">
        <f t="shared" si="22"/>
        <v>0.8184199221432209</v>
      </c>
      <c r="U271" s="23">
        <f t="shared" si="23"/>
        <v>0.8184199221432209</v>
      </c>
      <c r="V271" s="23">
        <f t="shared" si="24"/>
        <v>0.8184199221432209</v>
      </c>
    </row>
    <row r="272" spans="1:22" x14ac:dyDescent="0.35">
      <c r="A272" t="s">
        <v>224</v>
      </c>
      <c r="B272">
        <v>37</v>
      </c>
      <c r="C272" t="s">
        <v>241</v>
      </c>
      <c r="D272" t="s">
        <v>82</v>
      </c>
      <c r="E272" t="s">
        <v>25</v>
      </c>
      <c r="F272" t="s">
        <v>62</v>
      </c>
      <c r="G272">
        <v>215</v>
      </c>
      <c r="H272">
        <v>0</v>
      </c>
      <c r="I272">
        <v>0</v>
      </c>
      <c r="J272">
        <v>0</v>
      </c>
      <c r="K272">
        <v>3.9999999999999998E-6</v>
      </c>
      <c r="L272">
        <v>0.25960299999999997</v>
      </c>
      <c r="M272" t="s">
        <v>27</v>
      </c>
      <c r="N272" t="s">
        <v>63</v>
      </c>
      <c r="O272" t="s">
        <v>113</v>
      </c>
      <c r="P272" t="s">
        <v>114</v>
      </c>
      <c r="Q272" t="s">
        <v>115</v>
      </c>
      <c r="R272" s="22">
        <f t="shared" si="20"/>
        <v>46288.825830328671</v>
      </c>
      <c r="S272" s="22">
        <f t="shared" si="21"/>
        <v>46288.825833333336</v>
      </c>
      <c r="T272" s="23">
        <f t="shared" si="22"/>
        <v>0.25960304774343967</v>
      </c>
      <c r="U272" s="23">
        <f t="shared" si="23"/>
        <v>0.25960304774343967</v>
      </c>
      <c r="V272" s="23">
        <f t="shared" si="24"/>
        <v>0.25960304774343967</v>
      </c>
    </row>
    <row r="273" spans="1:22" x14ac:dyDescent="0.35">
      <c r="A273" t="s">
        <v>224</v>
      </c>
      <c r="B273">
        <v>38</v>
      </c>
      <c r="C273" t="s">
        <v>242</v>
      </c>
      <c r="D273" t="s">
        <v>82</v>
      </c>
      <c r="E273" t="s">
        <v>25</v>
      </c>
      <c r="F273" t="s">
        <v>62</v>
      </c>
      <c r="G273">
        <v>44486</v>
      </c>
      <c r="H273">
        <v>0</v>
      </c>
      <c r="I273">
        <v>0</v>
      </c>
      <c r="J273">
        <v>0</v>
      </c>
      <c r="K273">
        <v>8.8999999999999995E-4</v>
      </c>
      <c r="L273">
        <v>1.62524</v>
      </c>
      <c r="M273" t="s">
        <v>27</v>
      </c>
      <c r="N273" t="s">
        <v>63</v>
      </c>
      <c r="O273" t="s">
        <v>109</v>
      </c>
      <c r="P273" t="s">
        <v>110</v>
      </c>
      <c r="Q273" t="s">
        <v>111</v>
      </c>
      <c r="R273" s="22">
        <f t="shared" si="20"/>
        <v>46288.825849244909</v>
      </c>
      <c r="S273" s="22">
        <f t="shared" si="21"/>
        <v>46288.825868055559</v>
      </c>
      <c r="T273" s="23">
        <f t="shared" si="22"/>
        <v>1.6252401284873486</v>
      </c>
      <c r="U273" s="23">
        <f t="shared" si="23"/>
        <v>1.6252401284873486</v>
      </c>
      <c r="V273" s="23">
        <f t="shared" si="24"/>
        <v>0</v>
      </c>
    </row>
    <row r="274" spans="1:22" x14ac:dyDescent="0.35">
      <c r="A274" t="s">
        <v>224</v>
      </c>
      <c r="B274">
        <v>39</v>
      </c>
      <c r="C274" t="s">
        <v>243</v>
      </c>
      <c r="D274" t="s">
        <v>82</v>
      </c>
      <c r="E274" t="s">
        <v>25</v>
      </c>
      <c r="F274" t="s">
        <v>62</v>
      </c>
      <c r="G274">
        <v>209</v>
      </c>
      <c r="H274">
        <v>0</v>
      </c>
      <c r="I274">
        <v>0</v>
      </c>
      <c r="J274">
        <v>0</v>
      </c>
      <c r="K274">
        <v>3.9999999999999998E-6</v>
      </c>
      <c r="L274">
        <v>0.29066399999999998</v>
      </c>
      <c r="M274" t="s">
        <v>27</v>
      </c>
      <c r="N274" t="s">
        <v>63</v>
      </c>
      <c r="O274" t="s">
        <v>113</v>
      </c>
      <c r="P274" t="s">
        <v>114</v>
      </c>
      <c r="Q274" t="s">
        <v>115</v>
      </c>
      <c r="R274" s="22">
        <f t="shared" si="20"/>
        <v>46288.825876265459</v>
      </c>
      <c r="S274" s="22">
        <f t="shared" si="21"/>
        <v>46288.825879629629</v>
      </c>
      <c r="T274" s="23">
        <f t="shared" si="22"/>
        <v>0.29066428542137146</v>
      </c>
      <c r="U274" s="23">
        <f t="shared" si="23"/>
        <v>0.29066428542137146</v>
      </c>
      <c r="V274" s="23">
        <f t="shared" si="24"/>
        <v>0</v>
      </c>
    </row>
    <row r="275" spans="1:22" x14ac:dyDescent="0.35">
      <c r="A275" t="s">
        <v>224</v>
      </c>
      <c r="B275">
        <v>40</v>
      </c>
      <c r="C275" t="s">
        <v>244</v>
      </c>
      <c r="D275" t="s">
        <v>82</v>
      </c>
      <c r="E275" t="s">
        <v>25</v>
      </c>
      <c r="F275" t="s">
        <v>26</v>
      </c>
      <c r="G275">
        <v>7738</v>
      </c>
      <c r="H275">
        <v>0</v>
      </c>
      <c r="I275">
        <v>596</v>
      </c>
      <c r="J275">
        <v>0</v>
      </c>
      <c r="K275">
        <v>2.5305000000000001E-2</v>
      </c>
      <c r="L275">
        <v>6.6269850000000003</v>
      </c>
      <c r="M275" t="s">
        <v>27</v>
      </c>
      <c r="N275" t="s">
        <v>28</v>
      </c>
      <c r="O275" t="s">
        <v>113</v>
      </c>
      <c r="P275" t="s">
        <v>114</v>
      </c>
      <c r="Q275" t="s">
        <v>115</v>
      </c>
      <c r="R275" s="22">
        <f t="shared" si="20"/>
        <v>46288.825837650635</v>
      </c>
      <c r="S275" s="22">
        <f t="shared" si="21"/>
        <v>46288.825914351852</v>
      </c>
      <c r="T275" s="23">
        <f t="shared" si="22"/>
        <v>6.6269851522520185</v>
      </c>
      <c r="U275" s="23">
        <f t="shared" si="23"/>
        <v>6.6269851522520185</v>
      </c>
      <c r="V275" s="23">
        <f t="shared" si="24"/>
        <v>6.6269851522520185</v>
      </c>
    </row>
    <row r="276" spans="1:22" x14ac:dyDescent="0.35">
      <c r="A276" t="s">
        <v>224</v>
      </c>
      <c r="B276">
        <v>41</v>
      </c>
      <c r="C276" t="s">
        <v>244</v>
      </c>
      <c r="D276" t="s">
        <v>82</v>
      </c>
      <c r="E276" t="s">
        <v>25</v>
      </c>
      <c r="F276" t="s">
        <v>62</v>
      </c>
      <c r="G276">
        <v>77061</v>
      </c>
      <c r="H276">
        <v>0</v>
      </c>
      <c r="I276">
        <v>0</v>
      </c>
      <c r="J276">
        <v>0</v>
      </c>
      <c r="K276">
        <v>1.5410000000000001E-3</v>
      </c>
      <c r="L276">
        <v>1.282402</v>
      </c>
      <c r="M276" t="s">
        <v>27</v>
      </c>
      <c r="N276" t="s">
        <v>63</v>
      </c>
      <c r="O276" t="s">
        <v>109</v>
      </c>
      <c r="P276" t="s">
        <v>110</v>
      </c>
      <c r="Q276" t="s">
        <v>111</v>
      </c>
      <c r="R276" s="22">
        <f t="shared" si="20"/>
        <v>46288.825899509233</v>
      </c>
      <c r="S276" s="22">
        <f t="shared" si="21"/>
        <v>46288.825914351852</v>
      </c>
      <c r="T276" s="23">
        <f t="shared" si="22"/>
        <v>1.2824022676795721</v>
      </c>
      <c r="U276" s="23">
        <f t="shared" si="23"/>
        <v>1.2824022676795721</v>
      </c>
      <c r="V276" s="23">
        <f t="shared" si="24"/>
        <v>0</v>
      </c>
    </row>
    <row r="277" spans="1:22" x14ac:dyDescent="0.35">
      <c r="A277" t="s">
        <v>224</v>
      </c>
      <c r="B277">
        <v>42</v>
      </c>
      <c r="C277" t="s">
        <v>245</v>
      </c>
      <c r="D277" t="s">
        <v>82</v>
      </c>
      <c r="E277" t="s">
        <v>25</v>
      </c>
      <c r="F277" t="s">
        <v>62</v>
      </c>
      <c r="G277">
        <v>4558</v>
      </c>
      <c r="H277">
        <v>0</v>
      </c>
      <c r="I277">
        <v>0</v>
      </c>
      <c r="J277">
        <v>0</v>
      </c>
      <c r="K277">
        <v>9.1000000000000003E-5</v>
      </c>
      <c r="L277">
        <v>0.27506199999999997</v>
      </c>
      <c r="M277" t="s">
        <v>27</v>
      </c>
      <c r="N277" t="s">
        <v>63</v>
      </c>
      <c r="O277" t="s">
        <v>109</v>
      </c>
      <c r="P277" t="s">
        <v>110</v>
      </c>
      <c r="Q277" t="s">
        <v>111</v>
      </c>
      <c r="R277" s="22">
        <f t="shared" si="20"/>
        <v>46288.82592274234</v>
      </c>
      <c r="S277" s="22">
        <f t="shared" si="21"/>
        <v>46288.825925925928</v>
      </c>
      <c r="T277" s="23">
        <f t="shared" si="22"/>
        <v>0.27506200131028891</v>
      </c>
      <c r="U277" s="23">
        <f t="shared" si="23"/>
        <v>0.27506200131028891</v>
      </c>
      <c r="V277" s="23">
        <f t="shared" si="24"/>
        <v>0</v>
      </c>
    </row>
    <row r="278" spans="1:22" x14ac:dyDescent="0.35">
      <c r="A278" t="s">
        <v>224</v>
      </c>
      <c r="B278">
        <v>43</v>
      </c>
      <c r="C278" t="s">
        <v>245</v>
      </c>
      <c r="D278" t="s">
        <v>82</v>
      </c>
      <c r="E278" t="s">
        <v>25</v>
      </c>
      <c r="F278" t="s">
        <v>62</v>
      </c>
      <c r="G278">
        <v>209</v>
      </c>
      <c r="H278">
        <v>0</v>
      </c>
      <c r="I278">
        <v>0</v>
      </c>
      <c r="J278">
        <v>0</v>
      </c>
      <c r="K278">
        <v>3.9999999999999998E-6</v>
      </c>
      <c r="L278">
        <v>0.20219300000000001</v>
      </c>
      <c r="M278" t="s">
        <v>27</v>
      </c>
      <c r="N278" t="s">
        <v>63</v>
      </c>
      <c r="O278" t="s">
        <v>113</v>
      </c>
      <c r="P278" t="s">
        <v>114</v>
      </c>
      <c r="Q278" t="s">
        <v>115</v>
      </c>
      <c r="R278" s="22">
        <f t="shared" si="20"/>
        <v>46288.825923585733</v>
      </c>
      <c r="S278" s="22">
        <f t="shared" si="21"/>
        <v>46288.825925925928</v>
      </c>
      <c r="T278" s="23">
        <f t="shared" si="22"/>
        <v>0</v>
      </c>
      <c r="U278" s="23">
        <f t="shared" si="23"/>
        <v>0</v>
      </c>
      <c r="V278" s="23">
        <f t="shared" si="24"/>
        <v>0</v>
      </c>
    </row>
    <row r="279" spans="1:22" x14ac:dyDescent="0.35">
      <c r="A279" t="s">
        <v>224</v>
      </c>
      <c r="B279">
        <v>44</v>
      </c>
      <c r="C279" t="s">
        <v>246</v>
      </c>
      <c r="D279" t="s">
        <v>82</v>
      </c>
      <c r="E279" t="s">
        <v>25</v>
      </c>
      <c r="F279" t="s">
        <v>26</v>
      </c>
      <c r="G279">
        <v>7868</v>
      </c>
      <c r="H279">
        <v>0</v>
      </c>
      <c r="I279">
        <v>640</v>
      </c>
      <c r="J279">
        <v>0</v>
      </c>
      <c r="K279">
        <v>2.6069999999999999E-2</v>
      </c>
      <c r="L279">
        <v>8.1403219999999994</v>
      </c>
      <c r="M279" t="s">
        <v>27</v>
      </c>
      <c r="N279" t="s">
        <v>28</v>
      </c>
      <c r="O279" t="s">
        <v>113</v>
      </c>
      <c r="P279" t="s">
        <v>114</v>
      </c>
      <c r="Q279" t="s">
        <v>115</v>
      </c>
      <c r="R279" s="22">
        <f t="shared" si="20"/>
        <v>46288.82588957961</v>
      </c>
      <c r="S279" s="22">
        <f t="shared" si="21"/>
        <v>46288.825983796298</v>
      </c>
      <c r="T279" s="23">
        <f t="shared" si="22"/>
        <v>6.0000001452863216</v>
      </c>
      <c r="U279" s="23">
        <f t="shared" si="23"/>
        <v>6.0000001452863216</v>
      </c>
      <c r="V279" s="23">
        <f t="shared" si="24"/>
        <v>6.0000001452863216</v>
      </c>
    </row>
    <row r="280" spans="1:22" x14ac:dyDescent="0.35">
      <c r="A280" t="s">
        <v>224</v>
      </c>
      <c r="B280">
        <v>45</v>
      </c>
      <c r="C280" t="s">
        <v>247</v>
      </c>
      <c r="D280" t="s">
        <v>82</v>
      </c>
      <c r="E280" t="s">
        <v>25</v>
      </c>
      <c r="F280" t="s">
        <v>26</v>
      </c>
      <c r="G280">
        <v>8625</v>
      </c>
      <c r="H280">
        <v>0</v>
      </c>
      <c r="I280">
        <v>492</v>
      </c>
      <c r="J280">
        <v>0</v>
      </c>
      <c r="K280">
        <v>2.6481999999999999E-2</v>
      </c>
      <c r="L280">
        <v>8.6460670000000004</v>
      </c>
      <c r="M280" t="s">
        <v>27</v>
      </c>
      <c r="N280" t="s">
        <v>28</v>
      </c>
      <c r="O280" t="s">
        <v>113</v>
      </c>
      <c r="P280" t="s">
        <v>114</v>
      </c>
      <c r="Q280" t="s">
        <v>115</v>
      </c>
      <c r="R280" s="22">
        <f t="shared" si="20"/>
        <v>46288.825930022373</v>
      </c>
      <c r="S280" s="22">
        <f t="shared" si="21"/>
        <v>46288.82603009259</v>
      </c>
      <c r="T280" s="23">
        <f t="shared" si="22"/>
        <v>3.9999996777623892</v>
      </c>
      <c r="U280" s="23">
        <f t="shared" si="23"/>
        <v>3.9999996777623892</v>
      </c>
      <c r="V280" s="23">
        <f t="shared" si="24"/>
        <v>3.9999996777623892</v>
      </c>
    </row>
    <row r="281" spans="1:22" x14ac:dyDescent="0.35">
      <c r="A281" t="s">
        <v>224</v>
      </c>
      <c r="B281">
        <v>46</v>
      </c>
      <c r="C281" t="s">
        <v>248</v>
      </c>
      <c r="D281" t="s">
        <v>121</v>
      </c>
      <c r="E281" t="s">
        <v>25</v>
      </c>
      <c r="F281" t="s">
        <v>26</v>
      </c>
      <c r="G281">
        <v>6548</v>
      </c>
      <c r="H281">
        <v>0</v>
      </c>
      <c r="I281">
        <v>536</v>
      </c>
      <c r="J281">
        <v>0</v>
      </c>
      <c r="K281">
        <v>2.1729999999999999E-2</v>
      </c>
      <c r="L281">
        <v>6.3326609999999999</v>
      </c>
      <c r="M281" t="s">
        <v>27</v>
      </c>
      <c r="N281" t="s">
        <v>28</v>
      </c>
      <c r="O281" t="s">
        <v>122</v>
      </c>
      <c r="P281" t="s">
        <v>123</v>
      </c>
      <c r="Q281" t="s">
        <v>124</v>
      </c>
      <c r="R281" s="22">
        <f t="shared" si="20"/>
        <v>46288.82602624235</v>
      </c>
      <c r="S281" s="22">
        <f t="shared" si="21"/>
        <v>46288.826099537036</v>
      </c>
      <c r="T281" s="23">
        <f t="shared" si="22"/>
        <v>6.3326609088107944</v>
      </c>
      <c r="U281" s="23">
        <f t="shared" si="23"/>
        <v>6.0000001452863216</v>
      </c>
      <c r="V281" s="23">
        <f t="shared" si="24"/>
        <v>6.0000001452863216</v>
      </c>
    </row>
    <row r="282" spans="1:22" x14ac:dyDescent="0.35">
      <c r="A282" t="s">
        <v>224</v>
      </c>
      <c r="B282">
        <v>47</v>
      </c>
      <c r="C282" t="s">
        <v>249</v>
      </c>
      <c r="D282" t="s">
        <v>121</v>
      </c>
      <c r="E282" t="s">
        <v>25</v>
      </c>
      <c r="F282" t="s">
        <v>26</v>
      </c>
      <c r="G282">
        <v>6215</v>
      </c>
      <c r="H282">
        <v>0</v>
      </c>
      <c r="I282">
        <v>559</v>
      </c>
      <c r="J282">
        <v>0</v>
      </c>
      <c r="K282">
        <v>2.1128000000000001E-2</v>
      </c>
      <c r="L282">
        <v>6.8417729999999999</v>
      </c>
      <c r="M282" t="s">
        <v>27</v>
      </c>
      <c r="N282" t="s">
        <v>28</v>
      </c>
      <c r="O282" t="s">
        <v>122</v>
      </c>
      <c r="P282" t="s">
        <v>123</v>
      </c>
      <c r="Q282" t="s">
        <v>124</v>
      </c>
      <c r="R282" s="22">
        <f t="shared" si="20"/>
        <v>46288.826031923927</v>
      </c>
      <c r="S282" s="22">
        <f t="shared" si="21"/>
        <v>46288.826111111113</v>
      </c>
      <c r="T282" s="23">
        <f t="shared" si="22"/>
        <v>1.0000002337619662</v>
      </c>
      <c r="U282" s="23">
        <f t="shared" si="23"/>
        <v>1.0000002337619662</v>
      </c>
      <c r="V282" s="23">
        <f t="shared" si="24"/>
        <v>1.0000002337619662</v>
      </c>
    </row>
    <row r="283" spans="1:22" x14ac:dyDescent="0.35">
      <c r="A283" t="s">
        <v>224</v>
      </c>
      <c r="B283">
        <v>48</v>
      </c>
      <c r="C283" t="s">
        <v>250</v>
      </c>
      <c r="D283" t="s">
        <v>121</v>
      </c>
      <c r="E283" t="s">
        <v>25</v>
      </c>
      <c r="F283" t="s">
        <v>26</v>
      </c>
      <c r="G283">
        <v>7966</v>
      </c>
      <c r="H283">
        <v>0</v>
      </c>
      <c r="I283">
        <v>1084</v>
      </c>
      <c r="J283">
        <v>0</v>
      </c>
      <c r="K283">
        <v>3.0755000000000001E-2</v>
      </c>
      <c r="L283">
        <v>13.394437</v>
      </c>
      <c r="M283" t="s">
        <v>27</v>
      </c>
      <c r="N283" t="s">
        <v>28</v>
      </c>
      <c r="O283" t="s">
        <v>122</v>
      </c>
      <c r="P283" t="s">
        <v>123</v>
      </c>
      <c r="Q283" t="s">
        <v>124</v>
      </c>
      <c r="R283" s="22">
        <f t="shared" si="20"/>
        <v>46288.826106545872</v>
      </c>
      <c r="S283" s="22">
        <f t="shared" si="21"/>
        <v>46288.826261574075</v>
      </c>
      <c r="T283" s="23">
        <f t="shared" si="22"/>
        <v>0</v>
      </c>
      <c r="U283" s="23">
        <f t="shared" si="23"/>
        <v>0</v>
      </c>
      <c r="V283" s="23">
        <f t="shared" si="24"/>
        <v>0</v>
      </c>
    </row>
    <row r="284" spans="1:22" x14ac:dyDescent="0.35">
      <c r="A284" t="s">
        <v>224</v>
      </c>
      <c r="B284">
        <v>49</v>
      </c>
      <c r="C284" t="s">
        <v>250</v>
      </c>
      <c r="D284" t="s">
        <v>121</v>
      </c>
      <c r="E284" t="s">
        <v>25</v>
      </c>
      <c r="F284" t="s">
        <v>26</v>
      </c>
      <c r="G284">
        <v>6215</v>
      </c>
      <c r="H284">
        <v>0</v>
      </c>
      <c r="I284">
        <v>1138</v>
      </c>
      <c r="J284">
        <v>0</v>
      </c>
      <c r="K284">
        <v>2.6918000000000001E-2</v>
      </c>
      <c r="L284">
        <v>13.430795</v>
      </c>
      <c r="M284" t="s">
        <v>27</v>
      </c>
      <c r="N284" t="s">
        <v>28</v>
      </c>
      <c r="O284" t="s">
        <v>122</v>
      </c>
      <c r="P284" t="s">
        <v>123</v>
      </c>
      <c r="Q284" t="s">
        <v>124</v>
      </c>
      <c r="R284" s="22">
        <f t="shared" si="20"/>
        <v>46288.82610612506</v>
      </c>
      <c r="S284" s="22">
        <f t="shared" si="21"/>
        <v>46288.826261574075</v>
      </c>
      <c r="T284" s="23">
        <f t="shared" si="22"/>
        <v>12.999999895691872</v>
      </c>
      <c r="U284" s="23">
        <f t="shared" si="23"/>
        <v>12.999999895691872</v>
      </c>
      <c r="V284" s="23">
        <f t="shared" si="24"/>
        <v>12.999999895691872</v>
      </c>
    </row>
    <row r="285" spans="1:22" x14ac:dyDescent="0.35">
      <c r="A285" t="s">
        <v>224</v>
      </c>
      <c r="B285">
        <v>50</v>
      </c>
      <c r="C285" t="s">
        <v>251</v>
      </c>
      <c r="D285" t="s">
        <v>121</v>
      </c>
      <c r="E285" t="s">
        <v>25</v>
      </c>
      <c r="F285" t="s">
        <v>26</v>
      </c>
      <c r="G285">
        <v>8192</v>
      </c>
      <c r="H285">
        <v>0</v>
      </c>
      <c r="I285">
        <v>1098</v>
      </c>
      <c r="J285">
        <v>0</v>
      </c>
      <c r="K285">
        <v>3.1460000000000002E-2</v>
      </c>
      <c r="L285">
        <v>14.651584</v>
      </c>
      <c r="M285" t="s">
        <v>27</v>
      </c>
      <c r="N285" t="s">
        <v>28</v>
      </c>
      <c r="O285" t="s">
        <v>122</v>
      </c>
      <c r="P285" t="s">
        <v>123</v>
      </c>
      <c r="Q285" t="s">
        <v>124</v>
      </c>
      <c r="R285" s="22">
        <f t="shared" si="20"/>
        <v>46288.826115143704</v>
      </c>
      <c r="S285" s="22">
        <f t="shared" si="21"/>
        <v>46288.826284722221</v>
      </c>
      <c r="T285" s="23">
        <f t="shared" si="22"/>
        <v>0</v>
      </c>
      <c r="U285" s="23">
        <f t="shared" si="23"/>
        <v>0</v>
      </c>
      <c r="V285" s="23">
        <f t="shared" si="24"/>
        <v>0</v>
      </c>
    </row>
    <row r="286" spans="1:22" x14ac:dyDescent="0.35">
      <c r="A286" t="s">
        <v>224</v>
      </c>
      <c r="B286">
        <v>51</v>
      </c>
      <c r="C286" t="s">
        <v>252</v>
      </c>
      <c r="D286" t="s">
        <v>121</v>
      </c>
      <c r="E286" t="s">
        <v>25</v>
      </c>
      <c r="F286" t="s">
        <v>26</v>
      </c>
      <c r="G286">
        <v>10171</v>
      </c>
      <c r="H286">
        <v>0</v>
      </c>
      <c r="I286">
        <v>1554</v>
      </c>
      <c r="J286">
        <v>0</v>
      </c>
      <c r="K286">
        <v>4.0967000000000003E-2</v>
      </c>
      <c r="L286">
        <v>15.855116000000001</v>
      </c>
      <c r="M286" t="s">
        <v>27</v>
      </c>
      <c r="N286" t="s">
        <v>28</v>
      </c>
      <c r="O286" t="s">
        <v>122</v>
      </c>
      <c r="P286" t="s">
        <v>123</v>
      </c>
      <c r="Q286" t="s">
        <v>124</v>
      </c>
      <c r="R286" s="22">
        <f t="shared" si="20"/>
        <v>46288.826112788011</v>
      </c>
      <c r="S286" s="22">
        <f t="shared" si="21"/>
        <v>46288.826296296298</v>
      </c>
      <c r="T286" s="23">
        <f t="shared" si="22"/>
        <v>3.0000000726431608</v>
      </c>
      <c r="U286" s="23">
        <f t="shared" si="23"/>
        <v>3.0000000726431608</v>
      </c>
      <c r="V286" s="23">
        <f t="shared" si="24"/>
        <v>3.0000000726431608</v>
      </c>
    </row>
    <row r="287" spans="1:22" x14ac:dyDescent="0.35">
      <c r="A287" t="s">
        <v>224</v>
      </c>
      <c r="B287">
        <v>52</v>
      </c>
      <c r="C287" t="s">
        <v>253</v>
      </c>
      <c r="D287" t="s">
        <v>133</v>
      </c>
      <c r="E287" t="s">
        <v>25</v>
      </c>
      <c r="F287" t="s">
        <v>26</v>
      </c>
      <c r="G287">
        <v>2302</v>
      </c>
      <c r="H287">
        <v>0</v>
      </c>
      <c r="I287">
        <v>358</v>
      </c>
      <c r="J287">
        <v>0</v>
      </c>
      <c r="K287">
        <v>9.3349999999999995E-3</v>
      </c>
      <c r="L287">
        <v>4.4094879999999996</v>
      </c>
      <c r="M287" t="s">
        <v>27</v>
      </c>
      <c r="N287" t="s">
        <v>28</v>
      </c>
      <c r="O287" t="s">
        <v>122</v>
      </c>
      <c r="P287" t="s">
        <v>123</v>
      </c>
      <c r="Q287" t="s">
        <v>134</v>
      </c>
      <c r="R287" s="22">
        <f t="shared" si="20"/>
        <v>46288.826291556848</v>
      </c>
      <c r="S287" s="22">
        <f t="shared" si="21"/>
        <v>46288.826342592591</v>
      </c>
      <c r="T287" s="23">
        <f t="shared" si="22"/>
        <v>4.409488127566874</v>
      </c>
      <c r="U287" s="23">
        <f t="shared" si="23"/>
        <v>3.9999996777623892</v>
      </c>
      <c r="V287" s="23">
        <f t="shared" si="24"/>
        <v>3.9999996777623892</v>
      </c>
    </row>
    <row r="288" spans="1:22" x14ac:dyDescent="0.35">
      <c r="A288" t="s">
        <v>254</v>
      </c>
      <c r="B288">
        <v>1</v>
      </c>
      <c r="C288" t="s">
        <v>255</v>
      </c>
      <c r="D288" t="s">
        <v>24</v>
      </c>
      <c r="E288" t="s">
        <v>25</v>
      </c>
      <c r="F288" t="s">
        <v>26</v>
      </c>
      <c r="G288">
        <v>1180</v>
      </c>
      <c r="H288">
        <v>1024</v>
      </c>
      <c r="I288">
        <v>59</v>
      </c>
      <c r="J288">
        <v>0</v>
      </c>
      <c r="K288">
        <v>2.2599999999999999E-3</v>
      </c>
      <c r="L288">
        <v>1.989169</v>
      </c>
      <c r="M288" t="s">
        <v>27</v>
      </c>
      <c r="N288" t="s">
        <v>28</v>
      </c>
      <c r="O288" t="s">
        <v>29</v>
      </c>
      <c r="P288" t="s">
        <v>30</v>
      </c>
      <c r="Q288" t="s">
        <v>31</v>
      </c>
      <c r="R288" s="22">
        <f t="shared" si="20"/>
        <v>46288.826574199433</v>
      </c>
      <c r="S288" s="22">
        <f t="shared" si="21"/>
        <v>46288.826597222222</v>
      </c>
      <c r="T288" s="23">
        <f t="shared" si="22"/>
        <v>1.9891689531505108</v>
      </c>
      <c r="U288" s="23">
        <f t="shared" si="23"/>
        <v>1.9891689531505108</v>
      </c>
      <c r="V288" s="23">
        <f t="shared" si="24"/>
        <v>1.9891689531505108</v>
      </c>
    </row>
    <row r="289" spans="1:22" x14ac:dyDescent="0.35">
      <c r="A289" t="s">
        <v>254</v>
      </c>
      <c r="B289">
        <v>2</v>
      </c>
      <c r="C289" t="s">
        <v>256</v>
      </c>
      <c r="D289" t="s">
        <v>33</v>
      </c>
      <c r="E289" t="s">
        <v>25</v>
      </c>
      <c r="F289" t="s">
        <v>34</v>
      </c>
      <c r="G289">
        <v>431</v>
      </c>
      <c r="H289">
        <v>0</v>
      </c>
      <c r="I289">
        <v>83</v>
      </c>
      <c r="J289">
        <v>0</v>
      </c>
      <c r="K289">
        <v>1.1400000000000001E-4</v>
      </c>
      <c r="L289">
        <v>1.5741400000000001</v>
      </c>
      <c r="M289" t="s">
        <v>27</v>
      </c>
      <c r="N289" t="s">
        <v>28</v>
      </c>
      <c r="O289" t="s">
        <v>35</v>
      </c>
      <c r="P289" t="s">
        <v>36</v>
      </c>
      <c r="Q289" t="s">
        <v>37</v>
      </c>
      <c r="R289" s="22">
        <f t="shared" si="20"/>
        <v>46288.826602151152</v>
      </c>
      <c r="S289" s="22">
        <f t="shared" si="21"/>
        <v>46288.826620370368</v>
      </c>
      <c r="T289" s="23">
        <f t="shared" si="22"/>
        <v>1.5741402748972178</v>
      </c>
      <c r="U289" s="23">
        <f t="shared" si="23"/>
        <v>1.5741402748972178</v>
      </c>
      <c r="V289" s="23">
        <f t="shared" si="24"/>
        <v>1.5741402748972178</v>
      </c>
    </row>
    <row r="290" spans="1:22" x14ac:dyDescent="0.35">
      <c r="A290" t="s">
        <v>254</v>
      </c>
      <c r="B290">
        <v>3</v>
      </c>
      <c r="C290" t="s">
        <v>257</v>
      </c>
      <c r="D290" t="s">
        <v>39</v>
      </c>
      <c r="E290" t="s">
        <v>40</v>
      </c>
      <c r="F290" t="s">
        <v>41</v>
      </c>
      <c r="G290">
        <v>681</v>
      </c>
      <c r="H290">
        <v>0</v>
      </c>
      <c r="I290">
        <v>1309</v>
      </c>
      <c r="J290">
        <v>5.0000000000000001E-3</v>
      </c>
      <c r="K290">
        <v>6.9899999999999997E-3</v>
      </c>
      <c r="L290">
        <v>15.542883</v>
      </c>
      <c r="M290" t="s">
        <v>27</v>
      </c>
      <c r="N290" t="s">
        <v>42</v>
      </c>
      <c r="O290" t="s">
        <v>43</v>
      </c>
      <c r="P290" t="s">
        <v>44</v>
      </c>
      <c r="Q290" t="s">
        <v>45</v>
      </c>
      <c r="R290" s="22">
        <f t="shared" si="20"/>
        <v>46288.826614087004</v>
      </c>
      <c r="S290" s="22">
        <f t="shared" si="21"/>
        <v>46288.826793981483</v>
      </c>
      <c r="T290" s="23">
        <f t="shared" si="22"/>
        <v>15.54288303013891</v>
      </c>
      <c r="U290" s="23">
        <f t="shared" si="23"/>
        <v>15.54288303013891</v>
      </c>
      <c r="V290" s="23">
        <f t="shared" si="24"/>
        <v>15.000000363215804</v>
      </c>
    </row>
    <row r="291" spans="1:22" x14ac:dyDescent="0.35">
      <c r="A291" t="s">
        <v>254</v>
      </c>
      <c r="B291">
        <v>4</v>
      </c>
      <c r="C291" t="s">
        <v>258</v>
      </c>
      <c r="D291" t="s">
        <v>55</v>
      </c>
      <c r="E291" t="s">
        <v>25</v>
      </c>
      <c r="F291" t="s">
        <v>26</v>
      </c>
      <c r="G291">
        <v>11008</v>
      </c>
      <c r="H291">
        <v>0</v>
      </c>
      <c r="I291">
        <v>1787</v>
      </c>
      <c r="J291">
        <v>0</v>
      </c>
      <c r="K291">
        <v>4.539E-2</v>
      </c>
      <c r="L291">
        <v>23.771246999999999</v>
      </c>
      <c r="M291" t="s">
        <v>27</v>
      </c>
      <c r="N291" t="s">
        <v>28</v>
      </c>
      <c r="O291" t="s">
        <v>56</v>
      </c>
      <c r="P291" t="s">
        <v>57</v>
      </c>
      <c r="Q291" t="s">
        <v>58</v>
      </c>
      <c r="R291" s="22">
        <f t="shared" si="20"/>
        <v>46288.826796629088</v>
      </c>
      <c r="S291" s="22">
        <f t="shared" si="21"/>
        <v>46288.82707175926</v>
      </c>
      <c r="T291" s="23">
        <f t="shared" si="22"/>
        <v>23.771246918477118</v>
      </c>
      <c r="U291" s="23">
        <f t="shared" si="23"/>
        <v>23.771246918477118</v>
      </c>
      <c r="V291" s="23">
        <f t="shared" si="24"/>
        <v>23.771246918477118</v>
      </c>
    </row>
    <row r="292" spans="1:22" x14ac:dyDescent="0.35">
      <c r="A292" t="s">
        <v>254</v>
      </c>
      <c r="B292">
        <v>5</v>
      </c>
      <c r="C292" t="s">
        <v>259</v>
      </c>
      <c r="D292" t="s">
        <v>61</v>
      </c>
      <c r="E292" t="s">
        <v>25</v>
      </c>
      <c r="F292" t="s">
        <v>62</v>
      </c>
      <c r="G292">
        <v>4</v>
      </c>
      <c r="H292">
        <v>0</v>
      </c>
      <c r="I292">
        <v>0</v>
      </c>
      <c r="J292">
        <v>0</v>
      </c>
      <c r="K292">
        <v>0</v>
      </c>
      <c r="L292">
        <v>0.49798900000000001</v>
      </c>
      <c r="M292" t="s">
        <v>27</v>
      </c>
      <c r="N292" t="s">
        <v>63</v>
      </c>
      <c r="O292" t="s">
        <v>64</v>
      </c>
      <c r="P292" t="s">
        <v>65</v>
      </c>
      <c r="Q292" t="s">
        <v>66</v>
      </c>
      <c r="R292" s="22">
        <f t="shared" si="20"/>
        <v>46288.827077569571</v>
      </c>
      <c r="S292" s="22">
        <f t="shared" si="21"/>
        <v>46288.82708333333</v>
      </c>
      <c r="T292" s="23">
        <f t="shared" si="22"/>
        <v>0.49798877444118261</v>
      </c>
      <c r="U292" s="23">
        <f t="shared" si="23"/>
        <v>0.49798877444118261</v>
      </c>
      <c r="V292" s="23">
        <f t="shared" si="24"/>
        <v>0.49798877444118261</v>
      </c>
    </row>
    <row r="293" spans="1:22" x14ac:dyDescent="0.35">
      <c r="A293" t="s">
        <v>254</v>
      </c>
      <c r="B293">
        <v>6</v>
      </c>
      <c r="C293" t="s">
        <v>259</v>
      </c>
      <c r="D293" t="s">
        <v>61</v>
      </c>
      <c r="E293" t="s">
        <v>25</v>
      </c>
      <c r="F293" t="s">
        <v>62</v>
      </c>
      <c r="G293">
        <v>3</v>
      </c>
      <c r="H293">
        <v>0</v>
      </c>
      <c r="I293">
        <v>0</v>
      </c>
      <c r="J293">
        <v>0</v>
      </c>
      <c r="K293">
        <v>0</v>
      </c>
      <c r="L293">
        <v>0.217309</v>
      </c>
      <c r="M293" t="s">
        <v>27</v>
      </c>
      <c r="N293" t="s">
        <v>63</v>
      </c>
      <c r="O293" t="s">
        <v>64</v>
      </c>
      <c r="P293" t="s">
        <v>65</v>
      </c>
      <c r="Q293" t="s">
        <v>66</v>
      </c>
      <c r="R293" s="22">
        <f t="shared" si="20"/>
        <v>46288.827080818177</v>
      </c>
      <c r="S293" s="22">
        <f t="shared" si="21"/>
        <v>46288.82708333333</v>
      </c>
      <c r="T293" s="23">
        <f t="shared" si="22"/>
        <v>0</v>
      </c>
      <c r="U293" s="23">
        <f t="shared" si="23"/>
        <v>0</v>
      </c>
      <c r="V293" s="23">
        <f t="shared" si="24"/>
        <v>0</v>
      </c>
    </row>
    <row r="294" spans="1:22" x14ac:dyDescent="0.35">
      <c r="A294" t="s">
        <v>254</v>
      </c>
      <c r="B294">
        <v>7</v>
      </c>
      <c r="C294" t="s">
        <v>259</v>
      </c>
      <c r="D294" t="s">
        <v>61</v>
      </c>
      <c r="E294" t="s">
        <v>25</v>
      </c>
      <c r="F294" t="s">
        <v>62</v>
      </c>
      <c r="G294">
        <v>5</v>
      </c>
      <c r="H294">
        <v>0</v>
      </c>
      <c r="I294">
        <v>0</v>
      </c>
      <c r="J294">
        <v>0</v>
      </c>
      <c r="K294">
        <v>0</v>
      </c>
      <c r="L294">
        <v>0.354408</v>
      </c>
      <c r="M294" t="s">
        <v>27</v>
      </c>
      <c r="N294" t="s">
        <v>63</v>
      </c>
      <c r="O294" t="s">
        <v>64</v>
      </c>
      <c r="P294" t="s">
        <v>65</v>
      </c>
      <c r="Q294" t="s">
        <v>66</v>
      </c>
      <c r="R294" s="22">
        <f t="shared" si="20"/>
        <v>46288.827079231385</v>
      </c>
      <c r="S294" s="22">
        <f t="shared" si="21"/>
        <v>46288.82708333333</v>
      </c>
      <c r="T294" s="23">
        <f t="shared" si="22"/>
        <v>0</v>
      </c>
      <c r="U294" s="23">
        <f t="shared" si="23"/>
        <v>0</v>
      </c>
      <c r="V294" s="23">
        <f t="shared" si="24"/>
        <v>0</v>
      </c>
    </row>
    <row r="295" spans="1:22" x14ac:dyDescent="0.35">
      <c r="A295" t="s">
        <v>254</v>
      </c>
      <c r="B295">
        <v>8</v>
      </c>
      <c r="C295" t="s">
        <v>260</v>
      </c>
      <c r="D295" t="s">
        <v>61</v>
      </c>
      <c r="E295" t="s">
        <v>25</v>
      </c>
      <c r="F295" t="s">
        <v>62</v>
      </c>
      <c r="G295">
        <v>6</v>
      </c>
      <c r="H295">
        <v>0</v>
      </c>
      <c r="I295">
        <v>0</v>
      </c>
      <c r="J295">
        <v>0</v>
      </c>
      <c r="K295">
        <v>0</v>
      </c>
      <c r="L295">
        <v>0.21810599999999999</v>
      </c>
      <c r="M295" t="s">
        <v>27</v>
      </c>
      <c r="N295" t="s">
        <v>63</v>
      </c>
      <c r="O295" t="s">
        <v>64</v>
      </c>
      <c r="P295" t="s">
        <v>65</v>
      </c>
      <c r="Q295" t="s">
        <v>66</v>
      </c>
      <c r="R295" s="22">
        <f t="shared" si="20"/>
        <v>46288.827092383035</v>
      </c>
      <c r="S295" s="22">
        <f t="shared" si="21"/>
        <v>46288.827094907407</v>
      </c>
      <c r="T295" s="23">
        <f t="shared" si="22"/>
        <v>0.21810571197420359</v>
      </c>
      <c r="U295" s="23">
        <f t="shared" si="23"/>
        <v>0.21810571197420359</v>
      </c>
      <c r="V295" s="23">
        <f t="shared" si="24"/>
        <v>0.21810571197420359</v>
      </c>
    </row>
    <row r="296" spans="1:22" x14ac:dyDescent="0.35">
      <c r="A296" t="s">
        <v>254</v>
      </c>
      <c r="B296">
        <v>9</v>
      </c>
      <c r="C296" t="s">
        <v>260</v>
      </c>
      <c r="D296" t="s">
        <v>61</v>
      </c>
      <c r="E296" t="s">
        <v>25</v>
      </c>
      <c r="F296" t="s">
        <v>62</v>
      </c>
      <c r="G296">
        <v>5</v>
      </c>
      <c r="H296">
        <v>0</v>
      </c>
      <c r="I296">
        <v>0</v>
      </c>
      <c r="J296">
        <v>0</v>
      </c>
      <c r="K296">
        <v>0</v>
      </c>
      <c r="L296">
        <v>0.203593</v>
      </c>
      <c r="M296" t="s">
        <v>27</v>
      </c>
      <c r="N296" t="s">
        <v>63</v>
      </c>
      <c r="O296" t="s">
        <v>64</v>
      </c>
      <c r="P296" t="s">
        <v>65</v>
      </c>
      <c r="Q296" t="s">
        <v>66</v>
      </c>
      <c r="R296" s="22">
        <f t="shared" si="20"/>
        <v>46288.827092551008</v>
      </c>
      <c r="S296" s="22">
        <f t="shared" si="21"/>
        <v>46288.827094907407</v>
      </c>
      <c r="T296" s="23">
        <f t="shared" si="22"/>
        <v>0</v>
      </c>
      <c r="U296" s="23">
        <f t="shared" si="23"/>
        <v>0</v>
      </c>
      <c r="V296" s="23">
        <f t="shared" si="24"/>
        <v>0</v>
      </c>
    </row>
    <row r="297" spans="1:22" x14ac:dyDescent="0.35">
      <c r="A297" t="s">
        <v>254</v>
      </c>
      <c r="B297">
        <v>10</v>
      </c>
      <c r="C297" t="s">
        <v>261</v>
      </c>
      <c r="D297" t="s">
        <v>61</v>
      </c>
      <c r="E297" t="s">
        <v>25</v>
      </c>
      <c r="F297" t="s">
        <v>62</v>
      </c>
      <c r="G297">
        <v>7</v>
      </c>
      <c r="H297">
        <v>0</v>
      </c>
      <c r="I297">
        <v>0</v>
      </c>
      <c r="J297">
        <v>0</v>
      </c>
      <c r="K297">
        <v>0</v>
      </c>
      <c r="L297">
        <v>0.353439</v>
      </c>
      <c r="M297" t="s">
        <v>27</v>
      </c>
      <c r="N297" t="s">
        <v>63</v>
      </c>
      <c r="O297" t="s">
        <v>64</v>
      </c>
      <c r="P297" t="s">
        <v>65</v>
      </c>
      <c r="Q297" t="s">
        <v>66</v>
      </c>
      <c r="R297" s="22">
        <f t="shared" si="20"/>
        <v>46288.827102390751</v>
      </c>
      <c r="S297" s="22">
        <f t="shared" si="21"/>
        <v>46288.827106481483</v>
      </c>
      <c r="T297" s="23">
        <f t="shared" si="22"/>
        <v>0.35343929193913937</v>
      </c>
      <c r="U297" s="23">
        <f t="shared" si="23"/>
        <v>0.35343929193913937</v>
      </c>
      <c r="V297" s="23">
        <f t="shared" si="24"/>
        <v>0.35343929193913937</v>
      </c>
    </row>
    <row r="298" spans="1:22" x14ac:dyDescent="0.35">
      <c r="A298" t="s">
        <v>254</v>
      </c>
      <c r="B298">
        <v>11</v>
      </c>
      <c r="C298" t="s">
        <v>261</v>
      </c>
      <c r="D298" t="s">
        <v>61</v>
      </c>
      <c r="E298" t="s">
        <v>25</v>
      </c>
      <c r="F298" t="s">
        <v>62</v>
      </c>
      <c r="G298">
        <v>3</v>
      </c>
      <c r="H298">
        <v>0</v>
      </c>
      <c r="I298">
        <v>0</v>
      </c>
      <c r="J298">
        <v>0</v>
      </c>
      <c r="K298">
        <v>0</v>
      </c>
      <c r="L298">
        <v>0.273621</v>
      </c>
      <c r="M298" t="s">
        <v>27</v>
      </c>
      <c r="N298" t="s">
        <v>63</v>
      </c>
      <c r="O298" t="s">
        <v>64</v>
      </c>
      <c r="P298" t="s">
        <v>65</v>
      </c>
      <c r="Q298" t="s">
        <v>66</v>
      </c>
      <c r="R298" s="22">
        <f t="shared" si="20"/>
        <v>46288.827103314572</v>
      </c>
      <c r="S298" s="22">
        <f t="shared" si="21"/>
        <v>46288.827106481483</v>
      </c>
      <c r="T298" s="23">
        <f t="shared" si="22"/>
        <v>0</v>
      </c>
      <c r="U298" s="23">
        <f t="shared" si="23"/>
        <v>0</v>
      </c>
      <c r="V298" s="23">
        <f t="shared" si="24"/>
        <v>0</v>
      </c>
    </row>
    <row r="299" spans="1:22" x14ac:dyDescent="0.35">
      <c r="A299" t="s">
        <v>254</v>
      </c>
      <c r="B299">
        <v>12</v>
      </c>
      <c r="C299" t="s">
        <v>261</v>
      </c>
      <c r="D299" t="s">
        <v>61</v>
      </c>
      <c r="E299" t="s">
        <v>25</v>
      </c>
      <c r="F299" t="s">
        <v>62</v>
      </c>
      <c r="G299">
        <v>6</v>
      </c>
      <c r="H299">
        <v>0</v>
      </c>
      <c r="I299">
        <v>0</v>
      </c>
      <c r="J299">
        <v>0</v>
      </c>
      <c r="K299">
        <v>0</v>
      </c>
      <c r="L299">
        <v>0.32266299999999998</v>
      </c>
      <c r="M299" t="s">
        <v>27</v>
      </c>
      <c r="N299" t="s">
        <v>63</v>
      </c>
      <c r="O299" t="s">
        <v>64</v>
      </c>
      <c r="P299" t="s">
        <v>65</v>
      </c>
      <c r="Q299" t="s">
        <v>66</v>
      </c>
      <c r="R299" s="22">
        <f t="shared" si="20"/>
        <v>46288.82710274696</v>
      </c>
      <c r="S299" s="22">
        <f t="shared" si="21"/>
        <v>46288.827106481483</v>
      </c>
      <c r="T299" s="23">
        <f t="shared" si="22"/>
        <v>0</v>
      </c>
      <c r="U299" s="23">
        <f t="shared" si="23"/>
        <v>0</v>
      </c>
      <c r="V299" s="23">
        <f t="shared" si="24"/>
        <v>0</v>
      </c>
    </row>
    <row r="300" spans="1:22" x14ac:dyDescent="0.35">
      <c r="A300" t="s">
        <v>254</v>
      </c>
      <c r="B300">
        <v>13</v>
      </c>
      <c r="C300" t="s">
        <v>262</v>
      </c>
      <c r="D300" t="s">
        <v>61</v>
      </c>
      <c r="E300" t="s">
        <v>25</v>
      </c>
      <c r="F300" t="s">
        <v>62</v>
      </c>
      <c r="G300">
        <v>3</v>
      </c>
      <c r="H300">
        <v>0</v>
      </c>
      <c r="I300">
        <v>0</v>
      </c>
      <c r="J300">
        <v>0</v>
      </c>
      <c r="K300">
        <v>0</v>
      </c>
      <c r="L300">
        <v>0.29129500000000003</v>
      </c>
      <c r="M300" t="s">
        <v>27</v>
      </c>
      <c r="N300" t="s">
        <v>63</v>
      </c>
      <c r="O300" t="s">
        <v>64</v>
      </c>
      <c r="P300" t="s">
        <v>65</v>
      </c>
      <c r="Q300" t="s">
        <v>66</v>
      </c>
      <c r="R300" s="22">
        <f t="shared" si="20"/>
        <v>46288.827114684085</v>
      </c>
      <c r="S300" s="22">
        <f t="shared" si="21"/>
        <v>46288.827118055553</v>
      </c>
      <c r="T300" s="23">
        <f t="shared" si="22"/>
        <v>0.2912948140874505</v>
      </c>
      <c r="U300" s="23">
        <f t="shared" si="23"/>
        <v>0.2912948140874505</v>
      </c>
      <c r="V300" s="23">
        <f t="shared" si="24"/>
        <v>0.2912948140874505</v>
      </c>
    </row>
    <row r="301" spans="1:22" x14ac:dyDescent="0.35">
      <c r="A301" t="s">
        <v>254</v>
      </c>
      <c r="B301">
        <v>14</v>
      </c>
      <c r="C301" t="s">
        <v>262</v>
      </c>
      <c r="D301" t="s">
        <v>61</v>
      </c>
      <c r="E301" t="s">
        <v>25</v>
      </c>
      <c r="F301" t="s">
        <v>62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0.21446299999999999</v>
      </c>
      <c r="M301" t="s">
        <v>27</v>
      </c>
      <c r="N301" t="s">
        <v>63</v>
      </c>
      <c r="O301" t="s">
        <v>64</v>
      </c>
      <c r="P301" t="s">
        <v>65</v>
      </c>
      <c r="Q301" t="s">
        <v>66</v>
      </c>
      <c r="R301" s="22">
        <f t="shared" si="20"/>
        <v>46288.827115573346</v>
      </c>
      <c r="S301" s="22">
        <f t="shared" si="21"/>
        <v>46288.827118055553</v>
      </c>
      <c r="T301" s="23">
        <f t="shared" si="22"/>
        <v>0</v>
      </c>
      <c r="U301" s="23">
        <f t="shared" si="23"/>
        <v>0</v>
      </c>
      <c r="V301" s="23">
        <f t="shared" si="24"/>
        <v>0</v>
      </c>
    </row>
    <row r="302" spans="1:22" x14ac:dyDescent="0.35">
      <c r="A302" t="s">
        <v>254</v>
      </c>
      <c r="B302">
        <v>15</v>
      </c>
      <c r="C302" t="s">
        <v>263</v>
      </c>
      <c r="D302" t="s">
        <v>61</v>
      </c>
      <c r="E302" t="s">
        <v>25</v>
      </c>
      <c r="F302" t="s">
        <v>62</v>
      </c>
      <c r="G302">
        <v>8</v>
      </c>
      <c r="H302">
        <v>0</v>
      </c>
      <c r="I302">
        <v>0</v>
      </c>
      <c r="J302">
        <v>0</v>
      </c>
      <c r="K302">
        <v>0</v>
      </c>
      <c r="L302">
        <v>0.200932</v>
      </c>
      <c r="M302" t="s">
        <v>27</v>
      </c>
      <c r="N302" t="s">
        <v>63</v>
      </c>
      <c r="O302" t="s">
        <v>64</v>
      </c>
      <c r="P302" t="s">
        <v>65</v>
      </c>
      <c r="Q302" t="s">
        <v>66</v>
      </c>
      <c r="R302" s="22">
        <f t="shared" si="20"/>
        <v>46288.82712730403</v>
      </c>
      <c r="S302" s="22">
        <f t="shared" si="21"/>
        <v>46288.82712962963</v>
      </c>
      <c r="T302" s="23">
        <f t="shared" si="22"/>
        <v>0</v>
      </c>
      <c r="U302" s="23">
        <f t="shared" si="23"/>
        <v>0</v>
      </c>
      <c r="V302" s="23">
        <f t="shared" si="24"/>
        <v>0</v>
      </c>
    </row>
    <row r="303" spans="1:22" x14ac:dyDescent="0.35">
      <c r="A303" t="s">
        <v>254</v>
      </c>
      <c r="B303">
        <v>16</v>
      </c>
      <c r="C303" t="s">
        <v>263</v>
      </c>
      <c r="D303" t="s">
        <v>61</v>
      </c>
      <c r="E303" t="s">
        <v>25</v>
      </c>
      <c r="F303" t="s">
        <v>62</v>
      </c>
      <c r="G303">
        <v>2</v>
      </c>
      <c r="H303">
        <v>0</v>
      </c>
      <c r="I303">
        <v>0</v>
      </c>
      <c r="J303">
        <v>0</v>
      </c>
      <c r="K303">
        <v>0</v>
      </c>
      <c r="L303">
        <v>0.22203899999999999</v>
      </c>
      <c r="M303" t="s">
        <v>27</v>
      </c>
      <c r="N303" t="s">
        <v>63</v>
      </c>
      <c r="O303" t="s">
        <v>64</v>
      </c>
      <c r="P303" t="s">
        <v>65</v>
      </c>
      <c r="Q303" t="s">
        <v>66</v>
      </c>
      <c r="R303" s="22">
        <f t="shared" si="20"/>
        <v>46288.827127059732</v>
      </c>
      <c r="S303" s="22">
        <f t="shared" si="21"/>
        <v>46288.82712962963</v>
      </c>
      <c r="T303" s="23">
        <f t="shared" si="22"/>
        <v>0.22203912958502769</v>
      </c>
      <c r="U303" s="23">
        <f t="shared" si="23"/>
        <v>0.22203912958502769</v>
      </c>
      <c r="V303" s="23">
        <f t="shared" si="24"/>
        <v>0.22203912958502769</v>
      </c>
    </row>
    <row r="304" spans="1:22" x14ac:dyDescent="0.35">
      <c r="A304" t="s">
        <v>254</v>
      </c>
      <c r="B304">
        <v>17</v>
      </c>
      <c r="C304" t="s">
        <v>263</v>
      </c>
      <c r="D304" t="s">
        <v>61</v>
      </c>
      <c r="E304" t="s">
        <v>25</v>
      </c>
      <c r="F304" t="s">
        <v>62</v>
      </c>
      <c r="G304">
        <v>3</v>
      </c>
      <c r="H304">
        <v>0</v>
      </c>
      <c r="I304">
        <v>0</v>
      </c>
      <c r="J304">
        <v>0</v>
      </c>
      <c r="K304">
        <v>0</v>
      </c>
      <c r="L304">
        <v>0.191245</v>
      </c>
      <c r="M304" t="s">
        <v>27</v>
      </c>
      <c r="N304" t="s">
        <v>63</v>
      </c>
      <c r="O304" t="s">
        <v>64</v>
      </c>
      <c r="P304" t="s">
        <v>65</v>
      </c>
      <c r="Q304" t="s">
        <v>66</v>
      </c>
      <c r="R304" s="22">
        <f t="shared" si="20"/>
        <v>46288.827127416145</v>
      </c>
      <c r="S304" s="22">
        <f t="shared" si="21"/>
        <v>46288.82712962963</v>
      </c>
      <c r="T304" s="23">
        <f t="shared" si="22"/>
        <v>0</v>
      </c>
      <c r="U304" s="23">
        <f t="shared" si="23"/>
        <v>0</v>
      </c>
      <c r="V304" s="23">
        <f t="shared" si="24"/>
        <v>0</v>
      </c>
    </row>
    <row r="305" spans="1:22" x14ac:dyDescent="0.35">
      <c r="A305" t="s">
        <v>254</v>
      </c>
      <c r="B305">
        <v>18</v>
      </c>
      <c r="C305" t="s">
        <v>264</v>
      </c>
      <c r="D305" t="s">
        <v>61</v>
      </c>
      <c r="E305" t="s">
        <v>25</v>
      </c>
      <c r="F305" t="s">
        <v>62</v>
      </c>
      <c r="G305">
        <v>4</v>
      </c>
      <c r="H305">
        <v>0</v>
      </c>
      <c r="I305">
        <v>0</v>
      </c>
      <c r="J305">
        <v>0</v>
      </c>
      <c r="K305">
        <v>0</v>
      </c>
      <c r="L305">
        <v>0.216225</v>
      </c>
      <c r="M305" t="s">
        <v>27</v>
      </c>
      <c r="N305" t="s">
        <v>63</v>
      </c>
      <c r="O305" t="s">
        <v>64</v>
      </c>
      <c r="P305" t="s">
        <v>65</v>
      </c>
      <c r="Q305" t="s">
        <v>66</v>
      </c>
      <c r="R305" s="22">
        <f t="shared" si="20"/>
        <v>46288.827138701105</v>
      </c>
      <c r="S305" s="22">
        <f t="shared" si="21"/>
        <v>46288.827141203707</v>
      </c>
      <c r="T305" s="23">
        <f t="shared" si="22"/>
        <v>0</v>
      </c>
      <c r="U305" s="23">
        <f t="shared" si="23"/>
        <v>0</v>
      </c>
      <c r="V305" s="23">
        <f t="shared" si="24"/>
        <v>0</v>
      </c>
    </row>
    <row r="306" spans="1:22" x14ac:dyDescent="0.35">
      <c r="A306" t="s">
        <v>254</v>
      </c>
      <c r="B306">
        <v>19</v>
      </c>
      <c r="C306" t="s">
        <v>264</v>
      </c>
      <c r="D306" t="s">
        <v>61</v>
      </c>
      <c r="E306" t="s">
        <v>25</v>
      </c>
      <c r="F306" t="s">
        <v>62</v>
      </c>
      <c r="G306">
        <v>3</v>
      </c>
      <c r="H306">
        <v>0</v>
      </c>
      <c r="I306">
        <v>0</v>
      </c>
      <c r="J306">
        <v>0</v>
      </c>
      <c r="K306">
        <v>0</v>
      </c>
      <c r="L306">
        <v>0.20329</v>
      </c>
      <c r="M306" t="s">
        <v>27</v>
      </c>
      <c r="N306" t="s">
        <v>63</v>
      </c>
      <c r="O306" t="s">
        <v>64</v>
      </c>
      <c r="P306" t="s">
        <v>65</v>
      </c>
      <c r="Q306" t="s">
        <v>66</v>
      </c>
      <c r="R306" s="22">
        <f t="shared" si="20"/>
        <v>46288.827138850815</v>
      </c>
      <c r="S306" s="22">
        <f t="shared" si="21"/>
        <v>46288.827141203707</v>
      </c>
      <c r="T306" s="23">
        <f t="shared" si="22"/>
        <v>0</v>
      </c>
      <c r="U306" s="23">
        <f t="shared" si="23"/>
        <v>0</v>
      </c>
      <c r="V306" s="23">
        <f t="shared" si="24"/>
        <v>0</v>
      </c>
    </row>
    <row r="307" spans="1:22" x14ac:dyDescent="0.35">
      <c r="A307" t="s">
        <v>254</v>
      </c>
      <c r="B307">
        <v>20</v>
      </c>
      <c r="C307" t="s">
        <v>264</v>
      </c>
      <c r="D307" t="s">
        <v>61</v>
      </c>
      <c r="E307" t="s">
        <v>25</v>
      </c>
      <c r="F307" t="s">
        <v>62</v>
      </c>
      <c r="G307">
        <v>19</v>
      </c>
      <c r="H307">
        <v>0</v>
      </c>
      <c r="I307">
        <v>0</v>
      </c>
      <c r="J307">
        <v>0</v>
      </c>
      <c r="K307">
        <v>0</v>
      </c>
      <c r="L307">
        <v>0.220944</v>
      </c>
      <c r="M307" t="s">
        <v>27</v>
      </c>
      <c r="N307" t="s">
        <v>63</v>
      </c>
      <c r="O307" t="s">
        <v>64</v>
      </c>
      <c r="P307" t="s">
        <v>65</v>
      </c>
      <c r="Q307" t="s">
        <v>66</v>
      </c>
      <c r="R307" s="22">
        <f t="shared" si="20"/>
        <v>46288.827138646484</v>
      </c>
      <c r="S307" s="22">
        <f t="shared" si="21"/>
        <v>46288.827141203707</v>
      </c>
      <c r="T307" s="23">
        <f t="shared" si="22"/>
        <v>0.22094403393566608</v>
      </c>
      <c r="U307" s="23">
        <f t="shared" si="23"/>
        <v>0.22094403393566608</v>
      </c>
      <c r="V307" s="23">
        <f t="shared" si="24"/>
        <v>0.22094403393566608</v>
      </c>
    </row>
    <row r="308" spans="1:22" x14ac:dyDescent="0.35">
      <c r="A308" t="s">
        <v>254</v>
      </c>
      <c r="B308">
        <v>21</v>
      </c>
      <c r="C308" t="s">
        <v>265</v>
      </c>
      <c r="D308" t="s">
        <v>61</v>
      </c>
      <c r="E308" t="s">
        <v>25</v>
      </c>
      <c r="F308" t="s">
        <v>62</v>
      </c>
      <c r="G308">
        <v>2</v>
      </c>
      <c r="H308">
        <v>0</v>
      </c>
      <c r="I308">
        <v>0</v>
      </c>
      <c r="J308">
        <v>0</v>
      </c>
      <c r="K308">
        <v>0</v>
      </c>
      <c r="L308">
        <v>0.20491400000000001</v>
      </c>
      <c r="M308" t="s">
        <v>27</v>
      </c>
      <c r="N308" t="s">
        <v>63</v>
      </c>
      <c r="O308" t="s">
        <v>64</v>
      </c>
      <c r="P308" t="s">
        <v>65</v>
      </c>
      <c r="Q308" t="s">
        <v>66</v>
      </c>
      <c r="R308" s="22">
        <f t="shared" si="20"/>
        <v>46288.82716198016</v>
      </c>
      <c r="S308" s="22">
        <f t="shared" si="21"/>
        <v>46288.827164351853</v>
      </c>
      <c r="T308" s="23">
        <f t="shared" si="22"/>
        <v>0</v>
      </c>
      <c r="U308" s="23">
        <f t="shared" si="23"/>
        <v>0</v>
      </c>
      <c r="V308" s="23">
        <f t="shared" si="24"/>
        <v>0</v>
      </c>
    </row>
    <row r="309" spans="1:22" x14ac:dyDescent="0.35">
      <c r="A309" t="s">
        <v>254</v>
      </c>
      <c r="B309">
        <v>22</v>
      </c>
      <c r="C309" t="s">
        <v>265</v>
      </c>
      <c r="D309" t="s">
        <v>61</v>
      </c>
      <c r="E309" t="s">
        <v>25</v>
      </c>
      <c r="F309" t="s">
        <v>62</v>
      </c>
      <c r="G309">
        <v>4</v>
      </c>
      <c r="H309">
        <v>0</v>
      </c>
      <c r="I309">
        <v>0</v>
      </c>
      <c r="J309">
        <v>0</v>
      </c>
      <c r="K309">
        <v>0</v>
      </c>
      <c r="L309">
        <v>0.21639700000000001</v>
      </c>
      <c r="M309" t="s">
        <v>27</v>
      </c>
      <c r="N309" t="s">
        <v>63</v>
      </c>
      <c r="O309" t="s">
        <v>64</v>
      </c>
      <c r="P309" t="s">
        <v>65</v>
      </c>
      <c r="Q309" t="s">
        <v>66</v>
      </c>
      <c r="R309" s="22">
        <f t="shared" si="20"/>
        <v>46288.827161847257</v>
      </c>
      <c r="S309" s="22">
        <f t="shared" si="21"/>
        <v>46288.827164351853</v>
      </c>
      <c r="T309" s="23">
        <f t="shared" si="22"/>
        <v>0.2163970610126853</v>
      </c>
      <c r="U309" s="23">
        <f t="shared" si="23"/>
        <v>0.2163970610126853</v>
      </c>
      <c r="V309" s="23">
        <f t="shared" si="24"/>
        <v>0.2163970610126853</v>
      </c>
    </row>
    <row r="310" spans="1:22" x14ac:dyDescent="0.35">
      <c r="A310" t="s">
        <v>254</v>
      </c>
      <c r="B310">
        <v>23</v>
      </c>
      <c r="C310" t="s">
        <v>265</v>
      </c>
      <c r="D310" t="s">
        <v>61</v>
      </c>
      <c r="E310" t="s">
        <v>25</v>
      </c>
      <c r="F310" t="s">
        <v>62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0.191383</v>
      </c>
      <c r="M310" t="s">
        <v>27</v>
      </c>
      <c r="N310" t="s">
        <v>63</v>
      </c>
      <c r="O310" t="s">
        <v>64</v>
      </c>
      <c r="P310" t="s">
        <v>65</v>
      </c>
      <c r="Q310" t="s">
        <v>66</v>
      </c>
      <c r="R310" s="22">
        <f t="shared" si="20"/>
        <v>46288.827162136775</v>
      </c>
      <c r="S310" s="22">
        <f t="shared" si="21"/>
        <v>46288.827164351853</v>
      </c>
      <c r="T310" s="23">
        <f t="shared" si="22"/>
        <v>0</v>
      </c>
      <c r="U310" s="23">
        <f t="shared" si="23"/>
        <v>0</v>
      </c>
      <c r="V310" s="23">
        <f t="shared" si="24"/>
        <v>0</v>
      </c>
    </row>
    <row r="311" spans="1:22" x14ac:dyDescent="0.35">
      <c r="A311" t="s">
        <v>254</v>
      </c>
      <c r="B311">
        <v>24</v>
      </c>
      <c r="C311" t="s">
        <v>266</v>
      </c>
      <c r="D311" t="s">
        <v>61</v>
      </c>
      <c r="E311" t="s">
        <v>25</v>
      </c>
      <c r="F311" t="s">
        <v>62</v>
      </c>
      <c r="G311">
        <v>6</v>
      </c>
      <c r="H311">
        <v>0</v>
      </c>
      <c r="I311">
        <v>0</v>
      </c>
      <c r="J311">
        <v>0</v>
      </c>
      <c r="K311">
        <v>0</v>
      </c>
      <c r="L311">
        <v>0.239121</v>
      </c>
      <c r="M311" t="s">
        <v>27</v>
      </c>
      <c r="N311" t="s">
        <v>63</v>
      </c>
      <c r="O311" t="s">
        <v>64</v>
      </c>
      <c r="P311" t="s">
        <v>65</v>
      </c>
      <c r="Q311" t="s">
        <v>66</v>
      </c>
      <c r="R311" s="22">
        <f t="shared" si="20"/>
        <v>46288.827173158315</v>
      </c>
      <c r="S311" s="22">
        <f t="shared" si="21"/>
        <v>46288.827175925922</v>
      </c>
      <c r="T311" s="23">
        <f t="shared" si="22"/>
        <v>0.23912123870104551</v>
      </c>
      <c r="U311" s="23">
        <f t="shared" si="23"/>
        <v>0.23912123870104551</v>
      </c>
      <c r="V311" s="23">
        <f t="shared" si="24"/>
        <v>0.23912123870104551</v>
      </c>
    </row>
    <row r="312" spans="1:22" x14ac:dyDescent="0.35">
      <c r="A312" t="s">
        <v>254</v>
      </c>
      <c r="B312">
        <v>25</v>
      </c>
      <c r="C312" t="s">
        <v>266</v>
      </c>
      <c r="D312" t="s">
        <v>61</v>
      </c>
      <c r="E312" t="s">
        <v>25</v>
      </c>
      <c r="F312" t="s">
        <v>62</v>
      </c>
      <c r="G312">
        <v>22</v>
      </c>
      <c r="H312">
        <v>0</v>
      </c>
      <c r="I312">
        <v>0</v>
      </c>
      <c r="J312">
        <v>0</v>
      </c>
      <c r="K312">
        <v>0</v>
      </c>
      <c r="L312">
        <v>0.191384</v>
      </c>
      <c r="M312" t="s">
        <v>27</v>
      </c>
      <c r="N312" t="s">
        <v>63</v>
      </c>
      <c r="O312" t="s">
        <v>64</v>
      </c>
      <c r="P312" t="s">
        <v>65</v>
      </c>
      <c r="Q312" t="s">
        <v>66</v>
      </c>
      <c r="R312" s="22">
        <f t="shared" si="20"/>
        <v>46288.82717371083</v>
      </c>
      <c r="S312" s="22">
        <f t="shared" si="21"/>
        <v>46288.827175925922</v>
      </c>
      <c r="T312" s="23">
        <f t="shared" si="22"/>
        <v>0</v>
      </c>
      <c r="U312" s="23">
        <f t="shared" si="23"/>
        <v>0</v>
      </c>
      <c r="V312" s="23">
        <f t="shared" si="24"/>
        <v>0</v>
      </c>
    </row>
    <row r="313" spans="1:22" x14ac:dyDescent="0.35">
      <c r="A313" t="s">
        <v>254</v>
      </c>
      <c r="B313">
        <v>26</v>
      </c>
      <c r="C313" t="s">
        <v>267</v>
      </c>
      <c r="D313" t="s">
        <v>61</v>
      </c>
      <c r="E313" t="s">
        <v>25</v>
      </c>
      <c r="F313" t="s">
        <v>62</v>
      </c>
      <c r="G313">
        <v>5</v>
      </c>
      <c r="H313">
        <v>0</v>
      </c>
      <c r="I313">
        <v>0</v>
      </c>
      <c r="J313">
        <v>0</v>
      </c>
      <c r="K313">
        <v>0</v>
      </c>
      <c r="L313">
        <v>0.18552299999999999</v>
      </c>
      <c r="M313" t="s">
        <v>27</v>
      </c>
      <c r="N313" t="s">
        <v>63</v>
      </c>
      <c r="O313" t="s">
        <v>64</v>
      </c>
      <c r="P313" t="s">
        <v>65</v>
      </c>
      <c r="Q313" t="s">
        <v>66</v>
      </c>
      <c r="R313" s="22">
        <f t="shared" si="20"/>
        <v>46288.82718535274</v>
      </c>
      <c r="S313" s="22">
        <f t="shared" si="21"/>
        <v>46288.827187499999</v>
      </c>
      <c r="T313" s="23">
        <f t="shared" si="22"/>
        <v>0</v>
      </c>
      <c r="U313" s="23">
        <f t="shared" si="23"/>
        <v>0</v>
      </c>
      <c r="V313" s="23">
        <f t="shared" si="24"/>
        <v>0</v>
      </c>
    </row>
    <row r="314" spans="1:22" x14ac:dyDescent="0.35">
      <c r="A314" t="s">
        <v>254</v>
      </c>
      <c r="B314">
        <v>27</v>
      </c>
      <c r="C314" t="s">
        <v>267</v>
      </c>
      <c r="D314" t="s">
        <v>61</v>
      </c>
      <c r="E314" t="s">
        <v>25</v>
      </c>
      <c r="F314" t="s">
        <v>62</v>
      </c>
      <c r="G314">
        <v>3</v>
      </c>
      <c r="H314">
        <v>0</v>
      </c>
      <c r="I314">
        <v>0</v>
      </c>
      <c r="J314">
        <v>0</v>
      </c>
      <c r="K314">
        <v>0</v>
      </c>
      <c r="L314">
        <v>0.236571</v>
      </c>
      <c r="M314" t="s">
        <v>27</v>
      </c>
      <c r="N314" t="s">
        <v>63</v>
      </c>
      <c r="O314" t="s">
        <v>64</v>
      </c>
      <c r="P314" t="s">
        <v>65</v>
      </c>
      <c r="Q314" t="s">
        <v>66</v>
      </c>
      <c r="R314" s="22">
        <f t="shared" si="20"/>
        <v>46288.827184761911</v>
      </c>
      <c r="S314" s="22">
        <f t="shared" si="21"/>
        <v>46288.827187499999</v>
      </c>
      <c r="T314" s="23">
        <f t="shared" si="22"/>
        <v>0.23657083511352539</v>
      </c>
      <c r="U314" s="23">
        <f t="shared" si="23"/>
        <v>0.23657083511352539</v>
      </c>
      <c r="V314" s="23">
        <f t="shared" si="24"/>
        <v>0.23657083511352539</v>
      </c>
    </row>
    <row r="315" spans="1:22" x14ac:dyDescent="0.35">
      <c r="A315" t="s">
        <v>254</v>
      </c>
      <c r="B315">
        <v>28</v>
      </c>
      <c r="C315" t="s">
        <v>267</v>
      </c>
      <c r="D315" t="s">
        <v>61</v>
      </c>
      <c r="E315" t="s">
        <v>25</v>
      </c>
      <c r="F315" t="s">
        <v>62</v>
      </c>
      <c r="G315">
        <v>6</v>
      </c>
      <c r="H315">
        <v>0</v>
      </c>
      <c r="I315">
        <v>0</v>
      </c>
      <c r="J315">
        <v>0</v>
      </c>
      <c r="K315">
        <v>0</v>
      </c>
      <c r="L315">
        <v>0.22494700000000001</v>
      </c>
      <c r="M315" t="s">
        <v>27</v>
      </c>
      <c r="N315" t="s">
        <v>63</v>
      </c>
      <c r="O315" t="s">
        <v>64</v>
      </c>
      <c r="P315" t="s">
        <v>65</v>
      </c>
      <c r="Q315" t="s">
        <v>66</v>
      </c>
      <c r="R315" s="22">
        <f t="shared" si="20"/>
        <v>46288.827184896443</v>
      </c>
      <c r="S315" s="22">
        <f t="shared" si="21"/>
        <v>46288.827187499999</v>
      </c>
      <c r="T315" s="23">
        <f t="shared" si="22"/>
        <v>0</v>
      </c>
      <c r="U315" s="23">
        <f t="shared" si="23"/>
        <v>0</v>
      </c>
      <c r="V315" s="23">
        <f t="shared" si="24"/>
        <v>0</v>
      </c>
    </row>
    <row r="316" spans="1:22" x14ac:dyDescent="0.35">
      <c r="A316" t="s">
        <v>254</v>
      </c>
      <c r="B316">
        <v>29</v>
      </c>
      <c r="C316" t="s">
        <v>268</v>
      </c>
      <c r="D316" t="s">
        <v>61</v>
      </c>
      <c r="E316" t="s">
        <v>25</v>
      </c>
      <c r="F316" t="s">
        <v>62</v>
      </c>
      <c r="G316">
        <v>11</v>
      </c>
      <c r="H316">
        <v>0</v>
      </c>
      <c r="I316">
        <v>0</v>
      </c>
      <c r="J316">
        <v>0</v>
      </c>
      <c r="K316">
        <v>0</v>
      </c>
      <c r="L316">
        <v>0.23958399999999999</v>
      </c>
      <c r="M316" t="s">
        <v>27</v>
      </c>
      <c r="N316" t="s">
        <v>63</v>
      </c>
      <c r="O316" t="s">
        <v>64</v>
      </c>
      <c r="P316" t="s">
        <v>65</v>
      </c>
      <c r="Q316" t="s">
        <v>66</v>
      </c>
      <c r="R316" s="22">
        <f t="shared" si="20"/>
        <v>46288.827196301114</v>
      </c>
      <c r="S316" s="22">
        <f t="shared" si="21"/>
        <v>46288.827199074076</v>
      </c>
      <c r="T316" s="23">
        <f t="shared" si="22"/>
        <v>0.23958391975611448</v>
      </c>
      <c r="U316" s="23">
        <f t="shared" si="23"/>
        <v>0.23958391975611448</v>
      </c>
      <c r="V316" s="23">
        <f t="shared" si="24"/>
        <v>0.23958391975611448</v>
      </c>
    </row>
    <row r="317" spans="1:22" x14ac:dyDescent="0.35">
      <c r="A317" t="s">
        <v>254</v>
      </c>
      <c r="B317">
        <v>30</v>
      </c>
      <c r="C317" t="s">
        <v>268</v>
      </c>
      <c r="D317" t="s">
        <v>61</v>
      </c>
      <c r="E317" t="s">
        <v>25</v>
      </c>
      <c r="F317" t="s">
        <v>62</v>
      </c>
      <c r="G317">
        <v>21</v>
      </c>
      <c r="H317">
        <v>0</v>
      </c>
      <c r="I317">
        <v>0</v>
      </c>
      <c r="J317">
        <v>0</v>
      </c>
      <c r="K317">
        <v>0</v>
      </c>
      <c r="L317">
        <v>0.19509799999999999</v>
      </c>
      <c r="M317" t="s">
        <v>27</v>
      </c>
      <c r="N317" t="s">
        <v>63</v>
      </c>
      <c r="O317" t="s">
        <v>64</v>
      </c>
      <c r="P317" t="s">
        <v>65</v>
      </c>
      <c r="Q317" t="s">
        <v>66</v>
      </c>
      <c r="R317" s="22">
        <f t="shared" si="20"/>
        <v>46288.827196815997</v>
      </c>
      <c r="S317" s="22">
        <f t="shared" si="21"/>
        <v>46288.827199074076</v>
      </c>
      <c r="T317" s="23">
        <f t="shared" si="22"/>
        <v>0</v>
      </c>
      <c r="U317" s="23">
        <f t="shared" si="23"/>
        <v>0</v>
      </c>
      <c r="V317" s="23">
        <f t="shared" si="24"/>
        <v>0</v>
      </c>
    </row>
    <row r="318" spans="1:22" x14ac:dyDescent="0.35">
      <c r="A318" t="s">
        <v>254</v>
      </c>
      <c r="B318">
        <v>31</v>
      </c>
      <c r="C318" t="s">
        <v>269</v>
      </c>
      <c r="D318" t="s">
        <v>61</v>
      </c>
      <c r="E318" t="s">
        <v>25</v>
      </c>
      <c r="F318" t="s">
        <v>62</v>
      </c>
      <c r="G318">
        <v>4</v>
      </c>
      <c r="H318">
        <v>0</v>
      </c>
      <c r="I318">
        <v>0</v>
      </c>
      <c r="J318">
        <v>0</v>
      </c>
      <c r="K318">
        <v>0</v>
      </c>
      <c r="L318">
        <v>0.199521</v>
      </c>
      <c r="M318" t="s">
        <v>27</v>
      </c>
      <c r="N318" t="s">
        <v>63</v>
      </c>
      <c r="O318" t="s">
        <v>64</v>
      </c>
      <c r="P318" t="s">
        <v>65</v>
      </c>
      <c r="Q318" t="s">
        <v>66</v>
      </c>
      <c r="R318" s="22">
        <f t="shared" si="20"/>
        <v>46288.827208338873</v>
      </c>
      <c r="S318" s="22">
        <f t="shared" si="21"/>
        <v>46288.827210648145</v>
      </c>
      <c r="T318" s="23">
        <f t="shared" si="22"/>
        <v>0</v>
      </c>
      <c r="U318" s="23">
        <f t="shared" si="23"/>
        <v>0</v>
      </c>
      <c r="V318" s="23">
        <f t="shared" si="24"/>
        <v>0</v>
      </c>
    </row>
    <row r="319" spans="1:22" x14ac:dyDescent="0.35">
      <c r="A319" t="s">
        <v>254</v>
      </c>
      <c r="B319">
        <v>32</v>
      </c>
      <c r="C319" t="s">
        <v>269</v>
      </c>
      <c r="D319" t="s">
        <v>61</v>
      </c>
      <c r="E319" t="s">
        <v>25</v>
      </c>
      <c r="F319" t="s">
        <v>62</v>
      </c>
      <c r="G319">
        <v>6</v>
      </c>
      <c r="H319">
        <v>0</v>
      </c>
      <c r="I319">
        <v>0</v>
      </c>
      <c r="J319">
        <v>0</v>
      </c>
      <c r="K319">
        <v>0</v>
      </c>
      <c r="L319">
        <v>0.19652900000000001</v>
      </c>
      <c r="M319" t="s">
        <v>27</v>
      </c>
      <c r="N319" t="s">
        <v>63</v>
      </c>
      <c r="O319" t="s">
        <v>64</v>
      </c>
      <c r="P319" t="s">
        <v>65</v>
      </c>
      <c r="Q319" t="s">
        <v>66</v>
      </c>
      <c r="R319" s="22">
        <f t="shared" si="20"/>
        <v>46288.827208373506</v>
      </c>
      <c r="S319" s="22">
        <f t="shared" si="21"/>
        <v>46288.827210648145</v>
      </c>
      <c r="T319" s="23">
        <f t="shared" si="22"/>
        <v>0</v>
      </c>
      <c r="U319" s="23">
        <f t="shared" si="23"/>
        <v>0</v>
      </c>
      <c r="V319" s="23">
        <f t="shared" si="24"/>
        <v>0</v>
      </c>
    </row>
    <row r="320" spans="1:22" x14ac:dyDescent="0.35">
      <c r="A320" t="s">
        <v>254</v>
      </c>
      <c r="B320">
        <v>33</v>
      </c>
      <c r="C320" t="s">
        <v>269</v>
      </c>
      <c r="D320" t="s">
        <v>61</v>
      </c>
      <c r="E320" t="s">
        <v>25</v>
      </c>
      <c r="F320" t="s">
        <v>62</v>
      </c>
      <c r="G320">
        <v>4</v>
      </c>
      <c r="H320">
        <v>0</v>
      </c>
      <c r="I320">
        <v>0</v>
      </c>
      <c r="J320">
        <v>0</v>
      </c>
      <c r="K320">
        <v>0</v>
      </c>
      <c r="L320">
        <v>0.20288500000000001</v>
      </c>
      <c r="M320" t="s">
        <v>27</v>
      </c>
      <c r="N320" t="s">
        <v>63</v>
      </c>
      <c r="O320" t="s">
        <v>64</v>
      </c>
      <c r="P320" t="s">
        <v>65</v>
      </c>
      <c r="Q320" t="s">
        <v>66</v>
      </c>
      <c r="R320" s="22">
        <f t="shared" si="20"/>
        <v>46288.827208299939</v>
      </c>
      <c r="S320" s="22">
        <f t="shared" si="21"/>
        <v>46288.827210648145</v>
      </c>
      <c r="T320" s="23">
        <f t="shared" si="22"/>
        <v>0.20288501400500536</v>
      </c>
      <c r="U320" s="23">
        <f t="shared" si="23"/>
        <v>0.20288501400500536</v>
      </c>
      <c r="V320" s="23">
        <f t="shared" si="24"/>
        <v>0.20288501400500536</v>
      </c>
    </row>
    <row r="321" spans="1:22" x14ac:dyDescent="0.35">
      <c r="A321" t="s">
        <v>254</v>
      </c>
      <c r="B321">
        <v>34</v>
      </c>
      <c r="C321" t="s">
        <v>270</v>
      </c>
      <c r="D321" t="s">
        <v>61</v>
      </c>
      <c r="E321" t="s">
        <v>25</v>
      </c>
      <c r="F321" t="s">
        <v>62</v>
      </c>
      <c r="G321">
        <v>8</v>
      </c>
      <c r="H321">
        <v>0</v>
      </c>
      <c r="I321">
        <v>0</v>
      </c>
      <c r="J321">
        <v>0</v>
      </c>
      <c r="K321">
        <v>0</v>
      </c>
      <c r="L321">
        <v>0.198966</v>
      </c>
      <c r="M321" t="s">
        <v>27</v>
      </c>
      <c r="N321" t="s">
        <v>63</v>
      </c>
      <c r="O321" t="s">
        <v>64</v>
      </c>
      <c r="P321" t="s">
        <v>65</v>
      </c>
      <c r="Q321" t="s">
        <v>66</v>
      </c>
      <c r="R321" s="22">
        <f t="shared" si="20"/>
        <v>46288.827219919374</v>
      </c>
      <c r="S321" s="22">
        <f t="shared" si="21"/>
        <v>46288.827222222222</v>
      </c>
      <c r="T321" s="23">
        <f t="shared" si="22"/>
        <v>0</v>
      </c>
      <c r="U321" s="23">
        <f t="shared" si="23"/>
        <v>0</v>
      </c>
      <c r="V321" s="23">
        <f t="shared" si="24"/>
        <v>0</v>
      </c>
    </row>
    <row r="322" spans="1:22" x14ac:dyDescent="0.35">
      <c r="A322" t="s">
        <v>254</v>
      </c>
      <c r="B322">
        <v>35</v>
      </c>
      <c r="C322" t="s">
        <v>270</v>
      </c>
      <c r="D322" t="s">
        <v>61</v>
      </c>
      <c r="E322" t="s">
        <v>25</v>
      </c>
      <c r="F322" t="s">
        <v>62</v>
      </c>
      <c r="G322">
        <v>13</v>
      </c>
      <c r="H322">
        <v>0</v>
      </c>
      <c r="I322">
        <v>0</v>
      </c>
      <c r="J322">
        <v>0</v>
      </c>
      <c r="K322">
        <v>0</v>
      </c>
      <c r="L322">
        <v>0.22004599999999999</v>
      </c>
      <c r="M322" t="s">
        <v>27</v>
      </c>
      <c r="N322" t="s">
        <v>63</v>
      </c>
      <c r="O322" t="s">
        <v>64</v>
      </c>
      <c r="P322" t="s">
        <v>65</v>
      </c>
      <c r="Q322" t="s">
        <v>66</v>
      </c>
      <c r="R322" s="22">
        <f t="shared" ref="R322:R385" si="25">S322-L322/86400</f>
        <v>46288.827219675397</v>
      </c>
      <c r="S322" s="22">
        <f t="shared" ref="S322:S385" si="26">DATEVALUE(LEFT(C322,10))+TIMEVALUE(MID(C322,12,8))</f>
        <v>46288.827222222222</v>
      </c>
      <c r="T322" s="23">
        <f t="shared" ref="T322:T385" si="27">MAX(0,S322-MAX(R322,_xlfn.MAXIFS($S$2:$S$486,$A$2:$A$486,A322,$D$2:$D$486,D322,$F$2:$F$486,F322,$R$2:$R$486,"&lt;"&amp;R322)))*86400</f>
        <v>0.22004570346325636</v>
      </c>
      <c r="U322" s="23">
        <f t="shared" ref="U322:U385" si="28">MAX(0,S322-MAX(R322,_xlfn.MAXIFS($S$2:$S$486,$A$2:$A$486,A322,$F$2:$F$486,F322,$R$2:$R$486,"&lt;"&amp;R322)))*86400</f>
        <v>0.22004570346325636</v>
      </c>
      <c r="V322" s="23">
        <f t="shared" ref="V322:V385" si="29">MAX(0,S322-MAX(R322,_xlfn.MAXIFS($S$2:$S$486,$A$2:$A$486,A322,$R$2:$R$486,"&lt;"&amp;R322)))*86400</f>
        <v>0.22004570346325636</v>
      </c>
    </row>
    <row r="323" spans="1:22" x14ac:dyDescent="0.35">
      <c r="A323" t="s">
        <v>254</v>
      </c>
      <c r="B323">
        <v>36</v>
      </c>
      <c r="C323" t="s">
        <v>271</v>
      </c>
      <c r="D323" t="s">
        <v>61</v>
      </c>
      <c r="E323" t="s">
        <v>25</v>
      </c>
      <c r="F323" t="s">
        <v>62</v>
      </c>
      <c r="G323">
        <v>4</v>
      </c>
      <c r="H323">
        <v>0</v>
      </c>
      <c r="I323">
        <v>0</v>
      </c>
      <c r="J323">
        <v>0</v>
      </c>
      <c r="K323">
        <v>0</v>
      </c>
      <c r="L323">
        <v>0.333922</v>
      </c>
      <c r="M323" t="s">
        <v>27</v>
      </c>
      <c r="N323" t="s">
        <v>63</v>
      </c>
      <c r="O323" t="s">
        <v>64</v>
      </c>
      <c r="P323" t="s">
        <v>65</v>
      </c>
      <c r="Q323" t="s">
        <v>66</v>
      </c>
      <c r="R323" s="22">
        <f t="shared" si="25"/>
        <v>46288.827229931463</v>
      </c>
      <c r="S323" s="22">
        <f t="shared" si="26"/>
        <v>46288.827233796299</v>
      </c>
      <c r="T323" s="23">
        <f t="shared" si="27"/>
        <v>0.3339218208566308</v>
      </c>
      <c r="U323" s="23">
        <f t="shared" si="28"/>
        <v>0.3339218208566308</v>
      </c>
      <c r="V323" s="23">
        <f t="shared" si="29"/>
        <v>0.3339218208566308</v>
      </c>
    </row>
    <row r="324" spans="1:22" x14ac:dyDescent="0.35">
      <c r="A324" t="s">
        <v>254</v>
      </c>
      <c r="B324">
        <v>37</v>
      </c>
      <c r="C324" t="s">
        <v>271</v>
      </c>
      <c r="D324" t="s">
        <v>61</v>
      </c>
      <c r="E324" t="s">
        <v>25</v>
      </c>
      <c r="F324" t="s">
        <v>62</v>
      </c>
      <c r="G324">
        <v>3</v>
      </c>
      <c r="H324">
        <v>0</v>
      </c>
      <c r="I324">
        <v>0</v>
      </c>
      <c r="J324">
        <v>0</v>
      </c>
      <c r="K324">
        <v>0</v>
      </c>
      <c r="L324">
        <v>0.18719</v>
      </c>
      <c r="M324" t="s">
        <v>27</v>
      </c>
      <c r="N324" t="s">
        <v>63</v>
      </c>
      <c r="O324" t="s">
        <v>64</v>
      </c>
      <c r="P324" t="s">
        <v>65</v>
      </c>
      <c r="Q324" t="s">
        <v>66</v>
      </c>
      <c r="R324" s="22">
        <f t="shared" si="25"/>
        <v>46288.827231629752</v>
      </c>
      <c r="S324" s="22">
        <f t="shared" si="26"/>
        <v>46288.827233796299</v>
      </c>
      <c r="T324" s="23">
        <f t="shared" si="27"/>
        <v>0</v>
      </c>
      <c r="U324" s="23">
        <f t="shared" si="28"/>
        <v>0</v>
      </c>
      <c r="V324" s="23">
        <f t="shared" si="29"/>
        <v>0</v>
      </c>
    </row>
    <row r="325" spans="1:22" x14ac:dyDescent="0.35">
      <c r="A325" t="s">
        <v>254</v>
      </c>
      <c r="B325">
        <v>38</v>
      </c>
      <c r="C325" t="s">
        <v>272</v>
      </c>
      <c r="D325" t="s">
        <v>61</v>
      </c>
      <c r="E325" t="s">
        <v>25</v>
      </c>
      <c r="F325" t="s">
        <v>62</v>
      </c>
      <c r="G325">
        <v>4</v>
      </c>
      <c r="H325">
        <v>0</v>
      </c>
      <c r="I325">
        <v>0</v>
      </c>
      <c r="J325">
        <v>0</v>
      </c>
      <c r="K325">
        <v>0</v>
      </c>
      <c r="L325">
        <v>0.19051999999999999</v>
      </c>
      <c r="M325" t="s">
        <v>27</v>
      </c>
      <c r="N325" t="s">
        <v>63</v>
      </c>
      <c r="O325" t="s">
        <v>64</v>
      </c>
      <c r="P325" t="s">
        <v>65</v>
      </c>
      <c r="Q325" t="s">
        <v>66</v>
      </c>
      <c r="R325" s="22">
        <f t="shared" si="25"/>
        <v>46288.827243165273</v>
      </c>
      <c r="S325" s="22">
        <f t="shared" si="26"/>
        <v>46288.827245370368</v>
      </c>
      <c r="T325" s="23">
        <f t="shared" si="27"/>
        <v>0</v>
      </c>
      <c r="U325" s="23">
        <f t="shared" si="28"/>
        <v>0</v>
      </c>
      <c r="V325" s="23">
        <f t="shared" si="29"/>
        <v>0</v>
      </c>
    </row>
    <row r="326" spans="1:22" x14ac:dyDescent="0.35">
      <c r="A326" t="s">
        <v>254</v>
      </c>
      <c r="B326">
        <v>39</v>
      </c>
      <c r="C326" t="s">
        <v>272</v>
      </c>
      <c r="D326" t="s">
        <v>61</v>
      </c>
      <c r="E326" t="s">
        <v>25</v>
      </c>
      <c r="F326" t="s">
        <v>62</v>
      </c>
      <c r="G326">
        <v>4</v>
      </c>
      <c r="H326">
        <v>0</v>
      </c>
      <c r="I326">
        <v>0</v>
      </c>
      <c r="J326">
        <v>0</v>
      </c>
      <c r="K326">
        <v>0</v>
      </c>
      <c r="L326">
        <v>0.315888</v>
      </c>
      <c r="M326" t="s">
        <v>27</v>
      </c>
      <c r="N326" t="s">
        <v>63</v>
      </c>
      <c r="O326" t="s">
        <v>64</v>
      </c>
      <c r="P326" t="s">
        <v>65</v>
      </c>
      <c r="Q326" t="s">
        <v>66</v>
      </c>
      <c r="R326" s="22">
        <f t="shared" si="25"/>
        <v>46288.827241714258</v>
      </c>
      <c r="S326" s="22">
        <f t="shared" si="26"/>
        <v>46288.827245370368</v>
      </c>
      <c r="T326" s="23">
        <f t="shared" si="27"/>
        <v>0.3158879466354847</v>
      </c>
      <c r="U326" s="23">
        <f t="shared" si="28"/>
        <v>0.3158879466354847</v>
      </c>
      <c r="V326" s="23">
        <f t="shared" si="29"/>
        <v>0.3158879466354847</v>
      </c>
    </row>
    <row r="327" spans="1:22" x14ac:dyDescent="0.35">
      <c r="A327" t="s">
        <v>254</v>
      </c>
      <c r="B327">
        <v>40</v>
      </c>
      <c r="C327" t="s">
        <v>272</v>
      </c>
      <c r="D327" t="s">
        <v>61</v>
      </c>
      <c r="E327" t="s">
        <v>25</v>
      </c>
      <c r="F327" t="s">
        <v>62</v>
      </c>
      <c r="G327">
        <v>13</v>
      </c>
      <c r="H327">
        <v>0</v>
      </c>
      <c r="I327">
        <v>0</v>
      </c>
      <c r="J327">
        <v>0</v>
      </c>
      <c r="K327">
        <v>0</v>
      </c>
      <c r="L327">
        <v>0.234704</v>
      </c>
      <c r="M327" t="s">
        <v>27</v>
      </c>
      <c r="N327" t="s">
        <v>63</v>
      </c>
      <c r="O327" t="s">
        <v>64</v>
      </c>
      <c r="P327" t="s">
        <v>65</v>
      </c>
      <c r="Q327" t="s">
        <v>66</v>
      </c>
      <c r="R327" s="22">
        <f t="shared" si="25"/>
        <v>46288.82724265389</v>
      </c>
      <c r="S327" s="22">
        <f t="shared" si="26"/>
        <v>46288.827245370368</v>
      </c>
      <c r="T327" s="23">
        <f t="shared" si="27"/>
        <v>0</v>
      </c>
      <c r="U327" s="23">
        <f t="shared" si="28"/>
        <v>0</v>
      </c>
      <c r="V327" s="23">
        <f t="shared" si="29"/>
        <v>0</v>
      </c>
    </row>
    <row r="328" spans="1:22" x14ac:dyDescent="0.35">
      <c r="A328" t="s">
        <v>254</v>
      </c>
      <c r="B328">
        <v>41</v>
      </c>
      <c r="C328" t="s">
        <v>273</v>
      </c>
      <c r="D328" t="s">
        <v>61</v>
      </c>
      <c r="E328" t="s">
        <v>25</v>
      </c>
      <c r="F328" t="s">
        <v>62</v>
      </c>
      <c r="G328">
        <v>4</v>
      </c>
      <c r="H328">
        <v>0</v>
      </c>
      <c r="I328">
        <v>0</v>
      </c>
      <c r="J328">
        <v>0</v>
      </c>
      <c r="K328">
        <v>0</v>
      </c>
      <c r="L328">
        <v>0.28743400000000002</v>
      </c>
      <c r="M328" t="s">
        <v>27</v>
      </c>
      <c r="N328" t="s">
        <v>63</v>
      </c>
      <c r="O328" t="s">
        <v>64</v>
      </c>
      <c r="P328" t="s">
        <v>65</v>
      </c>
      <c r="Q328" t="s">
        <v>66</v>
      </c>
      <c r="R328" s="22">
        <f t="shared" si="25"/>
        <v>46288.827265191743</v>
      </c>
      <c r="S328" s="22">
        <f t="shared" si="26"/>
        <v>46288.827268518522</v>
      </c>
      <c r="T328" s="23">
        <f t="shared" si="27"/>
        <v>0.28743369039148092</v>
      </c>
      <c r="U328" s="23">
        <f t="shared" si="28"/>
        <v>0.28743369039148092</v>
      </c>
      <c r="V328" s="23">
        <f t="shared" si="29"/>
        <v>0.28743369039148092</v>
      </c>
    </row>
    <row r="329" spans="1:22" x14ac:dyDescent="0.35">
      <c r="A329" t="s">
        <v>254</v>
      </c>
      <c r="B329">
        <v>42</v>
      </c>
      <c r="C329" t="s">
        <v>273</v>
      </c>
      <c r="D329" t="s">
        <v>61</v>
      </c>
      <c r="E329" t="s">
        <v>25</v>
      </c>
      <c r="F329" t="s">
        <v>62</v>
      </c>
      <c r="G329">
        <v>3</v>
      </c>
      <c r="H329">
        <v>0</v>
      </c>
      <c r="I329">
        <v>0</v>
      </c>
      <c r="J329">
        <v>0</v>
      </c>
      <c r="K329">
        <v>0</v>
      </c>
      <c r="L329">
        <v>0.18753500000000001</v>
      </c>
      <c r="M329" t="s">
        <v>27</v>
      </c>
      <c r="N329" t="s">
        <v>63</v>
      </c>
      <c r="O329" t="s">
        <v>64</v>
      </c>
      <c r="P329" t="s">
        <v>65</v>
      </c>
      <c r="Q329" t="s">
        <v>66</v>
      </c>
      <c r="R329" s="22">
        <f t="shared" si="25"/>
        <v>46288.82726634798</v>
      </c>
      <c r="S329" s="22">
        <f t="shared" si="26"/>
        <v>46288.827268518522</v>
      </c>
      <c r="T329" s="23">
        <f t="shared" si="27"/>
        <v>0</v>
      </c>
      <c r="U329" s="23">
        <f t="shared" si="28"/>
        <v>0</v>
      </c>
      <c r="V329" s="23">
        <f t="shared" si="29"/>
        <v>0</v>
      </c>
    </row>
    <row r="330" spans="1:22" x14ac:dyDescent="0.35">
      <c r="A330" t="s">
        <v>254</v>
      </c>
      <c r="B330">
        <v>43</v>
      </c>
      <c r="C330" t="s">
        <v>274</v>
      </c>
      <c r="D330" t="s">
        <v>61</v>
      </c>
      <c r="E330" t="s">
        <v>25</v>
      </c>
      <c r="F330" t="s">
        <v>62</v>
      </c>
      <c r="G330">
        <v>4</v>
      </c>
      <c r="H330">
        <v>0</v>
      </c>
      <c r="I330">
        <v>0</v>
      </c>
      <c r="J330">
        <v>0</v>
      </c>
      <c r="K330">
        <v>0</v>
      </c>
      <c r="L330">
        <v>0.29484500000000002</v>
      </c>
      <c r="M330" t="s">
        <v>27</v>
      </c>
      <c r="N330" t="s">
        <v>63</v>
      </c>
      <c r="O330" t="s">
        <v>64</v>
      </c>
      <c r="P330" t="s">
        <v>65</v>
      </c>
      <c r="Q330" t="s">
        <v>66</v>
      </c>
      <c r="R330" s="22">
        <f t="shared" si="25"/>
        <v>46288.827276680036</v>
      </c>
      <c r="S330" s="22">
        <f t="shared" si="26"/>
        <v>46288.827280092592</v>
      </c>
      <c r="T330" s="23">
        <f t="shared" si="27"/>
        <v>0.29484475962817669</v>
      </c>
      <c r="U330" s="23">
        <f t="shared" si="28"/>
        <v>0.29484475962817669</v>
      </c>
      <c r="V330" s="23">
        <f t="shared" si="29"/>
        <v>0.29484475962817669</v>
      </c>
    </row>
    <row r="331" spans="1:22" x14ac:dyDescent="0.35">
      <c r="A331" t="s">
        <v>254</v>
      </c>
      <c r="B331">
        <v>44</v>
      </c>
      <c r="C331" t="s">
        <v>274</v>
      </c>
      <c r="D331" t="s">
        <v>61</v>
      </c>
      <c r="E331" t="s">
        <v>25</v>
      </c>
      <c r="F331" t="s">
        <v>62</v>
      </c>
      <c r="G331">
        <v>4</v>
      </c>
      <c r="H331">
        <v>0</v>
      </c>
      <c r="I331">
        <v>0</v>
      </c>
      <c r="J331">
        <v>0</v>
      </c>
      <c r="K331">
        <v>0</v>
      </c>
      <c r="L331">
        <v>0.220362</v>
      </c>
      <c r="M331" t="s">
        <v>27</v>
      </c>
      <c r="N331" t="s">
        <v>63</v>
      </c>
      <c r="O331" t="s">
        <v>64</v>
      </c>
      <c r="P331" t="s">
        <v>65</v>
      </c>
      <c r="Q331" t="s">
        <v>66</v>
      </c>
      <c r="R331" s="22">
        <f t="shared" si="25"/>
        <v>46288.827277542106</v>
      </c>
      <c r="S331" s="22">
        <f t="shared" si="26"/>
        <v>46288.827280092592</v>
      </c>
      <c r="T331" s="23">
        <f t="shared" si="27"/>
        <v>0</v>
      </c>
      <c r="U331" s="23">
        <f t="shared" si="28"/>
        <v>0</v>
      </c>
      <c r="V331" s="23">
        <f t="shared" si="29"/>
        <v>0</v>
      </c>
    </row>
    <row r="332" spans="1:22" x14ac:dyDescent="0.35">
      <c r="A332" t="s">
        <v>254</v>
      </c>
      <c r="B332">
        <v>45</v>
      </c>
      <c r="C332" t="s">
        <v>274</v>
      </c>
      <c r="D332" t="s">
        <v>61</v>
      </c>
      <c r="E332" t="s">
        <v>25</v>
      </c>
      <c r="F332" t="s">
        <v>62</v>
      </c>
      <c r="G332">
        <v>25</v>
      </c>
      <c r="H332">
        <v>0</v>
      </c>
      <c r="I332">
        <v>0</v>
      </c>
      <c r="J332">
        <v>0</v>
      </c>
      <c r="K332">
        <v>0</v>
      </c>
      <c r="L332">
        <v>0.206931</v>
      </c>
      <c r="M332" t="s">
        <v>27</v>
      </c>
      <c r="N332" t="s">
        <v>63</v>
      </c>
      <c r="O332" t="s">
        <v>64</v>
      </c>
      <c r="P332" t="s">
        <v>65</v>
      </c>
      <c r="Q332" t="s">
        <v>66</v>
      </c>
      <c r="R332" s="22">
        <f t="shared" si="25"/>
        <v>46288.827277697557</v>
      </c>
      <c r="S332" s="22">
        <f t="shared" si="26"/>
        <v>46288.827280092592</v>
      </c>
      <c r="T332" s="23">
        <f t="shared" si="27"/>
        <v>0</v>
      </c>
      <c r="U332" s="23">
        <f t="shared" si="28"/>
        <v>0</v>
      </c>
      <c r="V332" s="23">
        <f t="shared" si="29"/>
        <v>0</v>
      </c>
    </row>
    <row r="333" spans="1:22" x14ac:dyDescent="0.35">
      <c r="A333" t="s">
        <v>254</v>
      </c>
      <c r="B333">
        <v>46</v>
      </c>
      <c r="C333" t="s">
        <v>275</v>
      </c>
      <c r="D333" t="s">
        <v>82</v>
      </c>
      <c r="E333" t="s">
        <v>25</v>
      </c>
      <c r="F333" t="s">
        <v>62</v>
      </c>
      <c r="G333">
        <v>226</v>
      </c>
      <c r="H333">
        <v>0</v>
      </c>
      <c r="I333">
        <v>0</v>
      </c>
      <c r="J333">
        <v>0</v>
      </c>
      <c r="K333">
        <v>5.0000000000000004E-6</v>
      </c>
      <c r="L333">
        <v>0.46220499999999998</v>
      </c>
      <c r="M333" t="s">
        <v>27</v>
      </c>
      <c r="N333" t="s">
        <v>63</v>
      </c>
      <c r="O333" t="s">
        <v>113</v>
      </c>
      <c r="P333" t="s">
        <v>114</v>
      </c>
      <c r="Q333" t="s">
        <v>115</v>
      </c>
      <c r="R333" s="22">
        <f t="shared" si="25"/>
        <v>46288.827297891141</v>
      </c>
      <c r="S333" s="22">
        <f t="shared" si="26"/>
        <v>46288.827303240738</v>
      </c>
      <c r="T333" s="23">
        <f t="shared" si="27"/>
        <v>0</v>
      </c>
      <c r="U333" s="23">
        <f t="shared" si="28"/>
        <v>0</v>
      </c>
      <c r="V333" s="23">
        <f t="shared" si="29"/>
        <v>0</v>
      </c>
    </row>
    <row r="334" spans="1:22" x14ac:dyDescent="0.35">
      <c r="A334" t="s">
        <v>254</v>
      </c>
      <c r="B334">
        <v>47</v>
      </c>
      <c r="C334" t="s">
        <v>275</v>
      </c>
      <c r="D334" t="s">
        <v>82</v>
      </c>
      <c r="E334" t="s">
        <v>25</v>
      </c>
      <c r="F334" t="s">
        <v>62</v>
      </c>
      <c r="G334">
        <v>226</v>
      </c>
      <c r="H334">
        <v>0</v>
      </c>
      <c r="I334">
        <v>0</v>
      </c>
      <c r="J334">
        <v>0</v>
      </c>
      <c r="K334">
        <v>5.0000000000000004E-6</v>
      </c>
      <c r="L334">
        <v>0.46416099999999999</v>
      </c>
      <c r="M334" t="s">
        <v>27</v>
      </c>
      <c r="N334" t="s">
        <v>63</v>
      </c>
      <c r="O334" t="s">
        <v>113</v>
      </c>
      <c r="P334" t="s">
        <v>114</v>
      </c>
      <c r="Q334" t="s">
        <v>115</v>
      </c>
      <c r="R334" s="22">
        <f t="shared" si="25"/>
        <v>46288.827297868505</v>
      </c>
      <c r="S334" s="22">
        <f t="shared" si="26"/>
        <v>46288.827303240738</v>
      </c>
      <c r="T334" s="23">
        <f t="shared" si="27"/>
        <v>0</v>
      </c>
      <c r="U334" s="23">
        <f t="shared" si="28"/>
        <v>0</v>
      </c>
      <c r="V334" s="23">
        <f t="shared" si="29"/>
        <v>0</v>
      </c>
    </row>
    <row r="335" spans="1:22" x14ac:dyDescent="0.35">
      <c r="A335" t="s">
        <v>254</v>
      </c>
      <c r="B335">
        <v>48</v>
      </c>
      <c r="C335" t="s">
        <v>275</v>
      </c>
      <c r="D335" t="s">
        <v>82</v>
      </c>
      <c r="E335" t="s">
        <v>25</v>
      </c>
      <c r="F335" t="s">
        <v>62</v>
      </c>
      <c r="G335">
        <v>225</v>
      </c>
      <c r="H335">
        <v>0</v>
      </c>
      <c r="I335">
        <v>0</v>
      </c>
      <c r="J335">
        <v>0</v>
      </c>
      <c r="K335">
        <v>5.0000000000000004E-6</v>
      </c>
      <c r="L335">
        <v>0.50943099999999997</v>
      </c>
      <c r="M335" t="s">
        <v>27</v>
      </c>
      <c r="N335" t="s">
        <v>63</v>
      </c>
      <c r="O335" t="s">
        <v>113</v>
      </c>
      <c r="P335" t="s">
        <v>114</v>
      </c>
      <c r="Q335" t="s">
        <v>115</v>
      </c>
      <c r="R335" s="22">
        <f t="shared" si="25"/>
        <v>46288.827297344549</v>
      </c>
      <c r="S335" s="22">
        <f t="shared" si="26"/>
        <v>46288.827303240738</v>
      </c>
      <c r="T335" s="23">
        <f t="shared" si="27"/>
        <v>0.50943070091307163</v>
      </c>
      <c r="U335" s="23">
        <f t="shared" si="28"/>
        <v>0.50943070091307163</v>
      </c>
      <c r="V335" s="23">
        <f t="shared" si="29"/>
        <v>0.50943070091307163</v>
      </c>
    </row>
    <row r="336" spans="1:22" x14ac:dyDescent="0.35">
      <c r="A336" t="s">
        <v>254</v>
      </c>
      <c r="B336">
        <v>49</v>
      </c>
      <c r="C336" t="s">
        <v>276</v>
      </c>
      <c r="D336" t="s">
        <v>82</v>
      </c>
      <c r="E336" t="s">
        <v>25</v>
      </c>
      <c r="F336" t="s">
        <v>26</v>
      </c>
      <c r="G336">
        <v>6550</v>
      </c>
      <c r="H336">
        <v>0</v>
      </c>
      <c r="I336">
        <v>609</v>
      </c>
      <c r="J336">
        <v>0</v>
      </c>
      <c r="K336">
        <v>2.2464999999999999E-2</v>
      </c>
      <c r="L336">
        <v>8.0510149999999996</v>
      </c>
      <c r="M336" t="s">
        <v>27</v>
      </c>
      <c r="N336" t="s">
        <v>28</v>
      </c>
      <c r="O336" t="s">
        <v>113</v>
      </c>
      <c r="P336" t="s">
        <v>114</v>
      </c>
      <c r="Q336" t="s">
        <v>115</v>
      </c>
      <c r="R336" s="22">
        <f t="shared" si="25"/>
        <v>46288.827314224363</v>
      </c>
      <c r="S336" s="22">
        <f t="shared" si="26"/>
        <v>46288.827407407407</v>
      </c>
      <c r="T336" s="23">
        <f t="shared" si="27"/>
        <v>0</v>
      </c>
      <c r="U336" s="23">
        <f t="shared" si="28"/>
        <v>0</v>
      </c>
      <c r="V336" s="23">
        <f t="shared" si="29"/>
        <v>0</v>
      </c>
    </row>
    <row r="337" spans="1:22" x14ac:dyDescent="0.35">
      <c r="A337" t="s">
        <v>254</v>
      </c>
      <c r="B337">
        <v>50</v>
      </c>
      <c r="C337" t="s">
        <v>277</v>
      </c>
      <c r="D337" t="s">
        <v>82</v>
      </c>
      <c r="E337" t="s">
        <v>25</v>
      </c>
      <c r="F337" t="s">
        <v>26</v>
      </c>
      <c r="G337">
        <v>7624</v>
      </c>
      <c r="H337">
        <v>0</v>
      </c>
      <c r="I337">
        <v>581</v>
      </c>
      <c r="J337">
        <v>0</v>
      </c>
      <c r="K337">
        <v>2.487E-2</v>
      </c>
      <c r="L337">
        <v>8.8459380000000003</v>
      </c>
      <c r="M337" t="s">
        <v>27</v>
      </c>
      <c r="N337" t="s">
        <v>28</v>
      </c>
      <c r="O337" t="s">
        <v>113</v>
      </c>
      <c r="P337" t="s">
        <v>114</v>
      </c>
      <c r="Q337" t="s">
        <v>115</v>
      </c>
      <c r="R337" s="22">
        <f t="shared" si="25"/>
        <v>46288.827316597941</v>
      </c>
      <c r="S337" s="22">
        <f t="shared" si="26"/>
        <v>46288.827418981484</v>
      </c>
      <c r="T337" s="23">
        <f t="shared" si="27"/>
        <v>0</v>
      </c>
      <c r="U337" s="23">
        <f t="shared" si="28"/>
        <v>0</v>
      </c>
      <c r="V337" s="23">
        <f t="shared" si="29"/>
        <v>0</v>
      </c>
    </row>
    <row r="338" spans="1:22" x14ac:dyDescent="0.35">
      <c r="A338" t="s">
        <v>254</v>
      </c>
      <c r="B338">
        <v>51</v>
      </c>
      <c r="C338" t="s">
        <v>278</v>
      </c>
      <c r="D338" t="s">
        <v>82</v>
      </c>
      <c r="E338" t="s">
        <v>25</v>
      </c>
      <c r="F338" t="s">
        <v>26</v>
      </c>
      <c r="G338">
        <v>6785</v>
      </c>
      <c r="H338">
        <v>0</v>
      </c>
      <c r="I338">
        <v>583</v>
      </c>
      <c r="J338">
        <v>0</v>
      </c>
      <c r="K338">
        <v>2.2793000000000001E-2</v>
      </c>
      <c r="L338">
        <v>18.18103</v>
      </c>
      <c r="M338" t="s">
        <v>27</v>
      </c>
      <c r="N338" t="s">
        <v>28</v>
      </c>
      <c r="O338" t="s">
        <v>113</v>
      </c>
      <c r="P338" t="s">
        <v>114</v>
      </c>
      <c r="Q338" t="s">
        <v>115</v>
      </c>
      <c r="R338" s="22">
        <f t="shared" si="25"/>
        <v>46288.827312719557</v>
      </c>
      <c r="S338" s="22">
        <f t="shared" si="26"/>
        <v>46288.827523148146</v>
      </c>
      <c r="T338" s="23">
        <f t="shared" si="27"/>
        <v>18.18103005643934</v>
      </c>
      <c r="U338" s="23">
        <f t="shared" si="28"/>
        <v>18.18103005643934</v>
      </c>
      <c r="V338" s="23">
        <f t="shared" si="29"/>
        <v>18.18103005643934</v>
      </c>
    </row>
    <row r="339" spans="1:22" x14ac:dyDescent="0.35">
      <c r="A339" t="s">
        <v>254</v>
      </c>
      <c r="B339">
        <v>52</v>
      </c>
      <c r="C339" t="s">
        <v>279</v>
      </c>
      <c r="D339" t="s">
        <v>121</v>
      </c>
      <c r="E339" t="s">
        <v>25</v>
      </c>
      <c r="F339" t="s">
        <v>26</v>
      </c>
      <c r="G339">
        <v>6740</v>
      </c>
      <c r="H339">
        <v>0</v>
      </c>
      <c r="I339">
        <v>642</v>
      </c>
      <c r="J339">
        <v>0</v>
      </c>
      <c r="K339">
        <v>2.3269999999999999E-2</v>
      </c>
      <c r="L339">
        <v>11.561731</v>
      </c>
      <c r="M339" t="s">
        <v>27</v>
      </c>
      <c r="N339" t="s">
        <v>28</v>
      </c>
      <c r="O339" t="s">
        <v>122</v>
      </c>
      <c r="P339" t="s">
        <v>123</v>
      </c>
      <c r="Q339" t="s">
        <v>124</v>
      </c>
      <c r="R339" s="22">
        <f t="shared" si="25"/>
        <v>46288.827528220711</v>
      </c>
      <c r="S339" s="22">
        <f t="shared" si="26"/>
        <v>46288.827662037038</v>
      </c>
      <c r="T339" s="23">
        <f t="shared" si="27"/>
        <v>11.561730690300465</v>
      </c>
      <c r="U339" s="23">
        <f t="shared" si="28"/>
        <v>11.561730690300465</v>
      </c>
      <c r="V339" s="23">
        <f t="shared" si="29"/>
        <v>11.561730690300465</v>
      </c>
    </row>
    <row r="340" spans="1:22" x14ac:dyDescent="0.35">
      <c r="A340" t="s">
        <v>254</v>
      </c>
      <c r="B340">
        <v>53</v>
      </c>
      <c r="C340" t="s">
        <v>280</v>
      </c>
      <c r="D340" t="s">
        <v>121</v>
      </c>
      <c r="E340" t="s">
        <v>25</v>
      </c>
      <c r="F340" t="s">
        <v>26</v>
      </c>
      <c r="G340">
        <v>6935</v>
      </c>
      <c r="H340">
        <v>0</v>
      </c>
      <c r="I340">
        <v>653</v>
      </c>
      <c r="J340">
        <v>0</v>
      </c>
      <c r="K340">
        <v>2.3866999999999999E-2</v>
      </c>
      <c r="L340">
        <v>13.419442999999999</v>
      </c>
      <c r="M340" t="s">
        <v>27</v>
      </c>
      <c r="N340" t="s">
        <v>28</v>
      </c>
      <c r="O340" t="s">
        <v>122</v>
      </c>
      <c r="P340" t="s">
        <v>123</v>
      </c>
      <c r="Q340" t="s">
        <v>124</v>
      </c>
      <c r="R340" s="22">
        <f t="shared" si="25"/>
        <v>46288.827529867558</v>
      </c>
      <c r="S340" s="22">
        <f t="shared" si="26"/>
        <v>46288.827685185184</v>
      </c>
      <c r="T340" s="23">
        <f t="shared" si="27"/>
        <v>1.9999998388811946</v>
      </c>
      <c r="U340" s="23">
        <f t="shared" si="28"/>
        <v>1.9999998388811946</v>
      </c>
      <c r="V340" s="23">
        <f t="shared" si="29"/>
        <v>1.9999998388811946</v>
      </c>
    </row>
    <row r="341" spans="1:22" x14ac:dyDescent="0.35">
      <c r="A341" t="s">
        <v>254</v>
      </c>
      <c r="B341">
        <v>54</v>
      </c>
      <c r="C341" t="s">
        <v>281</v>
      </c>
      <c r="D341" t="s">
        <v>121</v>
      </c>
      <c r="E341" t="s">
        <v>25</v>
      </c>
      <c r="F341" t="s">
        <v>26</v>
      </c>
      <c r="G341">
        <v>8416</v>
      </c>
      <c r="H341">
        <v>0</v>
      </c>
      <c r="I341">
        <v>991</v>
      </c>
      <c r="J341">
        <v>0</v>
      </c>
      <c r="K341">
        <v>3.0949999999999998E-2</v>
      </c>
      <c r="L341">
        <v>14.071842</v>
      </c>
      <c r="M341" t="s">
        <v>27</v>
      </c>
      <c r="N341" t="s">
        <v>28</v>
      </c>
      <c r="O341" t="s">
        <v>122</v>
      </c>
      <c r="P341" t="s">
        <v>123</v>
      </c>
      <c r="Q341" t="s">
        <v>124</v>
      </c>
      <c r="R341" s="22">
        <f t="shared" si="25"/>
        <v>46288.827684353681</v>
      </c>
      <c r="S341" s="22">
        <f t="shared" si="26"/>
        <v>46288.827847222223</v>
      </c>
      <c r="T341" s="23">
        <f t="shared" si="27"/>
        <v>0</v>
      </c>
      <c r="U341" s="23">
        <f t="shared" si="28"/>
        <v>0</v>
      </c>
      <c r="V341" s="23">
        <f t="shared" si="29"/>
        <v>0</v>
      </c>
    </row>
    <row r="342" spans="1:22" x14ac:dyDescent="0.35">
      <c r="A342" t="s">
        <v>254</v>
      </c>
      <c r="B342">
        <v>55</v>
      </c>
      <c r="C342" t="s">
        <v>281</v>
      </c>
      <c r="D342" t="s">
        <v>121</v>
      </c>
      <c r="E342" t="s">
        <v>25</v>
      </c>
      <c r="F342" t="s">
        <v>26</v>
      </c>
      <c r="G342">
        <v>9040</v>
      </c>
      <c r="H342">
        <v>0</v>
      </c>
      <c r="I342">
        <v>1028</v>
      </c>
      <c r="J342">
        <v>0</v>
      </c>
      <c r="K342">
        <v>3.288E-2</v>
      </c>
      <c r="L342">
        <v>14.108475</v>
      </c>
      <c r="M342" t="s">
        <v>27</v>
      </c>
      <c r="N342" t="s">
        <v>28</v>
      </c>
      <c r="O342" t="s">
        <v>122</v>
      </c>
      <c r="P342" t="s">
        <v>123</v>
      </c>
      <c r="Q342" t="s">
        <v>124</v>
      </c>
      <c r="R342" s="22">
        <f t="shared" si="25"/>
        <v>46288.827683929689</v>
      </c>
      <c r="S342" s="22">
        <f t="shared" si="26"/>
        <v>46288.827847222223</v>
      </c>
      <c r="T342" s="23">
        <f t="shared" si="27"/>
        <v>0</v>
      </c>
      <c r="U342" s="23">
        <f t="shared" si="28"/>
        <v>0</v>
      </c>
      <c r="V342" s="23">
        <f t="shared" si="29"/>
        <v>0</v>
      </c>
    </row>
    <row r="343" spans="1:22" x14ac:dyDescent="0.35">
      <c r="A343" t="s">
        <v>254</v>
      </c>
      <c r="B343">
        <v>56</v>
      </c>
      <c r="C343" t="s">
        <v>281</v>
      </c>
      <c r="D343" t="s">
        <v>121</v>
      </c>
      <c r="E343" t="s">
        <v>25</v>
      </c>
      <c r="F343" t="s">
        <v>26</v>
      </c>
      <c r="G343">
        <v>8958</v>
      </c>
      <c r="H343">
        <v>0</v>
      </c>
      <c r="I343">
        <v>891</v>
      </c>
      <c r="J343">
        <v>0</v>
      </c>
      <c r="K343">
        <v>3.1304999999999999E-2</v>
      </c>
      <c r="L343">
        <v>14.200424999999999</v>
      </c>
      <c r="M343" t="s">
        <v>27</v>
      </c>
      <c r="N343" t="s">
        <v>28</v>
      </c>
      <c r="O343" t="s">
        <v>122</v>
      </c>
      <c r="P343" t="s">
        <v>123</v>
      </c>
      <c r="Q343" t="s">
        <v>124</v>
      </c>
      <c r="R343" s="22">
        <f t="shared" si="25"/>
        <v>46288.827682865449</v>
      </c>
      <c r="S343" s="22">
        <f t="shared" si="26"/>
        <v>46288.827847222223</v>
      </c>
      <c r="T343" s="23">
        <f t="shared" si="27"/>
        <v>14.000000129453838</v>
      </c>
      <c r="U343" s="23">
        <f t="shared" si="28"/>
        <v>14.000000129453838</v>
      </c>
      <c r="V343" s="23">
        <f t="shared" si="29"/>
        <v>14.000000129453838</v>
      </c>
    </row>
    <row r="344" spans="1:22" x14ac:dyDescent="0.35">
      <c r="A344" t="s">
        <v>254</v>
      </c>
      <c r="B344">
        <v>57</v>
      </c>
      <c r="C344" t="s">
        <v>282</v>
      </c>
      <c r="D344" t="s">
        <v>121</v>
      </c>
      <c r="E344" t="s">
        <v>25</v>
      </c>
      <c r="F344" t="s">
        <v>26</v>
      </c>
      <c r="G344">
        <v>9372</v>
      </c>
      <c r="H344">
        <v>0</v>
      </c>
      <c r="I344">
        <v>1302</v>
      </c>
      <c r="J344">
        <v>0</v>
      </c>
      <c r="K344">
        <v>3.6450000000000003E-2</v>
      </c>
      <c r="L344">
        <v>17.040723</v>
      </c>
      <c r="M344" t="s">
        <v>27</v>
      </c>
      <c r="N344" t="s">
        <v>28</v>
      </c>
      <c r="O344" t="s">
        <v>122</v>
      </c>
      <c r="P344" t="s">
        <v>123</v>
      </c>
      <c r="Q344" t="s">
        <v>124</v>
      </c>
      <c r="R344" s="22">
        <f t="shared" si="25"/>
        <v>46288.827684713855</v>
      </c>
      <c r="S344" s="22">
        <f t="shared" si="26"/>
        <v>46288.827881944446</v>
      </c>
      <c r="T344" s="23">
        <f t="shared" si="27"/>
        <v>3.0000000726431608</v>
      </c>
      <c r="U344" s="23">
        <f t="shared" si="28"/>
        <v>3.0000000726431608</v>
      </c>
      <c r="V344" s="23">
        <f t="shared" si="29"/>
        <v>3.0000000726431608</v>
      </c>
    </row>
    <row r="345" spans="1:22" x14ac:dyDescent="0.35">
      <c r="A345" t="s">
        <v>254</v>
      </c>
      <c r="B345">
        <v>58</v>
      </c>
      <c r="C345" t="s">
        <v>283</v>
      </c>
      <c r="D345" t="s">
        <v>121</v>
      </c>
      <c r="E345" t="s">
        <v>25</v>
      </c>
      <c r="F345" t="s">
        <v>26</v>
      </c>
      <c r="G345">
        <v>8634</v>
      </c>
      <c r="H345">
        <v>0</v>
      </c>
      <c r="I345">
        <v>975</v>
      </c>
      <c r="J345">
        <v>0</v>
      </c>
      <c r="K345">
        <v>3.1335000000000002E-2</v>
      </c>
      <c r="L345">
        <v>12.426213000000001</v>
      </c>
      <c r="M345" t="s">
        <v>27</v>
      </c>
      <c r="N345" t="s">
        <v>28</v>
      </c>
      <c r="O345" t="s">
        <v>122</v>
      </c>
      <c r="P345" t="s">
        <v>123</v>
      </c>
      <c r="Q345" t="s">
        <v>124</v>
      </c>
      <c r="R345" s="22">
        <f t="shared" si="25"/>
        <v>46288.827842289196</v>
      </c>
      <c r="S345" s="22">
        <f t="shared" si="26"/>
        <v>46288.827986111108</v>
      </c>
      <c r="T345" s="23">
        <f t="shared" si="27"/>
        <v>8.9999995892867446</v>
      </c>
      <c r="U345" s="23">
        <f t="shared" si="28"/>
        <v>8.9999995892867446</v>
      </c>
      <c r="V345" s="23">
        <f t="shared" si="29"/>
        <v>8.9999995892867446</v>
      </c>
    </row>
    <row r="346" spans="1:22" x14ac:dyDescent="0.35">
      <c r="A346" t="s">
        <v>254</v>
      </c>
      <c r="B346">
        <v>59</v>
      </c>
      <c r="C346" t="s">
        <v>284</v>
      </c>
      <c r="D346" t="s">
        <v>121</v>
      </c>
      <c r="E346" t="s">
        <v>25</v>
      </c>
      <c r="F346" t="s">
        <v>26</v>
      </c>
      <c r="G346">
        <v>11012</v>
      </c>
      <c r="H346">
        <v>0</v>
      </c>
      <c r="I346">
        <v>1970</v>
      </c>
      <c r="J346">
        <v>0</v>
      </c>
      <c r="K346">
        <v>4.7230000000000001E-2</v>
      </c>
      <c r="L346">
        <v>29.836447</v>
      </c>
      <c r="M346" t="s">
        <v>27</v>
      </c>
      <c r="N346" t="s">
        <v>28</v>
      </c>
      <c r="O346" t="s">
        <v>122</v>
      </c>
      <c r="P346" t="s">
        <v>123</v>
      </c>
      <c r="Q346" t="s">
        <v>124</v>
      </c>
      <c r="R346" s="22">
        <f t="shared" si="25"/>
        <v>46288.827849115201</v>
      </c>
      <c r="S346" s="22">
        <f t="shared" si="26"/>
        <v>46288.828194444446</v>
      </c>
      <c r="T346" s="23">
        <f t="shared" si="27"/>
        <v>18.000000435858965</v>
      </c>
      <c r="U346" s="23">
        <f t="shared" si="28"/>
        <v>18.000000435858965</v>
      </c>
      <c r="V346" s="23">
        <f t="shared" si="29"/>
        <v>18.000000435858965</v>
      </c>
    </row>
    <row r="347" spans="1:22" x14ac:dyDescent="0.35">
      <c r="A347" t="s">
        <v>254</v>
      </c>
      <c r="B347">
        <v>60</v>
      </c>
      <c r="C347" t="s">
        <v>285</v>
      </c>
      <c r="D347" t="s">
        <v>133</v>
      </c>
      <c r="E347" t="s">
        <v>25</v>
      </c>
      <c r="F347" t="s">
        <v>26</v>
      </c>
      <c r="G347">
        <v>3042</v>
      </c>
      <c r="H347">
        <v>0</v>
      </c>
      <c r="I347">
        <v>390</v>
      </c>
      <c r="J347">
        <v>0</v>
      </c>
      <c r="K347">
        <v>1.1505E-2</v>
      </c>
      <c r="L347">
        <v>4.747007</v>
      </c>
      <c r="M347" t="s">
        <v>27</v>
      </c>
      <c r="N347" t="s">
        <v>28</v>
      </c>
      <c r="O347" t="s">
        <v>122</v>
      </c>
      <c r="P347" t="s">
        <v>123</v>
      </c>
      <c r="Q347" t="s">
        <v>134</v>
      </c>
      <c r="R347" s="22">
        <f t="shared" si="25"/>
        <v>46288.828185798528</v>
      </c>
      <c r="S347" s="22">
        <f t="shared" si="26"/>
        <v>46288.828240740739</v>
      </c>
      <c r="T347" s="23">
        <f t="shared" si="27"/>
        <v>4.7470070421695709</v>
      </c>
      <c r="U347" s="23">
        <f t="shared" si="28"/>
        <v>3.9999996777623892</v>
      </c>
      <c r="V347" s="23">
        <f t="shared" si="29"/>
        <v>3.9999996777623892</v>
      </c>
    </row>
    <row r="348" spans="1:22" x14ac:dyDescent="0.35">
      <c r="A348" t="s">
        <v>286</v>
      </c>
      <c r="B348">
        <v>1</v>
      </c>
      <c r="C348" t="s">
        <v>287</v>
      </c>
      <c r="D348" t="s">
        <v>24</v>
      </c>
      <c r="E348" t="s">
        <v>25</v>
      </c>
      <c r="F348" t="s">
        <v>26</v>
      </c>
      <c r="G348">
        <v>1176</v>
      </c>
      <c r="H348">
        <v>1024</v>
      </c>
      <c r="I348">
        <v>322</v>
      </c>
      <c r="J348">
        <v>0</v>
      </c>
      <c r="K348">
        <v>4.8799999999999998E-3</v>
      </c>
      <c r="L348">
        <v>5.1643280000000003</v>
      </c>
      <c r="M348" t="s">
        <v>27</v>
      </c>
      <c r="N348" t="s">
        <v>28</v>
      </c>
      <c r="O348" t="s">
        <v>29</v>
      </c>
      <c r="P348" t="s">
        <v>30</v>
      </c>
      <c r="Q348" t="s">
        <v>31</v>
      </c>
      <c r="R348" s="22">
        <f t="shared" si="25"/>
        <v>46288.829292079543</v>
      </c>
      <c r="S348" s="22">
        <f t="shared" si="26"/>
        <v>46288.829351851855</v>
      </c>
      <c r="T348" s="23">
        <f t="shared" si="27"/>
        <v>5.1643277518451214</v>
      </c>
      <c r="U348" s="23">
        <f t="shared" si="28"/>
        <v>5.1643277518451214</v>
      </c>
      <c r="V348" s="23">
        <f t="shared" si="29"/>
        <v>5.1643277518451214</v>
      </c>
    </row>
    <row r="349" spans="1:22" x14ac:dyDescent="0.35">
      <c r="A349" t="s">
        <v>286</v>
      </c>
      <c r="B349">
        <v>2</v>
      </c>
      <c r="C349" t="s">
        <v>288</v>
      </c>
      <c r="D349" t="s">
        <v>33</v>
      </c>
      <c r="E349" t="s">
        <v>25</v>
      </c>
      <c r="F349" t="s">
        <v>34</v>
      </c>
      <c r="G349">
        <v>427</v>
      </c>
      <c r="H349">
        <v>0</v>
      </c>
      <c r="I349">
        <v>82</v>
      </c>
      <c r="J349">
        <v>0</v>
      </c>
      <c r="K349">
        <v>1.13E-4</v>
      </c>
      <c r="L349">
        <v>2.0533269999999999</v>
      </c>
      <c r="M349" t="s">
        <v>27</v>
      </c>
      <c r="N349" t="s">
        <v>28</v>
      </c>
      <c r="O349" t="s">
        <v>35</v>
      </c>
      <c r="P349" t="s">
        <v>36</v>
      </c>
      <c r="Q349" t="s">
        <v>37</v>
      </c>
      <c r="R349" s="22">
        <f t="shared" si="25"/>
        <v>46288.829351234643</v>
      </c>
      <c r="S349" s="22">
        <f t="shared" si="26"/>
        <v>46288.829375000001</v>
      </c>
      <c r="T349" s="23">
        <f t="shared" si="27"/>
        <v>2.0533269736915827</v>
      </c>
      <c r="U349" s="23">
        <f t="shared" si="28"/>
        <v>2.0533269736915827</v>
      </c>
      <c r="V349" s="23">
        <f t="shared" si="29"/>
        <v>1.9999998388811946</v>
      </c>
    </row>
    <row r="350" spans="1:22" x14ac:dyDescent="0.35">
      <c r="A350" t="s">
        <v>286</v>
      </c>
      <c r="B350">
        <v>3</v>
      </c>
      <c r="C350" t="s">
        <v>289</v>
      </c>
      <c r="D350" t="s">
        <v>39</v>
      </c>
      <c r="E350" t="s">
        <v>40</v>
      </c>
      <c r="F350" t="s">
        <v>41</v>
      </c>
      <c r="G350">
        <v>657</v>
      </c>
      <c r="H350">
        <v>0</v>
      </c>
      <c r="I350">
        <v>1505</v>
      </c>
      <c r="J350">
        <v>5.0000000000000001E-3</v>
      </c>
      <c r="K350">
        <v>7.1599999999999997E-3</v>
      </c>
      <c r="L350">
        <v>18.209299000000001</v>
      </c>
      <c r="M350" t="s">
        <v>27</v>
      </c>
      <c r="N350" t="s">
        <v>42</v>
      </c>
      <c r="O350" t="s">
        <v>43</v>
      </c>
      <c r="P350" t="s">
        <v>44</v>
      </c>
      <c r="Q350" t="s">
        <v>45</v>
      </c>
      <c r="R350" s="22">
        <f t="shared" si="25"/>
        <v>46288.829372577558</v>
      </c>
      <c r="S350" s="22">
        <f t="shared" si="26"/>
        <v>46288.829583333332</v>
      </c>
      <c r="T350" s="23">
        <f t="shared" si="27"/>
        <v>18.209298863075674</v>
      </c>
      <c r="U350" s="23">
        <f t="shared" si="28"/>
        <v>18.209298863075674</v>
      </c>
      <c r="V350" s="23">
        <f t="shared" si="29"/>
        <v>17.999999807216227</v>
      </c>
    </row>
    <row r="351" spans="1:22" x14ac:dyDescent="0.35">
      <c r="A351" t="s">
        <v>286</v>
      </c>
      <c r="B351">
        <v>4</v>
      </c>
      <c r="C351" t="s">
        <v>290</v>
      </c>
      <c r="D351" t="s">
        <v>39</v>
      </c>
      <c r="E351" t="s">
        <v>47</v>
      </c>
      <c r="F351" t="s">
        <v>47</v>
      </c>
      <c r="G351">
        <v>0</v>
      </c>
      <c r="H351">
        <v>0</v>
      </c>
      <c r="I351">
        <v>0</v>
      </c>
      <c r="J351">
        <v>1E-3</v>
      </c>
      <c r="K351">
        <v>1E-3</v>
      </c>
      <c r="L351">
        <v>0.955538</v>
      </c>
      <c r="M351" t="s">
        <v>27</v>
      </c>
      <c r="N351" t="s">
        <v>48</v>
      </c>
      <c r="O351" t="s">
        <v>49</v>
      </c>
      <c r="P351" t="s">
        <v>50</v>
      </c>
      <c r="Q351" t="s">
        <v>51</v>
      </c>
      <c r="R351" s="22">
        <f t="shared" si="25"/>
        <v>46288.829583847939</v>
      </c>
      <c r="S351" s="22">
        <f t="shared" si="26"/>
        <v>46288.829594907409</v>
      </c>
      <c r="T351" s="23">
        <f t="shared" si="27"/>
        <v>0.95553821884095669</v>
      </c>
      <c r="U351" s="23">
        <f t="shared" si="28"/>
        <v>0.95553821884095669</v>
      </c>
      <c r="V351" s="23">
        <f t="shared" si="29"/>
        <v>0.95553821884095669</v>
      </c>
    </row>
    <row r="352" spans="1:22" x14ac:dyDescent="0.35">
      <c r="A352" t="s">
        <v>286</v>
      </c>
      <c r="B352">
        <v>5</v>
      </c>
      <c r="C352" t="s">
        <v>291</v>
      </c>
      <c r="D352" t="s">
        <v>55</v>
      </c>
      <c r="E352" t="s">
        <v>25</v>
      </c>
      <c r="F352" t="s">
        <v>26</v>
      </c>
      <c r="G352">
        <v>11003</v>
      </c>
      <c r="H352">
        <v>0</v>
      </c>
      <c r="I352">
        <v>1383</v>
      </c>
      <c r="J352">
        <v>0</v>
      </c>
      <c r="K352">
        <v>4.1336999999999999E-2</v>
      </c>
      <c r="L352">
        <v>16.440712999999999</v>
      </c>
      <c r="M352" t="s">
        <v>27</v>
      </c>
      <c r="N352" t="s">
        <v>28</v>
      </c>
      <c r="O352" t="s">
        <v>56</v>
      </c>
      <c r="P352" t="s">
        <v>57</v>
      </c>
      <c r="Q352" t="s">
        <v>58</v>
      </c>
      <c r="R352" s="22">
        <f t="shared" si="25"/>
        <v>46288.829601380632</v>
      </c>
      <c r="S352" s="22">
        <f t="shared" si="26"/>
        <v>46288.829791666663</v>
      </c>
      <c r="T352" s="23">
        <f t="shared" si="27"/>
        <v>16.440713102929294</v>
      </c>
      <c r="U352" s="23">
        <f t="shared" si="28"/>
        <v>16.440713102929294</v>
      </c>
      <c r="V352" s="23">
        <f t="shared" si="29"/>
        <v>16.440713102929294</v>
      </c>
    </row>
    <row r="353" spans="1:22" x14ac:dyDescent="0.35">
      <c r="A353" t="s">
        <v>286</v>
      </c>
      <c r="B353">
        <v>6</v>
      </c>
      <c r="C353" t="s">
        <v>292</v>
      </c>
      <c r="D353" t="s">
        <v>55</v>
      </c>
      <c r="E353" t="s">
        <v>25</v>
      </c>
      <c r="F353" t="s">
        <v>26</v>
      </c>
      <c r="G353">
        <v>12487</v>
      </c>
      <c r="H353">
        <v>12160</v>
      </c>
      <c r="I353">
        <v>1787</v>
      </c>
      <c r="J353">
        <v>0</v>
      </c>
      <c r="K353">
        <v>3.3888000000000001E-2</v>
      </c>
      <c r="L353">
        <v>19.980892999999998</v>
      </c>
      <c r="M353" t="s">
        <v>27</v>
      </c>
      <c r="N353" t="s">
        <v>28</v>
      </c>
      <c r="O353" t="s">
        <v>56</v>
      </c>
      <c r="P353" t="s">
        <v>57</v>
      </c>
      <c r="Q353" t="s">
        <v>58</v>
      </c>
      <c r="R353" s="22">
        <f t="shared" si="25"/>
        <v>46288.829791887809</v>
      </c>
      <c r="S353" s="22">
        <f t="shared" si="26"/>
        <v>46288.830023148148</v>
      </c>
      <c r="T353" s="23">
        <f t="shared" si="27"/>
        <v>19.980893307365477</v>
      </c>
      <c r="U353" s="23">
        <f t="shared" si="28"/>
        <v>19.980893307365477</v>
      </c>
      <c r="V353" s="23">
        <f t="shared" si="29"/>
        <v>19.980893307365477</v>
      </c>
    </row>
    <row r="354" spans="1:22" x14ac:dyDescent="0.35">
      <c r="A354" t="s">
        <v>286</v>
      </c>
      <c r="B354">
        <v>7</v>
      </c>
      <c r="C354" t="s">
        <v>292</v>
      </c>
      <c r="D354" t="s">
        <v>61</v>
      </c>
      <c r="E354" t="s">
        <v>25</v>
      </c>
      <c r="F354" t="s">
        <v>62</v>
      </c>
      <c r="G354">
        <v>3</v>
      </c>
      <c r="H354">
        <v>0</v>
      </c>
      <c r="I354">
        <v>0</v>
      </c>
      <c r="J354">
        <v>0</v>
      </c>
      <c r="K354">
        <v>0</v>
      </c>
      <c r="L354">
        <v>0.83793200000000001</v>
      </c>
      <c r="M354" t="s">
        <v>27</v>
      </c>
      <c r="N354" t="s">
        <v>63</v>
      </c>
      <c r="O354" t="s">
        <v>64</v>
      </c>
      <c r="P354" t="s">
        <v>65</v>
      </c>
      <c r="Q354" t="s">
        <v>66</v>
      </c>
      <c r="R354" s="22">
        <f t="shared" si="25"/>
        <v>46288.830013449864</v>
      </c>
      <c r="S354" s="22">
        <f t="shared" si="26"/>
        <v>46288.830023148148</v>
      </c>
      <c r="T354" s="23">
        <f t="shared" si="27"/>
        <v>0.83793173544108868</v>
      </c>
      <c r="U354" s="23">
        <f t="shared" si="28"/>
        <v>0.83793173544108868</v>
      </c>
      <c r="V354" s="23">
        <f t="shared" si="29"/>
        <v>0</v>
      </c>
    </row>
    <row r="355" spans="1:22" x14ac:dyDescent="0.35">
      <c r="A355" t="s">
        <v>286</v>
      </c>
      <c r="B355">
        <v>8</v>
      </c>
      <c r="C355" t="s">
        <v>293</v>
      </c>
      <c r="D355" t="s">
        <v>61</v>
      </c>
      <c r="E355" t="s">
        <v>25</v>
      </c>
      <c r="F355" t="s">
        <v>62</v>
      </c>
      <c r="G355">
        <v>3</v>
      </c>
      <c r="H355">
        <v>0</v>
      </c>
      <c r="I355">
        <v>0</v>
      </c>
      <c r="J355">
        <v>0</v>
      </c>
      <c r="K355">
        <v>0</v>
      </c>
      <c r="L355">
        <v>0.45924700000000002</v>
      </c>
      <c r="M355" t="s">
        <v>27</v>
      </c>
      <c r="N355" t="s">
        <v>63</v>
      </c>
      <c r="O355" t="s">
        <v>64</v>
      </c>
      <c r="P355" t="s">
        <v>65</v>
      </c>
      <c r="Q355" t="s">
        <v>66</v>
      </c>
      <c r="R355" s="22">
        <f t="shared" si="25"/>
        <v>46288.830029406869</v>
      </c>
      <c r="S355" s="22">
        <f t="shared" si="26"/>
        <v>46288.830034722225</v>
      </c>
      <c r="T355" s="23">
        <f t="shared" si="27"/>
        <v>0.45924677979201078</v>
      </c>
      <c r="U355" s="23">
        <f t="shared" si="28"/>
        <v>0.45924677979201078</v>
      </c>
      <c r="V355" s="23">
        <f t="shared" si="29"/>
        <v>0.45924677979201078</v>
      </c>
    </row>
    <row r="356" spans="1:22" x14ac:dyDescent="0.35">
      <c r="A356" t="s">
        <v>286</v>
      </c>
      <c r="B356">
        <v>9</v>
      </c>
      <c r="C356" t="s">
        <v>293</v>
      </c>
      <c r="D356" t="s">
        <v>61</v>
      </c>
      <c r="E356" t="s">
        <v>25</v>
      </c>
      <c r="F356" t="s">
        <v>62</v>
      </c>
      <c r="G356">
        <v>5</v>
      </c>
      <c r="H356">
        <v>0</v>
      </c>
      <c r="I356">
        <v>0</v>
      </c>
      <c r="J356">
        <v>0</v>
      </c>
      <c r="K356">
        <v>0</v>
      </c>
      <c r="L356">
        <v>0.178754</v>
      </c>
      <c r="M356" t="s">
        <v>27</v>
      </c>
      <c r="N356" t="s">
        <v>63</v>
      </c>
      <c r="O356" t="s">
        <v>64</v>
      </c>
      <c r="P356" t="s">
        <v>65</v>
      </c>
      <c r="Q356" t="s">
        <v>66</v>
      </c>
      <c r="R356" s="22">
        <f t="shared" si="25"/>
        <v>46288.830032653314</v>
      </c>
      <c r="S356" s="22">
        <f t="shared" si="26"/>
        <v>46288.830034722225</v>
      </c>
      <c r="T356" s="23">
        <f t="shared" si="27"/>
        <v>0</v>
      </c>
      <c r="U356" s="23">
        <f t="shared" si="28"/>
        <v>0</v>
      </c>
      <c r="V356" s="23">
        <f t="shared" si="29"/>
        <v>0</v>
      </c>
    </row>
    <row r="357" spans="1:22" x14ac:dyDescent="0.35">
      <c r="A357" t="s">
        <v>286</v>
      </c>
      <c r="B357">
        <v>10</v>
      </c>
      <c r="C357" t="s">
        <v>294</v>
      </c>
      <c r="D357" t="s">
        <v>61</v>
      </c>
      <c r="E357" t="s">
        <v>25</v>
      </c>
      <c r="F357" t="s">
        <v>62</v>
      </c>
      <c r="G357">
        <v>5</v>
      </c>
      <c r="H357">
        <v>0</v>
      </c>
      <c r="I357">
        <v>0</v>
      </c>
      <c r="J357">
        <v>0</v>
      </c>
      <c r="K357">
        <v>0</v>
      </c>
      <c r="L357">
        <v>0.21227399999999999</v>
      </c>
      <c r="M357" t="s">
        <v>27</v>
      </c>
      <c r="N357" t="s">
        <v>63</v>
      </c>
      <c r="O357" t="s">
        <v>64</v>
      </c>
      <c r="P357" t="s">
        <v>65</v>
      </c>
      <c r="Q357" t="s">
        <v>66</v>
      </c>
      <c r="R357" s="22">
        <f t="shared" si="25"/>
        <v>46288.830043839422</v>
      </c>
      <c r="S357" s="22">
        <f t="shared" si="26"/>
        <v>46288.830046296294</v>
      </c>
      <c r="T357" s="23">
        <f t="shared" si="27"/>
        <v>0</v>
      </c>
      <c r="U357" s="23">
        <f t="shared" si="28"/>
        <v>0</v>
      </c>
      <c r="V357" s="23">
        <f t="shared" si="29"/>
        <v>0</v>
      </c>
    </row>
    <row r="358" spans="1:22" x14ac:dyDescent="0.35">
      <c r="A358" t="s">
        <v>286</v>
      </c>
      <c r="B358">
        <v>11</v>
      </c>
      <c r="C358" t="s">
        <v>294</v>
      </c>
      <c r="D358" t="s">
        <v>61</v>
      </c>
      <c r="E358" t="s">
        <v>25</v>
      </c>
      <c r="F358" t="s">
        <v>62</v>
      </c>
      <c r="G358">
        <v>4</v>
      </c>
      <c r="H358">
        <v>0</v>
      </c>
      <c r="I358">
        <v>0</v>
      </c>
      <c r="J358">
        <v>0</v>
      </c>
      <c r="K358">
        <v>0</v>
      </c>
      <c r="L358">
        <v>0.21593499999999999</v>
      </c>
      <c r="M358" t="s">
        <v>27</v>
      </c>
      <c r="N358" t="s">
        <v>63</v>
      </c>
      <c r="O358" t="s">
        <v>64</v>
      </c>
      <c r="P358" t="s">
        <v>65</v>
      </c>
      <c r="Q358" t="s">
        <v>66</v>
      </c>
      <c r="R358" s="22">
        <f t="shared" si="25"/>
        <v>46288.830043797047</v>
      </c>
      <c r="S358" s="22">
        <f t="shared" si="26"/>
        <v>46288.830046296294</v>
      </c>
      <c r="T358" s="23">
        <f t="shared" si="27"/>
        <v>0.21593500860035419</v>
      </c>
      <c r="U358" s="23">
        <f t="shared" si="28"/>
        <v>0.21593500860035419</v>
      </c>
      <c r="V358" s="23">
        <f t="shared" si="29"/>
        <v>0.21593500860035419</v>
      </c>
    </row>
    <row r="359" spans="1:22" x14ac:dyDescent="0.35">
      <c r="A359" t="s">
        <v>286</v>
      </c>
      <c r="B359">
        <v>12</v>
      </c>
      <c r="C359" t="s">
        <v>294</v>
      </c>
      <c r="D359" t="s">
        <v>61</v>
      </c>
      <c r="E359" t="s">
        <v>25</v>
      </c>
      <c r="F359" t="s">
        <v>62</v>
      </c>
      <c r="G359">
        <v>4</v>
      </c>
      <c r="H359">
        <v>0</v>
      </c>
      <c r="I359">
        <v>0</v>
      </c>
      <c r="J359">
        <v>0</v>
      </c>
      <c r="K359">
        <v>0</v>
      </c>
      <c r="L359">
        <v>0.19864699999999999</v>
      </c>
      <c r="M359" t="s">
        <v>27</v>
      </c>
      <c r="N359" t="s">
        <v>63</v>
      </c>
      <c r="O359" t="s">
        <v>64</v>
      </c>
      <c r="P359" t="s">
        <v>65</v>
      </c>
      <c r="Q359" t="s">
        <v>66</v>
      </c>
      <c r="R359" s="22">
        <f t="shared" si="25"/>
        <v>46288.830043997143</v>
      </c>
      <c r="S359" s="22">
        <f t="shared" si="26"/>
        <v>46288.830046296294</v>
      </c>
      <c r="T359" s="23">
        <f t="shared" si="27"/>
        <v>0</v>
      </c>
      <c r="U359" s="23">
        <f t="shared" si="28"/>
        <v>0</v>
      </c>
      <c r="V359" s="23">
        <f t="shared" si="29"/>
        <v>0</v>
      </c>
    </row>
    <row r="360" spans="1:22" x14ac:dyDescent="0.35">
      <c r="A360" t="s">
        <v>286</v>
      </c>
      <c r="B360">
        <v>13</v>
      </c>
      <c r="C360" t="s">
        <v>295</v>
      </c>
      <c r="D360" t="s">
        <v>61</v>
      </c>
      <c r="E360" t="s">
        <v>25</v>
      </c>
      <c r="F360" t="s">
        <v>62</v>
      </c>
      <c r="G360">
        <v>5</v>
      </c>
      <c r="H360">
        <v>0</v>
      </c>
      <c r="I360">
        <v>0</v>
      </c>
      <c r="J360">
        <v>0</v>
      </c>
      <c r="K360">
        <v>0</v>
      </c>
      <c r="L360">
        <v>0.207957</v>
      </c>
      <c r="M360" t="s">
        <v>27</v>
      </c>
      <c r="N360" t="s">
        <v>63</v>
      </c>
      <c r="O360" t="s">
        <v>64</v>
      </c>
      <c r="P360" t="s">
        <v>65</v>
      </c>
      <c r="Q360" t="s">
        <v>66</v>
      </c>
      <c r="R360" s="22">
        <f t="shared" si="25"/>
        <v>46288.830055463462</v>
      </c>
      <c r="S360" s="22">
        <f t="shared" si="26"/>
        <v>46288.830057870371</v>
      </c>
      <c r="T360" s="23">
        <f t="shared" si="27"/>
        <v>0</v>
      </c>
      <c r="U360" s="23">
        <f t="shared" si="28"/>
        <v>0</v>
      </c>
      <c r="V360" s="23">
        <f t="shared" si="29"/>
        <v>0</v>
      </c>
    </row>
    <row r="361" spans="1:22" x14ac:dyDescent="0.35">
      <c r="A361" t="s">
        <v>286</v>
      </c>
      <c r="B361">
        <v>14</v>
      </c>
      <c r="C361" t="s">
        <v>295</v>
      </c>
      <c r="D361" t="s">
        <v>61</v>
      </c>
      <c r="E361" t="s">
        <v>25</v>
      </c>
      <c r="F361" t="s">
        <v>62</v>
      </c>
      <c r="G361">
        <v>5</v>
      </c>
      <c r="H361">
        <v>0</v>
      </c>
      <c r="I361">
        <v>0</v>
      </c>
      <c r="J361">
        <v>0</v>
      </c>
      <c r="K361">
        <v>0</v>
      </c>
      <c r="L361">
        <v>0.219418</v>
      </c>
      <c r="M361" t="s">
        <v>27</v>
      </c>
      <c r="N361" t="s">
        <v>63</v>
      </c>
      <c r="O361" t="s">
        <v>64</v>
      </c>
      <c r="P361" t="s">
        <v>65</v>
      </c>
      <c r="Q361" t="s">
        <v>66</v>
      </c>
      <c r="R361" s="22">
        <f t="shared" si="25"/>
        <v>46288.830055330815</v>
      </c>
      <c r="S361" s="22">
        <f t="shared" si="26"/>
        <v>46288.830057870371</v>
      </c>
      <c r="T361" s="23">
        <f t="shared" si="27"/>
        <v>0.21941768936812878</v>
      </c>
      <c r="U361" s="23">
        <f t="shared" si="28"/>
        <v>0.21941768936812878</v>
      </c>
      <c r="V361" s="23">
        <f t="shared" si="29"/>
        <v>0.21941768936812878</v>
      </c>
    </row>
    <row r="362" spans="1:22" x14ac:dyDescent="0.35">
      <c r="A362" t="s">
        <v>286</v>
      </c>
      <c r="B362">
        <v>15</v>
      </c>
      <c r="C362" t="s">
        <v>296</v>
      </c>
      <c r="D362" t="s">
        <v>61</v>
      </c>
      <c r="E362" t="s">
        <v>25</v>
      </c>
      <c r="F362" t="s">
        <v>62</v>
      </c>
      <c r="G362">
        <v>3</v>
      </c>
      <c r="H362">
        <v>0</v>
      </c>
      <c r="I362">
        <v>0</v>
      </c>
      <c r="J362">
        <v>0</v>
      </c>
      <c r="K362">
        <v>0</v>
      </c>
      <c r="L362">
        <v>0.21953800000000001</v>
      </c>
      <c r="M362" t="s">
        <v>27</v>
      </c>
      <c r="N362" t="s">
        <v>63</v>
      </c>
      <c r="O362" t="s">
        <v>64</v>
      </c>
      <c r="P362" t="s">
        <v>65</v>
      </c>
      <c r="Q362" t="s">
        <v>66</v>
      </c>
      <c r="R362" s="22">
        <f t="shared" si="25"/>
        <v>46288.830066903502</v>
      </c>
      <c r="S362" s="22">
        <f t="shared" si="26"/>
        <v>46288.830069444448</v>
      </c>
      <c r="T362" s="23">
        <f t="shared" si="27"/>
        <v>0.21953776013106108</v>
      </c>
      <c r="U362" s="23">
        <f t="shared" si="28"/>
        <v>0.21953776013106108</v>
      </c>
      <c r="V362" s="23">
        <f t="shared" si="29"/>
        <v>0.21953776013106108</v>
      </c>
    </row>
    <row r="363" spans="1:22" x14ac:dyDescent="0.35">
      <c r="A363" t="s">
        <v>286</v>
      </c>
      <c r="B363">
        <v>16</v>
      </c>
      <c r="C363" t="s">
        <v>296</v>
      </c>
      <c r="D363" t="s">
        <v>61</v>
      </c>
      <c r="E363" t="s">
        <v>25</v>
      </c>
      <c r="F363" t="s">
        <v>62</v>
      </c>
      <c r="G363">
        <v>4</v>
      </c>
      <c r="H363">
        <v>0</v>
      </c>
      <c r="I363">
        <v>0</v>
      </c>
      <c r="J363">
        <v>0</v>
      </c>
      <c r="K363">
        <v>0</v>
      </c>
      <c r="L363">
        <v>0.214452</v>
      </c>
      <c r="M363" t="s">
        <v>27</v>
      </c>
      <c r="N363" t="s">
        <v>63</v>
      </c>
      <c r="O363" t="s">
        <v>64</v>
      </c>
      <c r="P363" t="s">
        <v>65</v>
      </c>
      <c r="Q363" t="s">
        <v>66</v>
      </c>
      <c r="R363" s="22">
        <f t="shared" si="25"/>
        <v>46288.830066962364</v>
      </c>
      <c r="S363" s="22">
        <f t="shared" si="26"/>
        <v>46288.830069444448</v>
      </c>
      <c r="T363" s="23">
        <f t="shared" si="27"/>
        <v>0</v>
      </c>
      <c r="U363" s="23">
        <f t="shared" si="28"/>
        <v>0</v>
      </c>
      <c r="V363" s="23">
        <f t="shared" si="29"/>
        <v>0</v>
      </c>
    </row>
    <row r="364" spans="1:22" x14ac:dyDescent="0.35">
      <c r="A364" t="s">
        <v>286</v>
      </c>
      <c r="B364">
        <v>17</v>
      </c>
      <c r="C364" t="s">
        <v>296</v>
      </c>
      <c r="D364" t="s">
        <v>61</v>
      </c>
      <c r="E364" t="s">
        <v>25</v>
      </c>
      <c r="F364" t="s">
        <v>62</v>
      </c>
      <c r="G364">
        <v>4</v>
      </c>
      <c r="H364">
        <v>0</v>
      </c>
      <c r="I364">
        <v>0</v>
      </c>
      <c r="J364">
        <v>0</v>
      </c>
      <c r="K364">
        <v>0</v>
      </c>
      <c r="L364">
        <v>0.19690099999999999</v>
      </c>
      <c r="M364" t="s">
        <v>27</v>
      </c>
      <c r="N364" t="s">
        <v>63</v>
      </c>
      <c r="O364" t="s">
        <v>64</v>
      </c>
      <c r="P364" t="s">
        <v>65</v>
      </c>
      <c r="Q364" t="s">
        <v>66</v>
      </c>
      <c r="R364" s="22">
        <f t="shared" si="25"/>
        <v>46288.830067165502</v>
      </c>
      <c r="S364" s="22">
        <f t="shared" si="26"/>
        <v>46288.830069444448</v>
      </c>
      <c r="T364" s="23">
        <f t="shared" si="27"/>
        <v>0</v>
      </c>
      <c r="U364" s="23">
        <f t="shared" si="28"/>
        <v>0</v>
      </c>
      <c r="V364" s="23">
        <f t="shared" si="29"/>
        <v>0</v>
      </c>
    </row>
    <row r="365" spans="1:22" x14ac:dyDescent="0.35">
      <c r="A365" t="s">
        <v>286</v>
      </c>
      <c r="B365">
        <v>18</v>
      </c>
      <c r="C365" t="s">
        <v>297</v>
      </c>
      <c r="D365" t="s">
        <v>61</v>
      </c>
      <c r="E365" t="s">
        <v>25</v>
      </c>
      <c r="F365" t="s">
        <v>62</v>
      </c>
      <c r="G365">
        <v>6</v>
      </c>
      <c r="H365">
        <v>0</v>
      </c>
      <c r="I365">
        <v>0</v>
      </c>
      <c r="J365">
        <v>0</v>
      </c>
      <c r="K365">
        <v>0</v>
      </c>
      <c r="L365">
        <v>0.18907299999999999</v>
      </c>
      <c r="M365" t="s">
        <v>27</v>
      </c>
      <c r="N365" t="s">
        <v>63</v>
      </c>
      <c r="O365" t="s">
        <v>64</v>
      </c>
      <c r="P365" t="s">
        <v>65</v>
      </c>
      <c r="Q365" t="s">
        <v>66</v>
      </c>
      <c r="R365" s="22">
        <f t="shared" si="25"/>
        <v>46288.830078830171</v>
      </c>
      <c r="S365" s="22">
        <f t="shared" si="26"/>
        <v>46288.830081018517</v>
      </c>
      <c r="T365" s="23">
        <f t="shared" si="27"/>
        <v>0</v>
      </c>
      <c r="U365" s="23">
        <f t="shared" si="28"/>
        <v>0</v>
      </c>
      <c r="V365" s="23">
        <f t="shared" si="29"/>
        <v>0</v>
      </c>
    </row>
    <row r="366" spans="1:22" x14ac:dyDescent="0.35">
      <c r="A366" t="s">
        <v>286</v>
      </c>
      <c r="B366">
        <v>19</v>
      </c>
      <c r="C366" t="s">
        <v>297</v>
      </c>
      <c r="D366" t="s">
        <v>61</v>
      </c>
      <c r="E366" t="s">
        <v>25</v>
      </c>
      <c r="F366" t="s">
        <v>62</v>
      </c>
      <c r="G366">
        <v>3</v>
      </c>
      <c r="H366">
        <v>0</v>
      </c>
      <c r="I366">
        <v>0</v>
      </c>
      <c r="J366">
        <v>0</v>
      </c>
      <c r="K366">
        <v>0</v>
      </c>
      <c r="L366">
        <v>0.18946099999999999</v>
      </c>
      <c r="M366" t="s">
        <v>27</v>
      </c>
      <c r="N366" t="s">
        <v>63</v>
      </c>
      <c r="O366" t="s">
        <v>64</v>
      </c>
      <c r="P366" t="s">
        <v>65</v>
      </c>
      <c r="Q366" t="s">
        <v>66</v>
      </c>
      <c r="R366" s="22">
        <f t="shared" si="25"/>
        <v>46288.830078825682</v>
      </c>
      <c r="S366" s="22">
        <f t="shared" si="26"/>
        <v>46288.830081018517</v>
      </c>
      <c r="T366" s="23">
        <f t="shared" si="27"/>
        <v>0</v>
      </c>
      <c r="U366" s="23">
        <f t="shared" si="28"/>
        <v>0</v>
      </c>
      <c r="V366" s="23">
        <f t="shared" si="29"/>
        <v>0</v>
      </c>
    </row>
    <row r="367" spans="1:22" x14ac:dyDescent="0.35">
      <c r="A367" t="s">
        <v>286</v>
      </c>
      <c r="B367">
        <v>20</v>
      </c>
      <c r="C367" t="s">
        <v>297</v>
      </c>
      <c r="D367" t="s">
        <v>61</v>
      </c>
      <c r="E367" t="s">
        <v>25</v>
      </c>
      <c r="F367" t="s">
        <v>62</v>
      </c>
      <c r="G367">
        <v>6</v>
      </c>
      <c r="H367">
        <v>0</v>
      </c>
      <c r="I367">
        <v>0</v>
      </c>
      <c r="J367">
        <v>0</v>
      </c>
      <c r="K367">
        <v>0</v>
      </c>
      <c r="L367">
        <v>0.21771499999999999</v>
      </c>
      <c r="M367" t="s">
        <v>27</v>
      </c>
      <c r="N367" t="s">
        <v>63</v>
      </c>
      <c r="O367" t="s">
        <v>64</v>
      </c>
      <c r="P367" t="s">
        <v>65</v>
      </c>
      <c r="Q367" t="s">
        <v>66</v>
      </c>
      <c r="R367" s="22">
        <f t="shared" si="25"/>
        <v>46288.830078498671</v>
      </c>
      <c r="S367" s="22">
        <f t="shared" si="26"/>
        <v>46288.830081018517</v>
      </c>
      <c r="T367" s="23">
        <f t="shared" si="27"/>
        <v>0.21771469619125128</v>
      </c>
      <c r="U367" s="23">
        <f t="shared" si="28"/>
        <v>0.21771469619125128</v>
      </c>
      <c r="V367" s="23">
        <f t="shared" si="29"/>
        <v>0.21771469619125128</v>
      </c>
    </row>
    <row r="368" spans="1:22" x14ac:dyDescent="0.35">
      <c r="A368" t="s">
        <v>286</v>
      </c>
      <c r="B368">
        <v>21</v>
      </c>
      <c r="C368" t="s">
        <v>298</v>
      </c>
      <c r="D368" t="s">
        <v>61</v>
      </c>
      <c r="E368" t="s">
        <v>25</v>
      </c>
      <c r="F368" t="s">
        <v>62</v>
      </c>
      <c r="G368">
        <v>3</v>
      </c>
      <c r="H368">
        <v>0</v>
      </c>
      <c r="I368">
        <v>0</v>
      </c>
      <c r="J368">
        <v>0</v>
      </c>
      <c r="K368">
        <v>0</v>
      </c>
      <c r="L368">
        <v>0.24118100000000001</v>
      </c>
      <c r="M368" t="s">
        <v>27</v>
      </c>
      <c r="N368" t="s">
        <v>63</v>
      </c>
      <c r="O368" t="s">
        <v>64</v>
      </c>
      <c r="P368" t="s">
        <v>65</v>
      </c>
      <c r="Q368" t="s">
        <v>66</v>
      </c>
      <c r="R368" s="22">
        <f t="shared" si="25"/>
        <v>46288.830089801144</v>
      </c>
      <c r="S368" s="22">
        <f t="shared" si="26"/>
        <v>46288.830092592594</v>
      </c>
      <c r="T368" s="23">
        <f t="shared" si="27"/>
        <v>0</v>
      </c>
      <c r="U368" s="23">
        <f t="shared" si="28"/>
        <v>0</v>
      </c>
      <c r="V368" s="23">
        <f t="shared" si="29"/>
        <v>0</v>
      </c>
    </row>
    <row r="369" spans="1:22" x14ac:dyDescent="0.35">
      <c r="A369" t="s">
        <v>286</v>
      </c>
      <c r="B369">
        <v>22</v>
      </c>
      <c r="C369" t="s">
        <v>298</v>
      </c>
      <c r="D369" t="s">
        <v>61</v>
      </c>
      <c r="E369" t="s">
        <v>25</v>
      </c>
      <c r="F369" t="s">
        <v>62</v>
      </c>
      <c r="G369">
        <v>4</v>
      </c>
      <c r="H369">
        <v>0</v>
      </c>
      <c r="I369">
        <v>0</v>
      </c>
      <c r="J369">
        <v>0</v>
      </c>
      <c r="K369">
        <v>0</v>
      </c>
      <c r="L369">
        <v>0.34850700000000001</v>
      </c>
      <c r="M369" t="s">
        <v>27</v>
      </c>
      <c r="N369" t="s">
        <v>63</v>
      </c>
      <c r="O369" t="s">
        <v>64</v>
      </c>
      <c r="P369" t="s">
        <v>65</v>
      </c>
      <c r="Q369" t="s">
        <v>66</v>
      </c>
      <c r="R369" s="22">
        <f t="shared" si="25"/>
        <v>46288.830088558949</v>
      </c>
      <c r="S369" s="22">
        <f t="shared" si="26"/>
        <v>46288.830092592594</v>
      </c>
      <c r="T369" s="23">
        <f t="shared" si="27"/>
        <v>0.34850696101784706</v>
      </c>
      <c r="U369" s="23">
        <f t="shared" si="28"/>
        <v>0.34850696101784706</v>
      </c>
      <c r="V369" s="23">
        <f t="shared" si="29"/>
        <v>0.34850696101784706</v>
      </c>
    </row>
    <row r="370" spans="1:22" x14ac:dyDescent="0.35">
      <c r="A370" t="s">
        <v>286</v>
      </c>
      <c r="B370">
        <v>23</v>
      </c>
      <c r="C370" t="s">
        <v>298</v>
      </c>
      <c r="D370" t="s">
        <v>61</v>
      </c>
      <c r="E370" t="s">
        <v>25</v>
      </c>
      <c r="F370" t="s">
        <v>62</v>
      </c>
      <c r="G370">
        <v>5</v>
      </c>
      <c r="H370">
        <v>0</v>
      </c>
      <c r="I370">
        <v>0</v>
      </c>
      <c r="J370">
        <v>0</v>
      </c>
      <c r="K370">
        <v>0</v>
      </c>
      <c r="L370">
        <v>0.210005</v>
      </c>
      <c r="M370" t="s">
        <v>27</v>
      </c>
      <c r="N370" t="s">
        <v>63</v>
      </c>
      <c r="O370" t="s">
        <v>64</v>
      </c>
      <c r="P370" t="s">
        <v>65</v>
      </c>
      <c r="Q370" t="s">
        <v>66</v>
      </c>
      <c r="R370" s="22">
        <f t="shared" si="25"/>
        <v>46288.83009016198</v>
      </c>
      <c r="S370" s="22">
        <f t="shared" si="26"/>
        <v>46288.830092592594</v>
      </c>
      <c r="T370" s="23">
        <f t="shared" si="27"/>
        <v>0</v>
      </c>
      <c r="U370" s="23">
        <f t="shared" si="28"/>
        <v>0</v>
      </c>
      <c r="V370" s="23">
        <f t="shared" si="29"/>
        <v>0</v>
      </c>
    </row>
    <row r="371" spans="1:22" x14ac:dyDescent="0.35">
      <c r="A371" t="s">
        <v>286</v>
      </c>
      <c r="B371">
        <v>24</v>
      </c>
      <c r="C371" t="s">
        <v>299</v>
      </c>
      <c r="D371" t="s">
        <v>61</v>
      </c>
      <c r="E371" t="s">
        <v>25</v>
      </c>
      <c r="F371" t="s">
        <v>62</v>
      </c>
      <c r="G371">
        <v>6</v>
      </c>
      <c r="H371">
        <v>0</v>
      </c>
      <c r="I371">
        <v>0</v>
      </c>
      <c r="J371">
        <v>0</v>
      </c>
      <c r="K371">
        <v>0</v>
      </c>
      <c r="L371">
        <v>0.22125500000000001</v>
      </c>
      <c r="M371" t="s">
        <v>27</v>
      </c>
      <c r="N371" t="s">
        <v>63</v>
      </c>
      <c r="O371" t="s">
        <v>64</v>
      </c>
      <c r="P371" t="s">
        <v>65</v>
      </c>
      <c r="Q371" t="s">
        <v>66</v>
      </c>
      <c r="R371" s="22">
        <f t="shared" si="25"/>
        <v>46288.830101605839</v>
      </c>
      <c r="S371" s="22">
        <f t="shared" si="26"/>
        <v>46288.830104166664</v>
      </c>
      <c r="T371" s="23">
        <f t="shared" si="27"/>
        <v>0</v>
      </c>
      <c r="U371" s="23">
        <f t="shared" si="28"/>
        <v>0</v>
      </c>
      <c r="V371" s="23">
        <f t="shared" si="29"/>
        <v>0</v>
      </c>
    </row>
    <row r="372" spans="1:22" x14ac:dyDescent="0.35">
      <c r="A372" t="s">
        <v>286</v>
      </c>
      <c r="B372">
        <v>25</v>
      </c>
      <c r="C372" t="s">
        <v>299</v>
      </c>
      <c r="D372" t="s">
        <v>61</v>
      </c>
      <c r="E372" t="s">
        <v>25</v>
      </c>
      <c r="F372" t="s">
        <v>62</v>
      </c>
      <c r="G372">
        <v>19</v>
      </c>
      <c r="H372">
        <v>0</v>
      </c>
      <c r="I372">
        <v>0</v>
      </c>
      <c r="J372">
        <v>0</v>
      </c>
      <c r="K372">
        <v>0</v>
      </c>
      <c r="L372">
        <v>0.22561100000000001</v>
      </c>
      <c r="M372" t="s">
        <v>27</v>
      </c>
      <c r="N372" t="s">
        <v>63</v>
      </c>
      <c r="O372" t="s">
        <v>64</v>
      </c>
      <c r="P372" t="s">
        <v>65</v>
      </c>
      <c r="Q372" t="s">
        <v>66</v>
      </c>
      <c r="R372" s="22">
        <f t="shared" si="25"/>
        <v>46288.830101555424</v>
      </c>
      <c r="S372" s="22">
        <f t="shared" si="26"/>
        <v>46288.830104166664</v>
      </c>
      <c r="T372" s="23">
        <f t="shared" si="27"/>
        <v>0.22561107762157917</v>
      </c>
      <c r="U372" s="23">
        <f t="shared" si="28"/>
        <v>0.22561107762157917</v>
      </c>
      <c r="V372" s="23">
        <f t="shared" si="29"/>
        <v>0.22561107762157917</v>
      </c>
    </row>
    <row r="373" spans="1:22" x14ac:dyDescent="0.35">
      <c r="A373" t="s">
        <v>286</v>
      </c>
      <c r="B373">
        <v>26</v>
      </c>
      <c r="C373" t="s">
        <v>300</v>
      </c>
      <c r="D373" t="s">
        <v>61</v>
      </c>
      <c r="E373" t="s">
        <v>25</v>
      </c>
      <c r="F373" t="s">
        <v>62</v>
      </c>
      <c r="G373">
        <v>5</v>
      </c>
      <c r="H373">
        <v>0</v>
      </c>
      <c r="I373">
        <v>0</v>
      </c>
      <c r="J373">
        <v>0</v>
      </c>
      <c r="K373">
        <v>0</v>
      </c>
      <c r="L373">
        <v>0.23741000000000001</v>
      </c>
      <c r="M373" t="s">
        <v>27</v>
      </c>
      <c r="N373" t="s">
        <v>63</v>
      </c>
      <c r="O373" t="s">
        <v>64</v>
      </c>
      <c r="P373" t="s">
        <v>65</v>
      </c>
      <c r="Q373" t="s">
        <v>66</v>
      </c>
      <c r="R373" s="22">
        <f t="shared" si="25"/>
        <v>46288.830112992939</v>
      </c>
      <c r="S373" s="22">
        <f t="shared" si="26"/>
        <v>46288.83011574074</v>
      </c>
      <c r="T373" s="23">
        <f t="shared" si="27"/>
        <v>0.23741007316857576</v>
      </c>
      <c r="U373" s="23">
        <f t="shared" si="28"/>
        <v>0.23741007316857576</v>
      </c>
      <c r="V373" s="23">
        <f t="shared" si="29"/>
        <v>0.23741007316857576</v>
      </c>
    </row>
    <row r="374" spans="1:22" x14ac:dyDescent="0.35">
      <c r="A374" t="s">
        <v>286</v>
      </c>
      <c r="B374">
        <v>27</v>
      </c>
      <c r="C374" t="s">
        <v>301</v>
      </c>
      <c r="D374" t="s">
        <v>61</v>
      </c>
      <c r="E374" t="s">
        <v>25</v>
      </c>
      <c r="F374" t="s">
        <v>62</v>
      </c>
      <c r="G374">
        <v>3</v>
      </c>
      <c r="H374">
        <v>0</v>
      </c>
      <c r="I374">
        <v>0</v>
      </c>
      <c r="J374">
        <v>0</v>
      </c>
      <c r="K374">
        <v>0</v>
      </c>
      <c r="L374">
        <v>0.207647</v>
      </c>
      <c r="M374" t="s">
        <v>27</v>
      </c>
      <c r="N374" t="s">
        <v>63</v>
      </c>
      <c r="O374" t="s">
        <v>64</v>
      </c>
      <c r="P374" t="s">
        <v>65</v>
      </c>
      <c r="Q374" t="s">
        <v>66</v>
      </c>
      <c r="R374" s="22">
        <f t="shared" si="25"/>
        <v>46288.830124911496</v>
      </c>
      <c r="S374" s="22">
        <f t="shared" si="26"/>
        <v>46288.830127314817</v>
      </c>
      <c r="T374" s="23">
        <f t="shared" si="27"/>
        <v>0</v>
      </c>
      <c r="U374" s="23">
        <f t="shared" si="28"/>
        <v>0</v>
      </c>
      <c r="V374" s="23">
        <f t="shared" si="29"/>
        <v>0</v>
      </c>
    </row>
    <row r="375" spans="1:22" x14ac:dyDescent="0.35">
      <c r="A375" t="s">
        <v>286</v>
      </c>
      <c r="B375">
        <v>28</v>
      </c>
      <c r="C375" t="s">
        <v>301</v>
      </c>
      <c r="D375" t="s">
        <v>61</v>
      </c>
      <c r="E375" t="s">
        <v>25</v>
      </c>
      <c r="F375" t="s">
        <v>62</v>
      </c>
      <c r="G375">
        <v>6</v>
      </c>
      <c r="H375">
        <v>0</v>
      </c>
      <c r="I375">
        <v>0</v>
      </c>
      <c r="J375">
        <v>0</v>
      </c>
      <c r="K375">
        <v>0</v>
      </c>
      <c r="L375">
        <v>0.21196100000000001</v>
      </c>
      <c r="M375" t="s">
        <v>27</v>
      </c>
      <c r="N375" t="s">
        <v>63</v>
      </c>
      <c r="O375" t="s">
        <v>64</v>
      </c>
      <c r="P375" t="s">
        <v>65</v>
      </c>
      <c r="Q375" t="s">
        <v>66</v>
      </c>
      <c r="R375" s="22">
        <f t="shared" si="25"/>
        <v>46288.830124861568</v>
      </c>
      <c r="S375" s="22">
        <f t="shared" si="26"/>
        <v>46288.830127314817</v>
      </c>
      <c r="T375" s="23">
        <f t="shared" si="27"/>
        <v>0</v>
      </c>
      <c r="U375" s="23">
        <f t="shared" si="28"/>
        <v>0</v>
      </c>
      <c r="V375" s="23">
        <f t="shared" si="29"/>
        <v>0</v>
      </c>
    </row>
    <row r="376" spans="1:22" x14ac:dyDescent="0.35">
      <c r="A376" t="s">
        <v>286</v>
      </c>
      <c r="B376">
        <v>29</v>
      </c>
      <c r="C376" t="s">
        <v>301</v>
      </c>
      <c r="D376" t="s">
        <v>61</v>
      </c>
      <c r="E376" t="s">
        <v>25</v>
      </c>
      <c r="F376" t="s">
        <v>62</v>
      </c>
      <c r="G376">
        <v>4</v>
      </c>
      <c r="H376">
        <v>0</v>
      </c>
      <c r="I376">
        <v>0</v>
      </c>
      <c r="J376">
        <v>0</v>
      </c>
      <c r="K376">
        <v>0</v>
      </c>
      <c r="L376">
        <v>0.21438599999999999</v>
      </c>
      <c r="M376" t="s">
        <v>27</v>
      </c>
      <c r="N376" t="s">
        <v>63</v>
      </c>
      <c r="O376" t="s">
        <v>64</v>
      </c>
      <c r="P376" t="s">
        <v>65</v>
      </c>
      <c r="Q376" t="s">
        <v>66</v>
      </c>
      <c r="R376" s="22">
        <f t="shared" si="25"/>
        <v>46288.830124833497</v>
      </c>
      <c r="S376" s="22">
        <f t="shared" si="26"/>
        <v>46288.830127314817</v>
      </c>
      <c r="T376" s="23">
        <f t="shared" si="27"/>
        <v>0.21438603289425373</v>
      </c>
      <c r="U376" s="23">
        <f t="shared" si="28"/>
        <v>0.21438603289425373</v>
      </c>
      <c r="V376" s="23">
        <f t="shared" si="29"/>
        <v>0.21438603289425373</v>
      </c>
    </row>
    <row r="377" spans="1:22" x14ac:dyDescent="0.35">
      <c r="A377" t="s">
        <v>286</v>
      </c>
      <c r="B377">
        <v>30</v>
      </c>
      <c r="C377" t="s">
        <v>302</v>
      </c>
      <c r="D377" t="s">
        <v>61</v>
      </c>
      <c r="E377" t="s">
        <v>25</v>
      </c>
      <c r="F377" t="s">
        <v>62</v>
      </c>
      <c r="G377">
        <v>4</v>
      </c>
      <c r="H377">
        <v>0</v>
      </c>
      <c r="I377">
        <v>0</v>
      </c>
      <c r="J377">
        <v>0</v>
      </c>
      <c r="K377">
        <v>0</v>
      </c>
      <c r="L377">
        <v>0.20934900000000001</v>
      </c>
      <c r="M377" t="s">
        <v>27</v>
      </c>
      <c r="N377" t="s">
        <v>63</v>
      </c>
      <c r="O377" t="s">
        <v>64</v>
      </c>
      <c r="P377" t="s">
        <v>65</v>
      </c>
      <c r="Q377" t="s">
        <v>66</v>
      </c>
      <c r="R377" s="22">
        <f t="shared" si="25"/>
        <v>46288.830136465869</v>
      </c>
      <c r="S377" s="22">
        <f t="shared" si="26"/>
        <v>46288.830138888887</v>
      </c>
      <c r="T377" s="23">
        <f t="shared" si="27"/>
        <v>0</v>
      </c>
      <c r="U377" s="23">
        <f t="shared" si="28"/>
        <v>0</v>
      </c>
      <c r="V377" s="23">
        <f t="shared" si="29"/>
        <v>0</v>
      </c>
    </row>
    <row r="378" spans="1:22" x14ac:dyDescent="0.35">
      <c r="A378" t="s">
        <v>286</v>
      </c>
      <c r="B378">
        <v>31</v>
      </c>
      <c r="C378" t="s">
        <v>302</v>
      </c>
      <c r="D378" t="s">
        <v>61</v>
      </c>
      <c r="E378" t="s">
        <v>25</v>
      </c>
      <c r="F378" t="s">
        <v>62</v>
      </c>
      <c r="G378">
        <v>17</v>
      </c>
      <c r="H378">
        <v>0</v>
      </c>
      <c r="I378">
        <v>0</v>
      </c>
      <c r="J378">
        <v>0</v>
      </c>
      <c r="K378">
        <v>0</v>
      </c>
      <c r="L378">
        <v>0.33656000000000003</v>
      </c>
      <c r="M378" t="s">
        <v>27</v>
      </c>
      <c r="N378" t="s">
        <v>63</v>
      </c>
      <c r="O378" t="s">
        <v>64</v>
      </c>
      <c r="P378" t="s">
        <v>65</v>
      </c>
      <c r="Q378" t="s">
        <v>66</v>
      </c>
      <c r="R378" s="22">
        <f t="shared" si="25"/>
        <v>46288.830134993514</v>
      </c>
      <c r="S378" s="22">
        <f t="shared" si="26"/>
        <v>46288.830138888887</v>
      </c>
      <c r="T378" s="23">
        <f t="shared" si="27"/>
        <v>0.33656023442745209</v>
      </c>
      <c r="U378" s="23">
        <f t="shared" si="28"/>
        <v>0.33656023442745209</v>
      </c>
      <c r="V378" s="23">
        <f t="shared" si="29"/>
        <v>0.33656023442745209</v>
      </c>
    </row>
    <row r="379" spans="1:22" x14ac:dyDescent="0.35">
      <c r="A379" t="s">
        <v>286</v>
      </c>
      <c r="B379">
        <v>32</v>
      </c>
      <c r="C379" t="s">
        <v>303</v>
      </c>
      <c r="D379" t="s">
        <v>61</v>
      </c>
      <c r="E379" t="s">
        <v>25</v>
      </c>
      <c r="F379" t="s">
        <v>62</v>
      </c>
      <c r="G379">
        <v>3</v>
      </c>
      <c r="H379">
        <v>0</v>
      </c>
      <c r="I379">
        <v>0</v>
      </c>
      <c r="J379">
        <v>0</v>
      </c>
      <c r="K379">
        <v>0</v>
      </c>
      <c r="L379">
        <v>0.389488</v>
      </c>
      <c r="M379" t="s">
        <v>27</v>
      </c>
      <c r="N379" t="s">
        <v>63</v>
      </c>
      <c r="O379" t="s">
        <v>64</v>
      </c>
      <c r="P379" t="s">
        <v>65</v>
      </c>
      <c r="Q379" t="s">
        <v>66</v>
      </c>
      <c r="R379" s="22">
        <f t="shared" si="25"/>
        <v>46288.830145954998</v>
      </c>
      <c r="S379" s="22">
        <f t="shared" si="26"/>
        <v>46288.830150462964</v>
      </c>
      <c r="T379" s="23">
        <f t="shared" si="27"/>
        <v>0.38948818109929562</v>
      </c>
      <c r="U379" s="23">
        <f t="shared" si="28"/>
        <v>0.38948818109929562</v>
      </c>
      <c r="V379" s="23">
        <f t="shared" si="29"/>
        <v>0.38948818109929562</v>
      </c>
    </row>
    <row r="380" spans="1:22" x14ac:dyDescent="0.35">
      <c r="A380" t="s">
        <v>286</v>
      </c>
      <c r="B380">
        <v>33</v>
      </c>
      <c r="C380" t="s">
        <v>304</v>
      </c>
      <c r="D380" t="s">
        <v>61</v>
      </c>
      <c r="E380" t="s">
        <v>25</v>
      </c>
      <c r="F380" t="s">
        <v>62</v>
      </c>
      <c r="G380">
        <v>3</v>
      </c>
      <c r="H380">
        <v>0</v>
      </c>
      <c r="I380">
        <v>0</v>
      </c>
      <c r="J380">
        <v>0</v>
      </c>
      <c r="K380">
        <v>0</v>
      </c>
      <c r="L380">
        <v>0.222606</v>
      </c>
      <c r="M380" t="s">
        <v>27</v>
      </c>
      <c r="N380" t="s">
        <v>63</v>
      </c>
      <c r="O380" t="s">
        <v>64</v>
      </c>
      <c r="P380" t="s">
        <v>65</v>
      </c>
      <c r="Q380" t="s">
        <v>66</v>
      </c>
      <c r="R380" s="22">
        <f t="shared" si="25"/>
        <v>46288.83015946058</v>
      </c>
      <c r="S380" s="22">
        <f t="shared" si="26"/>
        <v>46288.83016203704</v>
      </c>
      <c r="T380" s="23">
        <f t="shared" si="27"/>
        <v>0</v>
      </c>
      <c r="U380" s="23">
        <f t="shared" si="28"/>
        <v>0</v>
      </c>
      <c r="V380" s="23">
        <f t="shared" si="29"/>
        <v>0</v>
      </c>
    </row>
    <row r="381" spans="1:22" x14ac:dyDescent="0.35">
      <c r="A381" t="s">
        <v>286</v>
      </c>
      <c r="B381">
        <v>34</v>
      </c>
      <c r="C381" t="s">
        <v>304</v>
      </c>
      <c r="D381" t="s">
        <v>61</v>
      </c>
      <c r="E381" t="s">
        <v>25</v>
      </c>
      <c r="F381" t="s">
        <v>62</v>
      </c>
      <c r="G381">
        <v>5</v>
      </c>
      <c r="H381">
        <v>0</v>
      </c>
      <c r="I381">
        <v>0</v>
      </c>
      <c r="J381">
        <v>0</v>
      </c>
      <c r="K381">
        <v>0</v>
      </c>
      <c r="L381">
        <v>0.27386500000000003</v>
      </c>
      <c r="M381" t="s">
        <v>27</v>
      </c>
      <c r="N381" t="s">
        <v>63</v>
      </c>
      <c r="O381" t="s">
        <v>64</v>
      </c>
      <c r="P381" t="s">
        <v>65</v>
      </c>
      <c r="Q381" t="s">
        <v>66</v>
      </c>
      <c r="R381" s="22">
        <f t="shared" si="25"/>
        <v>46288.830158867306</v>
      </c>
      <c r="S381" s="22">
        <f t="shared" si="26"/>
        <v>46288.83016203704</v>
      </c>
      <c r="T381" s="23">
        <f t="shared" si="27"/>
        <v>0.27386506553739309</v>
      </c>
      <c r="U381" s="23">
        <f t="shared" si="28"/>
        <v>0.27386506553739309</v>
      </c>
      <c r="V381" s="23">
        <f t="shared" si="29"/>
        <v>0.27386506553739309</v>
      </c>
    </row>
    <row r="382" spans="1:22" x14ac:dyDescent="0.35">
      <c r="A382" t="s">
        <v>286</v>
      </c>
      <c r="B382">
        <v>35</v>
      </c>
      <c r="C382" t="s">
        <v>305</v>
      </c>
      <c r="D382" t="s">
        <v>61</v>
      </c>
      <c r="E382" t="s">
        <v>25</v>
      </c>
      <c r="F382" t="s">
        <v>62</v>
      </c>
      <c r="G382">
        <v>4</v>
      </c>
      <c r="H382">
        <v>0</v>
      </c>
      <c r="I382">
        <v>0</v>
      </c>
      <c r="J382">
        <v>0</v>
      </c>
      <c r="K382">
        <v>0</v>
      </c>
      <c r="L382">
        <v>0.23748</v>
      </c>
      <c r="M382" t="s">
        <v>27</v>
      </c>
      <c r="N382" t="s">
        <v>63</v>
      </c>
      <c r="O382" t="s">
        <v>64</v>
      </c>
      <c r="P382" t="s">
        <v>65</v>
      </c>
      <c r="Q382" t="s">
        <v>66</v>
      </c>
      <c r="R382" s="22">
        <f t="shared" si="25"/>
        <v>46288.8301708625</v>
      </c>
      <c r="S382" s="22">
        <f t="shared" si="26"/>
        <v>46288.83017361111</v>
      </c>
      <c r="T382" s="23">
        <f t="shared" si="27"/>
        <v>0</v>
      </c>
      <c r="U382" s="23">
        <f t="shared" si="28"/>
        <v>0</v>
      </c>
      <c r="V382" s="23">
        <f t="shared" si="29"/>
        <v>0</v>
      </c>
    </row>
    <row r="383" spans="1:22" x14ac:dyDescent="0.35">
      <c r="A383" t="s">
        <v>286</v>
      </c>
      <c r="B383">
        <v>36</v>
      </c>
      <c r="C383" t="s">
        <v>305</v>
      </c>
      <c r="D383" t="s">
        <v>61</v>
      </c>
      <c r="E383" t="s">
        <v>25</v>
      </c>
      <c r="F383" t="s">
        <v>62</v>
      </c>
      <c r="G383">
        <v>6</v>
      </c>
      <c r="H383">
        <v>0</v>
      </c>
      <c r="I383">
        <v>0</v>
      </c>
      <c r="J383">
        <v>0</v>
      </c>
      <c r="K383">
        <v>0</v>
      </c>
      <c r="L383">
        <v>0.21348800000000001</v>
      </c>
      <c r="M383" t="s">
        <v>27</v>
      </c>
      <c r="N383" t="s">
        <v>63</v>
      </c>
      <c r="O383" t="s">
        <v>64</v>
      </c>
      <c r="P383" t="s">
        <v>65</v>
      </c>
      <c r="Q383" t="s">
        <v>66</v>
      </c>
      <c r="R383" s="22">
        <f t="shared" si="25"/>
        <v>46288.830171140187</v>
      </c>
      <c r="S383" s="22">
        <f t="shared" si="26"/>
        <v>46288.83017361111</v>
      </c>
      <c r="T383" s="23">
        <f t="shared" si="27"/>
        <v>0</v>
      </c>
      <c r="U383" s="23">
        <f t="shared" si="28"/>
        <v>0</v>
      </c>
      <c r="V383" s="23">
        <f t="shared" si="29"/>
        <v>0</v>
      </c>
    </row>
    <row r="384" spans="1:22" x14ac:dyDescent="0.35">
      <c r="A384" t="s">
        <v>286</v>
      </c>
      <c r="B384">
        <v>37</v>
      </c>
      <c r="C384" t="s">
        <v>305</v>
      </c>
      <c r="D384" t="s">
        <v>61</v>
      </c>
      <c r="E384" t="s">
        <v>25</v>
      </c>
      <c r="F384" t="s">
        <v>62</v>
      </c>
      <c r="G384">
        <v>16</v>
      </c>
      <c r="H384">
        <v>0</v>
      </c>
      <c r="I384">
        <v>0</v>
      </c>
      <c r="J384">
        <v>0</v>
      </c>
      <c r="K384">
        <v>0</v>
      </c>
      <c r="L384">
        <v>0.257913</v>
      </c>
      <c r="M384" t="s">
        <v>27</v>
      </c>
      <c r="N384" t="s">
        <v>63</v>
      </c>
      <c r="O384" t="s">
        <v>64</v>
      </c>
      <c r="P384" t="s">
        <v>65</v>
      </c>
      <c r="Q384" t="s">
        <v>66</v>
      </c>
      <c r="R384" s="22">
        <f t="shared" si="25"/>
        <v>46288.830170626003</v>
      </c>
      <c r="S384" s="22">
        <f t="shared" si="26"/>
        <v>46288.83017361111</v>
      </c>
      <c r="T384" s="23">
        <f t="shared" si="27"/>
        <v>0.25791325606405735</v>
      </c>
      <c r="U384" s="23">
        <f t="shared" si="28"/>
        <v>0.25791325606405735</v>
      </c>
      <c r="V384" s="23">
        <f t="shared" si="29"/>
        <v>0.25791325606405735</v>
      </c>
    </row>
    <row r="385" spans="1:22" x14ac:dyDescent="0.35">
      <c r="A385" t="s">
        <v>286</v>
      </c>
      <c r="B385">
        <v>38</v>
      </c>
      <c r="C385" t="s">
        <v>306</v>
      </c>
      <c r="D385" t="s">
        <v>61</v>
      </c>
      <c r="E385" t="s">
        <v>25</v>
      </c>
      <c r="F385" t="s">
        <v>62</v>
      </c>
      <c r="G385">
        <v>3</v>
      </c>
      <c r="H385">
        <v>0</v>
      </c>
      <c r="I385">
        <v>0</v>
      </c>
      <c r="J385">
        <v>0</v>
      </c>
      <c r="K385">
        <v>0</v>
      </c>
      <c r="L385">
        <v>0.206458</v>
      </c>
      <c r="M385" t="s">
        <v>27</v>
      </c>
      <c r="N385" t="s">
        <v>63</v>
      </c>
      <c r="O385" t="s">
        <v>64</v>
      </c>
      <c r="P385" t="s">
        <v>65</v>
      </c>
      <c r="Q385" t="s">
        <v>66</v>
      </c>
      <c r="R385" s="22">
        <f t="shared" si="25"/>
        <v>46288.830194369693</v>
      </c>
      <c r="S385" s="22">
        <f t="shared" si="26"/>
        <v>46288.830196759256</v>
      </c>
      <c r="T385" s="23">
        <f t="shared" si="27"/>
        <v>0</v>
      </c>
      <c r="U385" s="23">
        <f t="shared" si="28"/>
        <v>0</v>
      </c>
      <c r="V385" s="23">
        <f t="shared" si="29"/>
        <v>0</v>
      </c>
    </row>
    <row r="386" spans="1:22" x14ac:dyDescent="0.35">
      <c r="A386" t="s">
        <v>286</v>
      </c>
      <c r="B386">
        <v>39</v>
      </c>
      <c r="C386" t="s">
        <v>306</v>
      </c>
      <c r="D386" t="s">
        <v>61</v>
      </c>
      <c r="E386" t="s">
        <v>25</v>
      </c>
      <c r="F386" t="s">
        <v>62</v>
      </c>
      <c r="G386">
        <v>5</v>
      </c>
      <c r="H386">
        <v>0</v>
      </c>
      <c r="I386">
        <v>0</v>
      </c>
      <c r="J386">
        <v>0</v>
      </c>
      <c r="K386">
        <v>0</v>
      </c>
      <c r="L386">
        <v>0.24920700000000001</v>
      </c>
      <c r="M386" t="s">
        <v>27</v>
      </c>
      <c r="N386" t="s">
        <v>63</v>
      </c>
      <c r="O386" t="s">
        <v>64</v>
      </c>
      <c r="P386" t="s">
        <v>65</v>
      </c>
      <c r="Q386" t="s">
        <v>66</v>
      </c>
      <c r="R386" s="22">
        <f t="shared" ref="R386:R449" si="30">S386-L386/86400</f>
        <v>46288.830193874914</v>
      </c>
      <c r="S386" s="22">
        <f t="shared" ref="S386:S449" si="31">DATEVALUE(LEFT(C386,10))+TIMEVALUE(MID(C386,12,8))</f>
        <v>46288.830196759256</v>
      </c>
      <c r="T386" s="23">
        <f t="shared" ref="T386:T449" si="32">MAX(0,S386-MAX(R386,_xlfn.MAXIFS($S$2:$S$486,$A$2:$A$486,A386,$D$2:$D$486,D386,$F$2:$F$486,F386,$R$2:$R$486,"&lt;"&amp;R386)))*86400</f>
        <v>0.24920718278735876</v>
      </c>
      <c r="U386" s="23">
        <f t="shared" ref="U386:U449" si="33">MAX(0,S386-MAX(R386,_xlfn.MAXIFS($S$2:$S$486,$A$2:$A$486,A386,$F$2:$F$486,F386,$R$2:$R$486,"&lt;"&amp;R386)))*86400</f>
        <v>0.24920718278735876</v>
      </c>
      <c r="V386" s="23">
        <f t="shared" ref="V386:V449" si="34">MAX(0,S386-MAX(R386,_xlfn.MAXIFS($S$2:$S$486,$A$2:$A$486,A386,$R$2:$R$486,"&lt;"&amp;R386)))*86400</f>
        <v>0.24920718278735876</v>
      </c>
    </row>
    <row r="387" spans="1:22" x14ac:dyDescent="0.35">
      <c r="A387" t="s">
        <v>286</v>
      </c>
      <c r="B387">
        <v>40</v>
      </c>
      <c r="C387" t="s">
        <v>307</v>
      </c>
      <c r="D387" t="s">
        <v>61</v>
      </c>
      <c r="E387" t="s">
        <v>25</v>
      </c>
      <c r="F387" t="s">
        <v>62</v>
      </c>
      <c r="G387">
        <v>4</v>
      </c>
      <c r="H387">
        <v>0</v>
      </c>
      <c r="I387">
        <v>0</v>
      </c>
      <c r="J387">
        <v>0</v>
      </c>
      <c r="K387">
        <v>0</v>
      </c>
      <c r="L387">
        <v>0.40618399999999999</v>
      </c>
      <c r="M387" t="s">
        <v>27</v>
      </c>
      <c r="N387" t="s">
        <v>63</v>
      </c>
      <c r="O387" t="s">
        <v>64</v>
      </c>
      <c r="P387" t="s">
        <v>65</v>
      </c>
      <c r="Q387" t="s">
        <v>66</v>
      </c>
      <c r="R387" s="22">
        <f t="shared" si="30"/>
        <v>46288.830203632126</v>
      </c>
      <c r="S387" s="22">
        <f t="shared" si="31"/>
        <v>46288.830208333333</v>
      </c>
      <c r="T387" s="23">
        <f t="shared" si="32"/>
        <v>0.40618430357426405</v>
      </c>
      <c r="U387" s="23">
        <f t="shared" si="33"/>
        <v>0.40618430357426405</v>
      </c>
      <c r="V387" s="23">
        <f t="shared" si="34"/>
        <v>0.40618430357426405</v>
      </c>
    </row>
    <row r="388" spans="1:22" x14ac:dyDescent="0.35">
      <c r="A388" t="s">
        <v>286</v>
      </c>
      <c r="B388">
        <v>41</v>
      </c>
      <c r="C388" t="s">
        <v>307</v>
      </c>
      <c r="D388" t="s">
        <v>61</v>
      </c>
      <c r="E388" t="s">
        <v>25</v>
      </c>
      <c r="F388" t="s">
        <v>62</v>
      </c>
      <c r="G388">
        <v>6</v>
      </c>
      <c r="H388">
        <v>0</v>
      </c>
      <c r="I388">
        <v>0</v>
      </c>
      <c r="J388">
        <v>0</v>
      </c>
      <c r="K388">
        <v>0</v>
      </c>
      <c r="L388">
        <v>0.25645499999999999</v>
      </c>
      <c r="M388" t="s">
        <v>27</v>
      </c>
      <c r="N388" t="s">
        <v>63</v>
      </c>
      <c r="O388" t="s">
        <v>64</v>
      </c>
      <c r="P388" t="s">
        <v>65</v>
      </c>
      <c r="Q388" t="s">
        <v>66</v>
      </c>
      <c r="R388" s="22">
        <f t="shared" si="30"/>
        <v>46288.830205365106</v>
      </c>
      <c r="S388" s="22">
        <f t="shared" si="31"/>
        <v>46288.830208333333</v>
      </c>
      <c r="T388" s="23">
        <f t="shared" si="32"/>
        <v>0</v>
      </c>
      <c r="U388" s="23">
        <f t="shared" si="33"/>
        <v>0</v>
      </c>
      <c r="V388" s="23">
        <f t="shared" si="34"/>
        <v>0</v>
      </c>
    </row>
    <row r="389" spans="1:22" x14ac:dyDescent="0.35">
      <c r="A389" t="s">
        <v>286</v>
      </c>
      <c r="B389">
        <v>42</v>
      </c>
      <c r="C389" t="s">
        <v>307</v>
      </c>
      <c r="D389" t="s">
        <v>61</v>
      </c>
      <c r="E389" t="s">
        <v>25</v>
      </c>
      <c r="F389" t="s">
        <v>62</v>
      </c>
      <c r="G389">
        <v>4</v>
      </c>
      <c r="H389">
        <v>0</v>
      </c>
      <c r="I389">
        <v>0</v>
      </c>
      <c r="J389">
        <v>0</v>
      </c>
      <c r="K389">
        <v>0</v>
      </c>
      <c r="L389">
        <v>0.25085600000000002</v>
      </c>
      <c r="M389" t="s">
        <v>27</v>
      </c>
      <c r="N389" t="s">
        <v>63</v>
      </c>
      <c r="O389" t="s">
        <v>64</v>
      </c>
      <c r="P389" t="s">
        <v>65</v>
      </c>
      <c r="Q389" t="s">
        <v>66</v>
      </c>
      <c r="R389" s="22">
        <f t="shared" si="30"/>
        <v>46288.830205429906</v>
      </c>
      <c r="S389" s="22">
        <f t="shared" si="31"/>
        <v>46288.830208333333</v>
      </c>
      <c r="T389" s="23">
        <f t="shared" si="32"/>
        <v>0</v>
      </c>
      <c r="U389" s="23">
        <f t="shared" si="33"/>
        <v>0</v>
      </c>
      <c r="V389" s="23">
        <f t="shared" si="34"/>
        <v>0</v>
      </c>
    </row>
    <row r="390" spans="1:22" x14ac:dyDescent="0.35">
      <c r="A390" t="s">
        <v>286</v>
      </c>
      <c r="B390">
        <v>43</v>
      </c>
      <c r="C390" t="s">
        <v>308</v>
      </c>
      <c r="D390" t="s">
        <v>61</v>
      </c>
      <c r="E390" t="s">
        <v>25</v>
      </c>
      <c r="F390" t="s">
        <v>62</v>
      </c>
      <c r="G390">
        <v>19</v>
      </c>
      <c r="H390">
        <v>0</v>
      </c>
      <c r="I390">
        <v>0</v>
      </c>
      <c r="J390">
        <v>0</v>
      </c>
      <c r="K390">
        <v>0</v>
      </c>
      <c r="L390">
        <v>0.19776199999999999</v>
      </c>
      <c r="M390" t="s">
        <v>27</v>
      </c>
      <c r="N390" t="s">
        <v>63</v>
      </c>
      <c r="O390" t="s">
        <v>64</v>
      </c>
      <c r="P390" t="s">
        <v>65</v>
      </c>
      <c r="Q390" t="s">
        <v>66</v>
      </c>
      <c r="R390" s="22">
        <f t="shared" si="30"/>
        <v>46288.830217618495</v>
      </c>
      <c r="S390" s="22">
        <f t="shared" si="31"/>
        <v>46288.83021990741</v>
      </c>
      <c r="T390" s="23">
        <f t="shared" si="32"/>
        <v>0.19776220433413982</v>
      </c>
      <c r="U390" s="23">
        <f t="shared" si="33"/>
        <v>0.19776220433413982</v>
      </c>
      <c r="V390" s="23">
        <f t="shared" si="34"/>
        <v>0.19776220433413982</v>
      </c>
    </row>
    <row r="391" spans="1:22" x14ac:dyDescent="0.35">
      <c r="A391" t="s">
        <v>286</v>
      </c>
      <c r="B391">
        <v>44</v>
      </c>
      <c r="C391" t="s">
        <v>309</v>
      </c>
      <c r="D391" t="s">
        <v>82</v>
      </c>
      <c r="E391" t="s">
        <v>25</v>
      </c>
      <c r="F391" t="s">
        <v>62</v>
      </c>
      <c r="G391">
        <v>145</v>
      </c>
      <c r="H391">
        <v>0</v>
      </c>
      <c r="I391">
        <v>0</v>
      </c>
      <c r="J391">
        <v>0</v>
      </c>
      <c r="K391">
        <v>3.0000000000000001E-6</v>
      </c>
      <c r="L391">
        <v>0.355327</v>
      </c>
      <c r="M391" t="s">
        <v>27</v>
      </c>
      <c r="N391" t="s">
        <v>63</v>
      </c>
      <c r="O391" t="s">
        <v>83</v>
      </c>
      <c r="P391" t="s">
        <v>84</v>
      </c>
      <c r="Q391" t="s">
        <v>85</v>
      </c>
      <c r="R391" s="22">
        <f t="shared" si="30"/>
        <v>46288.830227368897</v>
      </c>
      <c r="S391" s="22">
        <f t="shared" si="31"/>
        <v>46288.830231481479</v>
      </c>
      <c r="T391" s="23">
        <f t="shared" si="32"/>
        <v>0.35532710608094931</v>
      </c>
      <c r="U391" s="23">
        <f t="shared" si="33"/>
        <v>0.35532710608094931</v>
      </c>
      <c r="V391" s="23">
        <f t="shared" si="34"/>
        <v>0.35532710608094931</v>
      </c>
    </row>
    <row r="392" spans="1:22" x14ac:dyDescent="0.35">
      <c r="A392" t="s">
        <v>286</v>
      </c>
      <c r="B392">
        <v>45</v>
      </c>
      <c r="C392" t="s">
        <v>310</v>
      </c>
      <c r="D392" t="s">
        <v>82</v>
      </c>
      <c r="E392" t="s">
        <v>25</v>
      </c>
      <c r="F392" t="s">
        <v>26</v>
      </c>
      <c r="G392">
        <v>5137</v>
      </c>
      <c r="H392">
        <v>0</v>
      </c>
      <c r="I392">
        <v>400</v>
      </c>
      <c r="J392">
        <v>0</v>
      </c>
      <c r="K392">
        <v>1.6841999999999999E-2</v>
      </c>
      <c r="L392">
        <v>6.3431709999999999</v>
      </c>
      <c r="M392" t="s">
        <v>27</v>
      </c>
      <c r="N392" t="s">
        <v>28</v>
      </c>
      <c r="O392" t="s">
        <v>83</v>
      </c>
      <c r="P392" t="s">
        <v>84</v>
      </c>
      <c r="Q392" t="s">
        <v>85</v>
      </c>
      <c r="R392" s="22">
        <f t="shared" si="30"/>
        <v>46288.830239083669</v>
      </c>
      <c r="S392" s="22">
        <f t="shared" si="31"/>
        <v>46288.830312500002</v>
      </c>
      <c r="T392" s="23">
        <f t="shared" si="32"/>
        <v>6.3431711867451668</v>
      </c>
      <c r="U392" s="23">
        <f t="shared" si="33"/>
        <v>6.3431711867451668</v>
      </c>
      <c r="V392" s="23">
        <f t="shared" si="34"/>
        <v>6.3431711867451668</v>
      </c>
    </row>
    <row r="393" spans="1:22" x14ac:dyDescent="0.35">
      <c r="A393" t="s">
        <v>286</v>
      </c>
      <c r="B393">
        <v>46</v>
      </c>
      <c r="C393" t="s">
        <v>311</v>
      </c>
      <c r="D393" t="s">
        <v>61</v>
      </c>
      <c r="E393" t="s">
        <v>25</v>
      </c>
      <c r="F393" t="s">
        <v>62</v>
      </c>
      <c r="G393">
        <v>3</v>
      </c>
      <c r="H393">
        <v>0</v>
      </c>
      <c r="I393">
        <v>0</v>
      </c>
      <c r="J393">
        <v>0</v>
      </c>
      <c r="K393">
        <v>0</v>
      </c>
      <c r="L393">
        <v>0.55330699999999999</v>
      </c>
      <c r="M393" t="s">
        <v>27</v>
      </c>
      <c r="N393" t="s">
        <v>63</v>
      </c>
      <c r="O393" t="s">
        <v>64</v>
      </c>
      <c r="P393" t="s">
        <v>65</v>
      </c>
      <c r="Q393" t="s">
        <v>66</v>
      </c>
      <c r="R393" s="22">
        <f t="shared" si="30"/>
        <v>46288.830317670057</v>
      </c>
      <c r="S393" s="22">
        <f t="shared" si="31"/>
        <v>46288.830324074072</v>
      </c>
      <c r="T393" s="23">
        <f t="shared" si="32"/>
        <v>0.55330682080239058</v>
      </c>
      <c r="U393" s="23">
        <f t="shared" si="33"/>
        <v>0.55330682080239058</v>
      </c>
      <c r="V393" s="23">
        <f t="shared" si="34"/>
        <v>0.55330682080239058</v>
      </c>
    </row>
    <row r="394" spans="1:22" x14ac:dyDescent="0.35">
      <c r="A394" t="s">
        <v>286</v>
      </c>
      <c r="B394">
        <v>47</v>
      </c>
      <c r="C394" t="s">
        <v>311</v>
      </c>
      <c r="D394" t="s">
        <v>61</v>
      </c>
      <c r="E394" t="s">
        <v>25</v>
      </c>
      <c r="F394" t="s">
        <v>62</v>
      </c>
      <c r="G394">
        <v>4</v>
      </c>
      <c r="H394">
        <v>0</v>
      </c>
      <c r="I394">
        <v>0</v>
      </c>
      <c r="J394">
        <v>0</v>
      </c>
      <c r="K394">
        <v>0</v>
      </c>
      <c r="L394">
        <v>0.195966</v>
      </c>
      <c r="M394" t="s">
        <v>27</v>
      </c>
      <c r="N394" t="s">
        <v>63</v>
      </c>
      <c r="O394" t="s">
        <v>64</v>
      </c>
      <c r="P394" t="s">
        <v>65</v>
      </c>
      <c r="Q394" t="s">
        <v>66</v>
      </c>
      <c r="R394" s="22">
        <f t="shared" si="30"/>
        <v>46288.830321805945</v>
      </c>
      <c r="S394" s="22">
        <f t="shared" si="31"/>
        <v>46288.830324074072</v>
      </c>
      <c r="T394" s="23">
        <f t="shared" si="32"/>
        <v>0</v>
      </c>
      <c r="U394" s="23">
        <f t="shared" si="33"/>
        <v>0</v>
      </c>
      <c r="V394" s="23">
        <f t="shared" si="34"/>
        <v>0</v>
      </c>
    </row>
    <row r="395" spans="1:22" x14ac:dyDescent="0.35">
      <c r="A395" t="s">
        <v>286</v>
      </c>
      <c r="B395">
        <v>48</v>
      </c>
      <c r="C395" t="s">
        <v>312</v>
      </c>
      <c r="D395" t="s">
        <v>61</v>
      </c>
      <c r="E395" t="s">
        <v>25</v>
      </c>
      <c r="F395" t="s">
        <v>62</v>
      </c>
      <c r="G395">
        <v>4</v>
      </c>
      <c r="H395">
        <v>0</v>
      </c>
      <c r="I395">
        <v>0</v>
      </c>
      <c r="J395">
        <v>0</v>
      </c>
      <c r="K395">
        <v>0</v>
      </c>
      <c r="L395">
        <v>0.20030000000000001</v>
      </c>
      <c r="M395" t="s">
        <v>27</v>
      </c>
      <c r="N395" t="s">
        <v>63</v>
      </c>
      <c r="O395" t="s">
        <v>64</v>
      </c>
      <c r="P395" t="s">
        <v>65</v>
      </c>
      <c r="Q395" t="s">
        <v>66</v>
      </c>
      <c r="R395" s="22">
        <f t="shared" si="30"/>
        <v>46288.830333329861</v>
      </c>
      <c r="S395" s="22">
        <f t="shared" si="31"/>
        <v>46288.830335648148</v>
      </c>
      <c r="T395" s="23">
        <f t="shared" si="32"/>
        <v>0</v>
      </c>
      <c r="U395" s="23">
        <f t="shared" si="33"/>
        <v>0</v>
      </c>
      <c r="V395" s="23">
        <f t="shared" si="34"/>
        <v>0</v>
      </c>
    </row>
    <row r="396" spans="1:22" x14ac:dyDescent="0.35">
      <c r="A396" t="s">
        <v>286</v>
      </c>
      <c r="B396">
        <v>49</v>
      </c>
      <c r="C396" t="s">
        <v>312</v>
      </c>
      <c r="D396" t="s">
        <v>61</v>
      </c>
      <c r="E396" t="s">
        <v>25</v>
      </c>
      <c r="F396" t="s">
        <v>62</v>
      </c>
      <c r="G396">
        <v>5</v>
      </c>
      <c r="H396">
        <v>0</v>
      </c>
      <c r="I396">
        <v>0</v>
      </c>
      <c r="J396">
        <v>0</v>
      </c>
      <c r="K396">
        <v>0</v>
      </c>
      <c r="L396">
        <v>0.20268900000000001</v>
      </c>
      <c r="M396" t="s">
        <v>27</v>
      </c>
      <c r="N396" t="s">
        <v>63</v>
      </c>
      <c r="O396" t="s">
        <v>64</v>
      </c>
      <c r="P396" t="s">
        <v>65</v>
      </c>
      <c r="Q396" t="s">
        <v>66</v>
      </c>
      <c r="R396" s="22">
        <f t="shared" si="30"/>
        <v>46288.830333302212</v>
      </c>
      <c r="S396" s="22">
        <f t="shared" si="31"/>
        <v>46288.830335648148</v>
      </c>
      <c r="T396" s="23">
        <f t="shared" si="32"/>
        <v>0</v>
      </c>
      <c r="U396" s="23">
        <f t="shared" si="33"/>
        <v>0</v>
      </c>
      <c r="V396" s="23">
        <f t="shared" si="34"/>
        <v>0</v>
      </c>
    </row>
    <row r="397" spans="1:22" x14ac:dyDescent="0.35">
      <c r="A397" t="s">
        <v>286</v>
      </c>
      <c r="B397">
        <v>50</v>
      </c>
      <c r="C397" t="s">
        <v>312</v>
      </c>
      <c r="D397" t="s">
        <v>61</v>
      </c>
      <c r="E397" t="s">
        <v>25</v>
      </c>
      <c r="F397" t="s">
        <v>62</v>
      </c>
      <c r="G397">
        <v>4</v>
      </c>
      <c r="H397">
        <v>0</v>
      </c>
      <c r="I397">
        <v>0</v>
      </c>
      <c r="J397">
        <v>0</v>
      </c>
      <c r="K397">
        <v>0</v>
      </c>
      <c r="L397">
        <v>0.25644299999999998</v>
      </c>
      <c r="M397" t="s">
        <v>27</v>
      </c>
      <c r="N397" t="s">
        <v>63</v>
      </c>
      <c r="O397" t="s">
        <v>64</v>
      </c>
      <c r="P397" t="s">
        <v>65</v>
      </c>
      <c r="Q397" t="s">
        <v>66</v>
      </c>
      <c r="R397" s="22">
        <f t="shared" si="30"/>
        <v>46288.83033268006</v>
      </c>
      <c r="S397" s="22">
        <f t="shared" si="31"/>
        <v>46288.830335648148</v>
      </c>
      <c r="T397" s="23">
        <f t="shared" si="32"/>
        <v>0.25644286070019007</v>
      </c>
      <c r="U397" s="23">
        <f t="shared" si="33"/>
        <v>0.25644286070019007</v>
      </c>
      <c r="V397" s="23">
        <f t="shared" si="34"/>
        <v>0.25644286070019007</v>
      </c>
    </row>
    <row r="398" spans="1:22" x14ac:dyDescent="0.35">
      <c r="A398" t="s">
        <v>286</v>
      </c>
      <c r="B398">
        <v>51</v>
      </c>
      <c r="C398" t="s">
        <v>313</v>
      </c>
      <c r="D398" t="s">
        <v>61</v>
      </c>
      <c r="E398" t="s">
        <v>25</v>
      </c>
      <c r="F398" t="s">
        <v>62</v>
      </c>
      <c r="G398">
        <v>16</v>
      </c>
      <c r="H398">
        <v>0</v>
      </c>
      <c r="I398">
        <v>0</v>
      </c>
      <c r="J398">
        <v>0</v>
      </c>
      <c r="K398">
        <v>0</v>
      </c>
      <c r="L398">
        <v>0.217554</v>
      </c>
      <c r="M398" t="s">
        <v>27</v>
      </c>
      <c r="N398" t="s">
        <v>63</v>
      </c>
      <c r="O398" t="s">
        <v>64</v>
      </c>
      <c r="P398" t="s">
        <v>65</v>
      </c>
      <c r="Q398" t="s">
        <v>66</v>
      </c>
      <c r="R398" s="22">
        <f t="shared" si="30"/>
        <v>46288.830344704242</v>
      </c>
      <c r="S398" s="22">
        <f t="shared" si="31"/>
        <v>46288.830347222225</v>
      </c>
      <c r="T398" s="23">
        <f t="shared" si="32"/>
        <v>0.21755376365035772</v>
      </c>
      <c r="U398" s="23">
        <f t="shared" si="33"/>
        <v>0.21755376365035772</v>
      </c>
      <c r="V398" s="23">
        <f t="shared" si="34"/>
        <v>0.21755376365035772</v>
      </c>
    </row>
    <row r="399" spans="1:22" x14ac:dyDescent="0.35">
      <c r="A399" t="s">
        <v>286</v>
      </c>
      <c r="B399">
        <v>52</v>
      </c>
      <c r="C399" t="s">
        <v>314</v>
      </c>
      <c r="D399" t="s">
        <v>61</v>
      </c>
      <c r="E399" t="s">
        <v>25</v>
      </c>
      <c r="F399" t="s">
        <v>62</v>
      </c>
      <c r="G399">
        <v>4</v>
      </c>
      <c r="H399">
        <v>0</v>
      </c>
      <c r="I399">
        <v>0</v>
      </c>
      <c r="J399">
        <v>0</v>
      </c>
      <c r="K399">
        <v>0</v>
      </c>
      <c r="L399">
        <v>0.26018200000000002</v>
      </c>
      <c r="M399" t="s">
        <v>27</v>
      </c>
      <c r="N399" t="s">
        <v>63</v>
      </c>
      <c r="O399" t="s">
        <v>64</v>
      </c>
      <c r="P399" t="s">
        <v>65</v>
      </c>
      <c r="Q399" t="s">
        <v>66</v>
      </c>
      <c r="R399" s="22">
        <f t="shared" si="30"/>
        <v>46288.830355784929</v>
      </c>
      <c r="S399" s="22">
        <f t="shared" si="31"/>
        <v>46288.830358796295</v>
      </c>
      <c r="T399" s="23">
        <f t="shared" si="32"/>
        <v>0</v>
      </c>
      <c r="U399" s="23">
        <f t="shared" si="33"/>
        <v>0</v>
      </c>
      <c r="V399" s="23">
        <f t="shared" si="34"/>
        <v>0</v>
      </c>
    </row>
    <row r="400" spans="1:22" x14ac:dyDescent="0.35">
      <c r="A400" t="s">
        <v>286</v>
      </c>
      <c r="B400">
        <v>53</v>
      </c>
      <c r="C400" t="s">
        <v>314</v>
      </c>
      <c r="D400" t="s">
        <v>61</v>
      </c>
      <c r="E400" t="s">
        <v>25</v>
      </c>
      <c r="F400" t="s">
        <v>62</v>
      </c>
      <c r="G400">
        <v>4</v>
      </c>
      <c r="H400">
        <v>0</v>
      </c>
      <c r="I400">
        <v>0</v>
      </c>
      <c r="J400">
        <v>0</v>
      </c>
      <c r="K400">
        <v>0</v>
      </c>
      <c r="L400">
        <v>0.28235399999999999</v>
      </c>
      <c r="M400" t="s">
        <v>27</v>
      </c>
      <c r="N400" t="s">
        <v>63</v>
      </c>
      <c r="O400" t="s">
        <v>64</v>
      </c>
      <c r="P400" t="s">
        <v>65</v>
      </c>
      <c r="Q400" t="s">
        <v>66</v>
      </c>
      <c r="R400" s="22">
        <f t="shared" si="30"/>
        <v>46288.830355528306</v>
      </c>
      <c r="S400" s="22">
        <f t="shared" si="31"/>
        <v>46288.830358796295</v>
      </c>
      <c r="T400" s="23">
        <f t="shared" si="32"/>
        <v>0.2823542570695281</v>
      </c>
      <c r="U400" s="23">
        <f t="shared" si="33"/>
        <v>0.2823542570695281</v>
      </c>
      <c r="V400" s="23">
        <f t="shared" si="34"/>
        <v>0.2823542570695281</v>
      </c>
    </row>
    <row r="401" spans="1:22" x14ac:dyDescent="0.35">
      <c r="A401" t="s">
        <v>286</v>
      </c>
      <c r="B401">
        <v>54</v>
      </c>
      <c r="C401" t="s">
        <v>314</v>
      </c>
      <c r="D401" t="s">
        <v>61</v>
      </c>
      <c r="E401" t="s">
        <v>25</v>
      </c>
      <c r="F401" t="s">
        <v>62</v>
      </c>
      <c r="G401">
        <v>3</v>
      </c>
      <c r="H401">
        <v>0</v>
      </c>
      <c r="I401">
        <v>0</v>
      </c>
      <c r="J401">
        <v>0</v>
      </c>
      <c r="K401">
        <v>0</v>
      </c>
      <c r="L401">
        <v>0.24115300000000001</v>
      </c>
      <c r="M401" t="s">
        <v>27</v>
      </c>
      <c r="N401" t="s">
        <v>63</v>
      </c>
      <c r="O401" t="s">
        <v>64</v>
      </c>
      <c r="P401" t="s">
        <v>65</v>
      </c>
      <c r="Q401" t="s">
        <v>66</v>
      </c>
      <c r="R401" s="22">
        <f t="shared" si="30"/>
        <v>46288.830356005172</v>
      </c>
      <c r="S401" s="22">
        <f t="shared" si="31"/>
        <v>46288.830358796295</v>
      </c>
      <c r="T401" s="23">
        <f t="shared" si="32"/>
        <v>0</v>
      </c>
      <c r="U401" s="23">
        <f t="shared" si="33"/>
        <v>0</v>
      </c>
      <c r="V401" s="23">
        <f t="shared" si="34"/>
        <v>0</v>
      </c>
    </row>
    <row r="402" spans="1:22" x14ac:dyDescent="0.35">
      <c r="A402" t="s">
        <v>286</v>
      </c>
      <c r="B402">
        <v>55</v>
      </c>
      <c r="C402" t="s">
        <v>315</v>
      </c>
      <c r="D402" t="s">
        <v>61</v>
      </c>
      <c r="E402" t="s">
        <v>25</v>
      </c>
      <c r="F402" t="s">
        <v>62</v>
      </c>
      <c r="G402">
        <v>4</v>
      </c>
      <c r="H402">
        <v>0</v>
      </c>
      <c r="I402">
        <v>0</v>
      </c>
      <c r="J402">
        <v>0</v>
      </c>
      <c r="K402">
        <v>0</v>
      </c>
      <c r="L402">
        <v>0.26989200000000002</v>
      </c>
      <c r="M402" t="s">
        <v>27</v>
      </c>
      <c r="N402" t="s">
        <v>63</v>
      </c>
      <c r="O402" t="s">
        <v>64</v>
      </c>
      <c r="P402" t="s">
        <v>65</v>
      </c>
      <c r="Q402" t="s">
        <v>66</v>
      </c>
      <c r="R402" s="22">
        <f t="shared" si="30"/>
        <v>46288.830367246621</v>
      </c>
      <c r="S402" s="22">
        <f t="shared" si="31"/>
        <v>46288.830370370371</v>
      </c>
      <c r="T402" s="23">
        <f t="shared" si="32"/>
        <v>0.26989204343408346</v>
      </c>
      <c r="U402" s="23">
        <f t="shared" si="33"/>
        <v>0.26989204343408346</v>
      </c>
      <c r="V402" s="23">
        <f t="shared" si="34"/>
        <v>0.26989204343408346</v>
      </c>
    </row>
    <row r="403" spans="1:22" x14ac:dyDescent="0.35">
      <c r="A403" t="s">
        <v>286</v>
      </c>
      <c r="B403">
        <v>56</v>
      </c>
      <c r="C403" t="s">
        <v>315</v>
      </c>
      <c r="D403" t="s">
        <v>61</v>
      </c>
      <c r="E403" t="s">
        <v>25</v>
      </c>
      <c r="F403" t="s">
        <v>62</v>
      </c>
      <c r="G403">
        <v>5</v>
      </c>
      <c r="H403">
        <v>0</v>
      </c>
      <c r="I403">
        <v>0</v>
      </c>
      <c r="J403">
        <v>0</v>
      </c>
      <c r="K403">
        <v>0</v>
      </c>
      <c r="L403">
        <v>0.25717899999999999</v>
      </c>
      <c r="M403" t="s">
        <v>27</v>
      </c>
      <c r="N403" t="s">
        <v>63</v>
      </c>
      <c r="O403" t="s">
        <v>64</v>
      </c>
      <c r="P403" t="s">
        <v>65</v>
      </c>
      <c r="Q403" t="s">
        <v>66</v>
      </c>
      <c r="R403" s="22">
        <f t="shared" si="30"/>
        <v>46288.830367393763</v>
      </c>
      <c r="S403" s="22">
        <f t="shared" si="31"/>
        <v>46288.830370370371</v>
      </c>
      <c r="T403" s="23">
        <f t="shared" si="32"/>
        <v>0</v>
      </c>
      <c r="U403" s="23">
        <f t="shared" si="33"/>
        <v>0</v>
      </c>
      <c r="V403" s="23">
        <f t="shared" si="34"/>
        <v>0</v>
      </c>
    </row>
    <row r="404" spans="1:22" x14ac:dyDescent="0.35">
      <c r="A404" t="s">
        <v>286</v>
      </c>
      <c r="B404">
        <v>57</v>
      </c>
      <c r="C404" t="s">
        <v>316</v>
      </c>
      <c r="D404" t="s">
        <v>61</v>
      </c>
      <c r="E404" t="s">
        <v>25</v>
      </c>
      <c r="F404" t="s">
        <v>62</v>
      </c>
      <c r="G404">
        <v>5</v>
      </c>
      <c r="H404">
        <v>0</v>
      </c>
      <c r="I404">
        <v>0</v>
      </c>
      <c r="J404">
        <v>0</v>
      </c>
      <c r="K404">
        <v>0</v>
      </c>
      <c r="L404">
        <v>0.22339000000000001</v>
      </c>
      <c r="M404" t="s">
        <v>27</v>
      </c>
      <c r="N404" t="s">
        <v>63</v>
      </c>
      <c r="O404" t="s">
        <v>64</v>
      </c>
      <c r="P404" t="s">
        <v>65</v>
      </c>
      <c r="Q404" t="s">
        <v>66</v>
      </c>
      <c r="R404" s="22">
        <f t="shared" si="30"/>
        <v>46288.830379358908</v>
      </c>
      <c r="S404" s="22">
        <f t="shared" si="31"/>
        <v>46288.830381944441</v>
      </c>
      <c r="T404" s="23">
        <f t="shared" si="32"/>
        <v>0.22339008282870054</v>
      </c>
      <c r="U404" s="23">
        <f t="shared" si="33"/>
        <v>0.22339008282870054</v>
      </c>
      <c r="V404" s="23">
        <f t="shared" si="34"/>
        <v>0.22339008282870054</v>
      </c>
    </row>
    <row r="405" spans="1:22" x14ac:dyDescent="0.35">
      <c r="A405" t="s">
        <v>286</v>
      </c>
      <c r="B405">
        <v>58</v>
      </c>
      <c r="C405" t="s">
        <v>316</v>
      </c>
      <c r="D405" t="s">
        <v>61</v>
      </c>
      <c r="E405" t="s">
        <v>25</v>
      </c>
      <c r="F405" t="s">
        <v>62</v>
      </c>
      <c r="G405">
        <v>25</v>
      </c>
      <c r="H405">
        <v>0</v>
      </c>
      <c r="I405">
        <v>0</v>
      </c>
      <c r="J405">
        <v>0</v>
      </c>
      <c r="K405">
        <v>0</v>
      </c>
      <c r="L405">
        <v>0.22272</v>
      </c>
      <c r="M405" t="s">
        <v>27</v>
      </c>
      <c r="N405" t="s">
        <v>63</v>
      </c>
      <c r="O405" t="s">
        <v>64</v>
      </c>
      <c r="P405" t="s">
        <v>65</v>
      </c>
      <c r="Q405" t="s">
        <v>66</v>
      </c>
      <c r="R405" s="22">
        <f t="shared" si="30"/>
        <v>46288.830379366664</v>
      </c>
      <c r="S405" s="22">
        <f t="shared" si="31"/>
        <v>46288.830381944441</v>
      </c>
      <c r="T405" s="23">
        <f t="shared" si="32"/>
        <v>0</v>
      </c>
      <c r="U405" s="23">
        <f t="shared" si="33"/>
        <v>0</v>
      </c>
      <c r="V405" s="23">
        <f t="shared" si="34"/>
        <v>0</v>
      </c>
    </row>
    <row r="406" spans="1:22" x14ac:dyDescent="0.35">
      <c r="A406" t="s">
        <v>286</v>
      </c>
      <c r="B406">
        <v>59</v>
      </c>
      <c r="C406" t="s">
        <v>317</v>
      </c>
      <c r="D406" t="s">
        <v>121</v>
      </c>
      <c r="E406" t="s">
        <v>25</v>
      </c>
      <c r="F406" t="s">
        <v>26</v>
      </c>
      <c r="G406">
        <v>6936</v>
      </c>
      <c r="H406">
        <v>0</v>
      </c>
      <c r="I406">
        <v>732</v>
      </c>
      <c r="J406">
        <v>0</v>
      </c>
      <c r="K406">
        <v>2.4660000000000001E-2</v>
      </c>
      <c r="L406">
        <v>9.1852260000000001</v>
      </c>
      <c r="M406" t="s">
        <v>27</v>
      </c>
      <c r="N406" t="s">
        <v>28</v>
      </c>
      <c r="O406" t="s">
        <v>122</v>
      </c>
      <c r="P406" t="s">
        <v>123</v>
      </c>
      <c r="Q406" t="s">
        <v>124</v>
      </c>
      <c r="R406" s="22">
        <f t="shared" si="30"/>
        <v>46288.8303913747</v>
      </c>
      <c r="S406" s="22">
        <f t="shared" si="31"/>
        <v>46288.830497685187</v>
      </c>
      <c r="T406" s="23">
        <f t="shared" si="32"/>
        <v>9.1852260287851095</v>
      </c>
      <c r="U406" s="23">
        <f t="shared" si="33"/>
        <v>9.1852260287851095</v>
      </c>
      <c r="V406" s="23">
        <f t="shared" si="34"/>
        <v>9.1852260287851095</v>
      </c>
    </row>
    <row r="407" spans="1:22" x14ac:dyDescent="0.35">
      <c r="A407" t="s">
        <v>286</v>
      </c>
      <c r="B407">
        <v>60</v>
      </c>
      <c r="C407" t="s">
        <v>318</v>
      </c>
      <c r="D407" t="s">
        <v>121</v>
      </c>
      <c r="E407" t="s">
        <v>25</v>
      </c>
      <c r="F407" t="s">
        <v>26</v>
      </c>
      <c r="G407">
        <v>6705</v>
      </c>
      <c r="H407">
        <v>0</v>
      </c>
      <c r="I407">
        <v>738</v>
      </c>
      <c r="J407">
        <v>0</v>
      </c>
      <c r="K407">
        <v>2.4143000000000001E-2</v>
      </c>
      <c r="L407">
        <v>9.7464089999999999</v>
      </c>
      <c r="M407" t="s">
        <v>27</v>
      </c>
      <c r="N407" t="s">
        <v>28</v>
      </c>
      <c r="O407" t="s">
        <v>122</v>
      </c>
      <c r="P407" t="s">
        <v>123</v>
      </c>
      <c r="Q407" t="s">
        <v>124</v>
      </c>
      <c r="R407" s="22">
        <f t="shared" si="30"/>
        <v>46288.830396453595</v>
      </c>
      <c r="S407" s="22">
        <f t="shared" si="31"/>
        <v>46288.830509259256</v>
      </c>
      <c r="T407" s="23">
        <f t="shared" si="32"/>
        <v>0.99999960511922836</v>
      </c>
      <c r="U407" s="23">
        <f t="shared" si="33"/>
        <v>0.99999960511922836</v>
      </c>
      <c r="V407" s="23">
        <f t="shared" si="34"/>
        <v>0.99999960511922836</v>
      </c>
    </row>
    <row r="408" spans="1:22" x14ac:dyDescent="0.35">
      <c r="A408" t="s">
        <v>286</v>
      </c>
      <c r="B408">
        <v>61</v>
      </c>
      <c r="C408" t="s">
        <v>319</v>
      </c>
      <c r="D408" t="s">
        <v>121</v>
      </c>
      <c r="E408" t="s">
        <v>25</v>
      </c>
      <c r="F408" t="s">
        <v>26</v>
      </c>
      <c r="G408">
        <v>9113</v>
      </c>
      <c r="H408">
        <v>0</v>
      </c>
      <c r="I408">
        <v>1275</v>
      </c>
      <c r="J408">
        <v>0</v>
      </c>
      <c r="K408">
        <v>3.5533000000000002E-2</v>
      </c>
      <c r="L408">
        <v>15.152599</v>
      </c>
      <c r="M408" t="s">
        <v>27</v>
      </c>
      <c r="N408" t="s">
        <v>28</v>
      </c>
      <c r="O408" t="s">
        <v>122</v>
      </c>
      <c r="P408" t="s">
        <v>123</v>
      </c>
      <c r="Q408" t="s">
        <v>124</v>
      </c>
      <c r="R408" s="22">
        <f t="shared" si="30"/>
        <v>46288.830507493069</v>
      </c>
      <c r="S408" s="22">
        <f t="shared" si="31"/>
        <v>46288.830682870372</v>
      </c>
      <c r="T408" s="23">
        <f t="shared" si="32"/>
        <v>0</v>
      </c>
      <c r="U408" s="23">
        <f t="shared" si="33"/>
        <v>0</v>
      </c>
      <c r="V408" s="23">
        <f t="shared" si="34"/>
        <v>0</v>
      </c>
    </row>
    <row r="409" spans="1:22" x14ac:dyDescent="0.35">
      <c r="A409" t="s">
        <v>286</v>
      </c>
      <c r="B409">
        <v>62</v>
      </c>
      <c r="C409" t="s">
        <v>319</v>
      </c>
      <c r="D409" t="s">
        <v>121</v>
      </c>
      <c r="E409" t="s">
        <v>25</v>
      </c>
      <c r="F409" t="s">
        <v>26</v>
      </c>
      <c r="G409">
        <v>9104</v>
      </c>
      <c r="H409">
        <v>0</v>
      </c>
      <c r="I409">
        <v>1295</v>
      </c>
      <c r="J409">
        <v>0</v>
      </c>
      <c r="K409">
        <v>3.5709999999999999E-2</v>
      </c>
      <c r="L409">
        <v>15.441839</v>
      </c>
      <c r="M409" t="s">
        <v>27</v>
      </c>
      <c r="N409" t="s">
        <v>28</v>
      </c>
      <c r="O409" t="s">
        <v>122</v>
      </c>
      <c r="P409" t="s">
        <v>123</v>
      </c>
      <c r="Q409" t="s">
        <v>124</v>
      </c>
      <c r="R409" s="22">
        <f t="shared" si="30"/>
        <v>46288.830504145386</v>
      </c>
      <c r="S409" s="22">
        <f t="shared" si="31"/>
        <v>46288.830682870372</v>
      </c>
      <c r="T409" s="23">
        <f t="shared" si="32"/>
        <v>15.000000363215804</v>
      </c>
      <c r="U409" s="23">
        <f t="shared" si="33"/>
        <v>15.000000363215804</v>
      </c>
      <c r="V409" s="23">
        <f t="shared" si="34"/>
        <v>15.000000363215804</v>
      </c>
    </row>
    <row r="410" spans="1:22" x14ac:dyDescent="0.35">
      <c r="A410" t="s">
        <v>286</v>
      </c>
      <c r="B410">
        <v>63</v>
      </c>
      <c r="C410" t="s">
        <v>320</v>
      </c>
      <c r="D410" t="s">
        <v>121</v>
      </c>
      <c r="E410" t="s">
        <v>25</v>
      </c>
      <c r="F410" t="s">
        <v>26</v>
      </c>
      <c r="G410">
        <v>9967</v>
      </c>
      <c r="H410">
        <v>0</v>
      </c>
      <c r="I410">
        <v>1471</v>
      </c>
      <c r="J410">
        <v>0</v>
      </c>
      <c r="K410">
        <v>3.9627999999999997E-2</v>
      </c>
      <c r="L410">
        <v>18.177848999999998</v>
      </c>
      <c r="M410" t="s">
        <v>27</v>
      </c>
      <c r="N410" t="s">
        <v>28</v>
      </c>
      <c r="O410" t="s">
        <v>122</v>
      </c>
      <c r="P410" t="s">
        <v>123</v>
      </c>
      <c r="Q410" t="s">
        <v>124</v>
      </c>
      <c r="R410" s="22">
        <f t="shared" si="30"/>
        <v>46288.830507200822</v>
      </c>
      <c r="S410" s="22">
        <f t="shared" si="31"/>
        <v>46288.830717592595</v>
      </c>
      <c r="T410" s="23">
        <f t="shared" si="32"/>
        <v>0</v>
      </c>
      <c r="U410" s="23">
        <f t="shared" si="33"/>
        <v>0</v>
      </c>
      <c r="V410" s="23">
        <f t="shared" si="34"/>
        <v>0</v>
      </c>
    </row>
    <row r="411" spans="1:22" x14ac:dyDescent="0.35">
      <c r="A411" t="s">
        <v>286</v>
      </c>
      <c r="B411">
        <v>64</v>
      </c>
      <c r="C411" t="s">
        <v>321</v>
      </c>
      <c r="D411" t="s">
        <v>121</v>
      </c>
      <c r="E411" t="s">
        <v>25</v>
      </c>
      <c r="F411" t="s">
        <v>26</v>
      </c>
      <c r="G411">
        <v>9222</v>
      </c>
      <c r="H411">
        <v>0</v>
      </c>
      <c r="I411">
        <v>1042</v>
      </c>
      <c r="J411">
        <v>0</v>
      </c>
      <c r="K411">
        <v>3.3474999999999998E-2</v>
      </c>
      <c r="L411">
        <v>20.234316</v>
      </c>
      <c r="M411" t="s">
        <v>27</v>
      </c>
      <c r="N411" t="s">
        <v>28</v>
      </c>
      <c r="O411" t="s">
        <v>122</v>
      </c>
      <c r="P411" t="s">
        <v>123</v>
      </c>
      <c r="Q411" t="s">
        <v>124</v>
      </c>
      <c r="R411" s="22">
        <f t="shared" si="30"/>
        <v>46288.830506547267</v>
      </c>
      <c r="S411" s="22">
        <f t="shared" si="31"/>
        <v>46288.830740740741</v>
      </c>
      <c r="T411" s="23">
        <f t="shared" si="32"/>
        <v>4.9999999115243554</v>
      </c>
      <c r="U411" s="23">
        <f t="shared" si="33"/>
        <v>4.9999999115243554</v>
      </c>
      <c r="V411" s="23">
        <f t="shared" si="34"/>
        <v>4.9999999115243554</v>
      </c>
    </row>
    <row r="412" spans="1:22" x14ac:dyDescent="0.35">
      <c r="A412" t="s">
        <v>286</v>
      </c>
      <c r="B412">
        <v>65</v>
      </c>
      <c r="C412" t="s">
        <v>322</v>
      </c>
      <c r="D412" t="s">
        <v>121</v>
      </c>
      <c r="E412" t="s">
        <v>25</v>
      </c>
      <c r="F412" t="s">
        <v>26</v>
      </c>
      <c r="G412">
        <v>8028</v>
      </c>
      <c r="H412">
        <v>0</v>
      </c>
      <c r="I412">
        <v>1338</v>
      </c>
      <c r="J412">
        <v>0</v>
      </c>
      <c r="K412">
        <v>3.3450000000000001E-2</v>
      </c>
      <c r="L412">
        <v>17.864279</v>
      </c>
      <c r="M412" t="s">
        <v>27</v>
      </c>
      <c r="N412" t="s">
        <v>28</v>
      </c>
      <c r="O412" t="s">
        <v>122</v>
      </c>
      <c r="P412" t="s">
        <v>123</v>
      </c>
      <c r="Q412" t="s">
        <v>124</v>
      </c>
      <c r="R412" s="22">
        <f t="shared" si="30"/>
        <v>46288.830684441215</v>
      </c>
      <c r="S412" s="22">
        <f t="shared" si="31"/>
        <v>46288.830891203703</v>
      </c>
      <c r="T412" s="23">
        <f t="shared" si="32"/>
        <v>12.999999895691872</v>
      </c>
      <c r="U412" s="23">
        <f t="shared" si="33"/>
        <v>12.999999895691872</v>
      </c>
      <c r="V412" s="23">
        <f t="shared" si="34"/>
        <v>12.999999895691872</v>
      </c>
    </row>
    <row r="413" spans="1:22" x14ac:dyDescent="0.35">
      <c r="A413" t="s">
        <v>286</v>
      </c>
      <c r="B413">
        <v>66</v>
      </c>
      <c r="C413" t="s">
        <v>323</v>
      </c>
      <c r="D413" t="s">
        <v>121</v>
      </c>
      <c r="E413" t="s">
        <v>25</v>
      </c>
      <c r="F413" t="s">
        <v>26</v>
      </c>
      <c r="G413">
        <v>8947</v>
      </c>
      <c r="H413">
        <v>0</v>
      </c>
      <c r="I413">
        <v>1275</v>
      </c>
      <c r="J413">
        <v>0</v>
      </c>
      <c r="K413">
        <v>3.5118000000000003E-2</v>
      </c>
      <c r="L413">
        <v>18.80714</v>
      </c>
      <c r="M413" t="s">
        <v>27</v>
      </c>
      <c r="N413" t="s">
        <v>28</v>
      </c>
      <c r="O413" t="s">
        <v>122</v>
      </c>
      <c r="P413" t="s">
        <v>123</v>
      </c>
      <c r="Q413" t="s">
        <v>124</v>
      </c>
      <c r="R413" s="22">
        <f t="shared" si="30"/>
        <v>46288.830685102548</v>
      </c>
      <c r="S413" s="22">
        <f t="shared" si="31"/>
        <v>46288.83090277778</v>
      </c>
      <c r="T413" s="23">
        <f t="shared" si="32"/>
        <v>1.0000002337619662</v>
      </c>
      <c r="U413" s="23">
        <f t="shared" si="33"/>
        <v>1.0000002337619662</v>
      </c>
      <c r="V413" s="23">
        <f t="shared" si="34"/>
        <v>1.0000002337619662</v>
      </c>
    </row>
    <row r="414" spans="1:22" x14ac:dyDescent="0.35">
      <c r="A414" t="s">
        <v>286</v>
      </c>
      <c r="B414">
        <v>67</v>
      </c>
      <c r="C414" t="s">
        <v>324</v>
      </c>
      <c r="D414" t="s">
        <v>121</v>
      </c>
      <c r="E414" t="s">
        <v>25</v>
      </c>
      <c r="F414" t="s">
        <v>26</v>
      </c>
      <c r="G414">
        <v>10285</v>
      </c>
      <c r="H414">
        <v>9984</v>
      </c>
      <c r="I414">
        <v>1982</v>
      </c>
      <c r="J414">
        <v>0</v>
      </c>
      <c r="K414">
        <v>3.3051999999999998E-2</v>
      </c>
      <c r="L414">
        <v>21.780149999999999</v>
      </c>
      <c r="M414" t="s">
        <v>27</v>
      </c>
      <c r="N414" t="s">
        <v>28</v>
      </c>
      <c r="O414" t="s">
        <v>122</v>
      </c>
      <c r="P414" t="s">
        <v>123</v>
      </c>
      <c r="Q414" t="s">
        <v>124</v>
      </c>
      <c r="R414" s="22">
        <f t="shared" si="30"/>
        <v>46288.830905322342</v>
      </c>
      <c r="S414" s="22">
        <f t="shared" si="31"/>
        <v>46288.831157407411</v>
      </c>
      <c r="T414" s="23">
        <f t="shared" si="32"/>
        <v>21.780149918049574</v>
      </c>
      <c r="U414" s="23">
        <f t="shared" si="33"/>
        <v>21.780149918049574</v>
      </c>
      <c r="V414" s="23">
        <f t="shared" si="34"/>
        <v>21.780149918049574</v>
      </c>
    </row>
    <row r="415" spans="1:22" x14ac:dyDescent="0.35">
      <c r="A415" t="s">
        <v>286</v>
      </c>
      <c r="B415">
        <v>68</v>
      </c>
      <c r="C415" t="s">
        <v>325</v>
      </c>
      <c r="D415" t="s">
        <v>133</v>
      </c>
      <c r="E415" t="s">
        <v>25</v>
      </c>
      <c r="F415" t="s">
        <v>26</v>
      </c>
      <c r="G415">
        <v>2915</v>
      </c>
      <c r="H415">
        <v>0</v>
      </c>
      <c r="I415">
        <v>316</v>
      </c>
      <c r="J415">
        <v>0</v>
      </c>
      <c r="K415">
        <v>1.0448000000000001E-2</v>
      </c>
      <c r="L415">
        <v>4.4342180000000004</v>
      </c>
      <c r="M415" t="s">
        <v>27</v>
      </c>
      <c r="N415" t="s">
        <v>28</v>
      </c>
      <c r="O415" t="s">
        <v>122</v>
      </c>
      <c r="P415" t="s">
        <v>123</v>
      </c>
      <c r="Q415" t="s">
        <v>134</v>
      </c>
      <c r="R415" s="22">
        <f t="shared" si="30"/>
        <v>46288.831152381732</v>
      </c>
      <c r="S415" s="22">
        <f t="shared" si="31"/>
        <v>46288.831203703703</v>
      </c>
      <c r="T415" s="23">
        <f t="shared" si="32"/>
        <v>4.4342183042317629</v>
      </c>
      <c r="U415" s="23">
        <f t="shared" si="33"/>
        <v>3.9999996777623892</v>
      </c>
      <c r="V415" s="23">
        <f t="shared" si="34"/>
        <v>3.9999996777623892</v>
      </c>
    </row>
    <row r="416" spans="1:22" x14ac:dyDescent="0.35">
      <c r="A416" t="s">
        <v>326</v>
      </c>
      <c r="B416">
        <v>1</v>
      </c>
      <c r="C416" t="s">
        <v>327</v>
      </c>
      <c r="D416" t="s">
        <v>24</v>
      </c>
      <c r="E416" t="s">
        <v>25</v>
      </c>
      <c r="F416" t="s">
        <v>26</v>
      </c>
      <c r="G416">
        <v>1178</v>
      </c>
      <c r="H416">
        <v>1024</v>
      </c>
      <c r="I416">
        <v>53</v>
      </c>
      <c r="J416">
        <v>0</v>
      </c>
      <c r="K416">
        <v>2.1949999999999999E-3</v>
      </c>
      <c r="L416">
        <v>1.9296599999999999</v>
      </c>
      <c r="M416" t="s">
        <v>27</v>
      </c>
      <c r="N416" t="s">
        <v>28</v>
      </c>
      <c r="O416" t="s">
        <v>29</v>
      </c>
      <c r="P416" t="s">
        <v>30</v>
      </c>
      <c r="Q416" t="s">
        <v>31</v>
      </c>
      <c r="R416" s="22">
        <f t="shared" si="30"/>
        <v>46288.831354980794</v>
      </c>
      <c r="S416" s="22">
        <f t="shared" si="31"/>
        <v>46288.831377314818</v>
      </c>
      <c r="T416" s="23">
        <f t="shared" si="32"/>
        <v>1.9296597456559539</v>
      </c>
      <c r="U416" s="23">
        <f t="shared" si="33"/>
        <v>1.9296597456559539</v>
      </c>
      <c r="V416" s="23">
        <f t="shared" si="34"/>
        <v>1.9296597456559539</v>
      </c>
    </row>
    <row r="417" spans="1:22" x14ac:dyDescent="0.35">
      <c r="A417" t="s">
        <v>326</v>
      </c>
      <c r="B417">
        <v>2</v>
      </c>
      <c r="C417" t="s">
        <v>328</v>
      </c>
      <c r="D417" t="s">
        <v>33</v>
      </c>
      <c r="E417" t="s">
        <v>25</v>
      </c>
      <c r="F417" t="s">
        <v>34</v>
      </c>
      <c r="G417">
        <v>429</v>
      </c>
      <c r="H417">
        <v>0</v>
      </c>
      <c r="I417">
        <v>99</v>
      </c>
      <c r="J417">
        <v>0</v>
      </c>
      <c r="K417">
        <v>1.2400000000000001E-4</v>
      </c>
      <c r="L417">
        <v>2.1034030000000001</v>
      </c>
      <c r="M417" t="s">
        <v>27</v>
      </c>
      <c r="N417" t="s">
        <v>28</v>
      </c>
      <c r="O417" t="s">
        <v>35</v>
      </c>
      <c r="P417" t="s">
        <v>36</v>
      </c>
      <c r="Q417" t="s">
        <v>37</v>
      </c>
      <c r="R417" s="22">
        <f t="shared" si="30"/>
        <v>46288.831376118025</v>
      </c>
      <c r="S417" s="22">
        <f t="shared" si="31"/>
        <v>46288.831400462965</v>
      </c>
      <c r="T417" s="23">
        <f t="shared" si="32"/>
        <v>2.1034027682617307</v>
      </c>
      <c r="U417" s="23">
        <f t="shared" si="33"/>
        <v>2.1034027682617307</v>
      </c>
      <c r="V417" s="23">
        <f t="shared" si="34"/>
        <v>1.9999998388811946</v>
      </c>
    </row>
    <row r="418" spans="1:22" x14ac:dyDescent="0.35">
      <c r="A418" t="s">
        <v>326</v>
      </c>
      <c r="B418">
        <v>3</v>
      </c>
      <c r="C418" t="s">
        <v>329</v>
      </c>
      <c r="D418" t="s">
        <v>39</v>
      </c>
      <c r="E418" t="s">
        <v>40</v>
      </c>
      <c r="F418" t="s">
        <v>41</v>
      </c>
      <c r="G418">
        <v>664</v>
      </c>
      <c r="H418">
        <v>0</v>
      </c>
      <c r="I418">
        <v>2880</v>
      </c>
      <c r="J418">
        <v>5.0000000000000001E-3</v>
      </c>
      <c r="K418">
        <v>8.5400000000000007E-3</v>
      </c>
      <c r="L418">
        <v>30.903096000000001</v>
      </c>
      <c r="M418" t="s">
        <v>27</v>
      </c>
      <c r="N418" t="s">
        <v>42</v>
      </c>
      <c r="O418" t="s">
        <v>43</v>
      </c>
      <c r="P418" t="s">
        <v>44</v>
      </c>
      <c r="Q418" t="s">
        <v>45</v>
      </c>
      <c r="R418" s="22">
        <f t="shared" si="30"/>
        <v>46288.831401584532</v>
      </c>
      <c r="S418" s="22">
        <f t="shared" si="31"/>
        <v>46288.831759259258</v>
      </c>
      <c r="T418" s="23">
        <f t="shared" si="32"/>
        <v>30.903096310794353</v>
      </c>
      <c r="U418" s="23">
        <f t="shared" si="33"/>
        <v>30.903096310794353</v>
      </c>
      <c r="V418" s="23">
        <f t="shared" si="34"/>
        <v>30.903096310794353</v>
      </c>
    </row>
    <row r="419" spans="1:22" x14ac:dyDescent="0.35">
      <c r="A419" t="s">
        <v>326</v>
      </c>
      <c r="B419">
        <v>4</v>
      </c>
      <c r="C419" t="s">
        <v>330</v>
      </c>
      <c r="D419" t="s">
        <v>55</v>
      </c>
      <c r="E419" t="s">
        <v>25</v>
      </c>
      <c r="F419" t="s">
        <v>26</v>
      </c>
      <c r="G419">
        <v>11022</v>
      </c>
      <c r="H419">
        <v>0</v>
      </c>
      <c r="I419">
        <v>1520</v>
      </c>
      <c r="J419">
        <v>0</v>
      </c>
      <c r="K419">
        <v>4.2755000000000001E-2</v>
      </c>
      <c r="L419">
        <v>23.307886</v>
      </c>
      <c r="M419" t="s">
        <v>27</v>
      </c>
      <c r="N419" t="s">
        <v>28</v>
      </c>
      <c r="O419" t="s">
        <v>56</v>
      </c>
      <c r="P419" t="s">
        <v>57</v>
      </c>
      <c r="Q419" t="s">
        <v>58</v>
      </c>
      <c r="R419" s="22">
        <f t="shared" si="30"/>
        <v>46288.831767269832</v>
      </c>
      <c r="S419" s="22">
        <f t="shared" si="31"/>
        <v>46288.832037037035</v>
      </c>
      <c r="T419" s="23">
        <f t="shared" si="32"/>
        <v>23.307886300608516</v>
      </c>
      <c r="U419" s="23">
        <f t="shared" si="33"/>
        <v>23.307886300608516</v>
      </c>
      <c r="V419" s="23">
        <f t="shared" si="34"/>
        <v>23.307886300608516</v>
      </c>
    </row>
    <row r="420" spans="1:22" x14ac:dyDescent="0.35">
      <c r="A420" t="s">
        <v>326</v>
      </c>
      <c r="B420">
        <v>5</v>
      </c>
      <c r="C420" t="s">
        <v>331</v>
      </c>
      <c r="D420" t="s">
        <v>55</v>
      </c>
      <c r="E420" t="s">
        <v>25</v>
      </c>
      <c r="F420" t="s">
        <v>26</v>
      </c>
      <c r="G420">
        <v>12643</v>
      </c>
      <c r="H420">
        <v>12416</v>
      </c>
      <c r="I420">
        <v>1947</v>
      </c>
      <c r="J420">
        <v>0</v>
      </c>
      <c r="K420">
        <v>3.5556999999999998E-2</v>
      </c>
      <c r="L420">
        <v>23.101835999999999</v>
      </c>
      <c r="M420" t="s">
        <v>27</v>
      </c>
      <c r="N420" t="s">
        <v>28</v>
      </c>
      <c r="O420" t="s">
        <v>56</v>
      </c>
      <c r="P420" t="s">
        <v>57</v>
      </c>
      <c r="Q420" t="s">
        <v>58</v>
      </c>
      <c r="R420" s="22">
        <f t="shared" si="30"/>
        <v>46288.832035858381</v>
      </c>
      <c r="S420" s="22">
        <f t="shared" si="31"/>
        <v>46288.832303240742</v>
      </c>
      <c r="T420" s="23">
        <f t="shared" si="32"/>
        <v>23.00000034738332</v>
      </c>
      <c r="U420" s="23">
        <f t="shared" si="33"/>
        <v>23.00000034738332</v>
      </c>
      <c r="V420" s="23">
        <f t="shared" si="34"/>
        <v>23.00000034738332</v>
      </c>
    </row>
    <row r="421" spans="1:22" x14ac:dyDescent="0.35">
      <c r="A421" t="s">
        <v>326</v>
      </c>
      <c r="B421">
        <v>6</v>
      </c>
      <c r="C421" t="s">
        <v>332</v>
      </c>
      <c r="D421" t="s">
        <v>61</v>
      </c>
      <c r="E421" t="s">
        <v>25</v>
      </c>
      <c r="F421" t="s">
        <v>62</v>
      </c>
      <c r="G421">
        <v>4</v>
      </c>
      <c r="H421">
        <v>0</v>
      </c>
      <c r="I421">
        <v>0</v>
      </c>
      <c r="J421">
        <v>0</v>
      </c>
      <c r="K421">
        <v>0</v>
      </c>
      <c r="L421">
        <v>0.94483200000000001</v>
      </c>
      <c r="M421" t="s">
        <v>27</v>
      </c>
      <c r="N421" t="s">
        <v>63</v>
      </c>
      <c r="O421" t="s">
        <v>64</v>
      </c>
      <c r="P421" t="s">
        <v>65</v>
      </c>
      <c r="Q421" t="s">
        <v>66</v>
      </c>
      <c r="R421" s="22">
        <f t="shared" si="30"/>
        <v>46288.832303879259</v>
      </c>
      <c r="S421" s="22">
        <f t="shared" si="31"/>
        <v>46288.832314814812</v>
      </c>
      <c r="T421" s="23">
        <f t="shared" si="32"/>
        <v>0.94483180437237024</v>
      </c>
      <c r="U421" s="23">
        <f t="shared" si="33"/>
        <v>0.94483180437237024</v>
      </c>
      <c r="V421" s="23">
        <f t="shared" si="34"/>
        <v>0.94483180437237024</v>
      </c>
    </row>
    <row r="422" spans="1:22" x14ac:dyDescent="0.35">
      <c r="A422" t="s">
        <v>326</v>
      </c>
      <c r="B422">
        <v>7</v>
      </c>
      <c r="C422" t="s">
        <v>332</v>
      </c>
      <c r="D422" t="s">
        <v>61</v>
      </c>
      <c r="E422" t="s">
        <v>25</v>
      </c>
      <c r="F422" t="s">
        <v>62</v>
      </c>
      <c r="G422">
        <v>5</v>
      </c>
      <c r="H422">
        <v>0</v>
      </c>
      <c r="I422">
        <v>0</v>
      </c>
      <c r="J422">
        <v>0</v>
      </c>
      <c r="K422">
        <v>0</v>
      </c>
      <c r="L422">
        <v>0.200539</v>
      </c>
      <c r="M422" t="s">
        <v>27</v>
      </c>
      <c r="N422" t="s">
        <v>63</v>
      </c>
      <c r="O422" t="s">
        <v>64</v>
      </c>
      <c r="P422" t="s">
        <v>65</v>
      </c>
      <c r="Q422" t="s">
        <v>66</v>
      </c>
      <c r="R422" s="22">
        <f t="shared" si="30"/>
        <v>46288.83231249376</v>
      </c>
      <c r="S422" s="22">
        <f t="shared" si="31"/>
        <v>46288.832314814812</v>
      </c>
      <c r="T422" s="23">
        <f t="shared" si="32"/>
        <v>0</v>
      </c>
      <c r="U422" s="23">
        <f t="shared" si="33"/>
        <v>0</v>
      </c>
      <c r="V422" s="23">
        <f t="shared" si="34"/>
        <v>0</v>
      </c>
    </row>
    <row r="423" spans="1:22" x14ac:dyDescent="0.35">
      <c r="A423" t="s">
        <v>326</v>
      </c>
      <c r="B423">
        <v>8</v>
      </c>
      <c r="C423" t="s">
        <v>332</v>
      </c>
      <c r="D423" t="s">
        <v>61</v>
      </c>
      <c r="E423" t="s">
        <v>25</v>
      </c>
      <c r="F423" t="s">
        <v>62</v>
      </c>
      <c r="G423">
        <v>6</v>
      </c>
      <c r="H423">
        <v>0</v>
      </c>
      <c r="I423">
        <v>0</v>
      </c>
      <c r="J423">
        <v>0</v>
      </c>
      <c r="K423">
        <v>0</v>
      </c>
      <c r="L423">
        <v>0.19686999999999999</v>
      </c>
      <c r="M423" t="s">
        <v>27</v>
      </c>
      <c r="N423" t="s">
        <v>63</v>
      </c>
      <c r="O423" t="s">
        <v>64</v>
      </c>
      <c r="P423" t="s">
        <v>65</v>
      </c>
      <c r="Q423" t="s">
        <v>66</v>
      </c>
      <c r="R423" s="22">
        <f t="shared" si="30"/>
        <v>46288.832312536222</v>
      </c>
      <c r="S423" s="22">
        <f t="shared" si="31"/>
        <v>46288.832314814812</v>
      </c>
      <c r="T423" s="23">
        <f t="shared" si="32"/>
        <v>0</v>
      </c>
      <c r="U423" s="23">
        <f t="shared" si="33"/>
        <v>0</v>
      </c>
      <c r="V423" s="23">
        <f t="shared" si="34"/>
        <v>0</v>
      </c>
    </row>
    <row r="424" spans="1:22" x14ac:dyDescent="0.35">
      <c r="A424" t="s">
        <v>326</v>
      </c>
      <c r="B424">
        <v>9</v>
      </c>
      <c r="C424" t="s">
        <v>333</v>
      </c>
      <c r="D424" t="s">
        <v>61</v>
      </c>
      <c r="E424" t="s">
        <v>25</v>
      </c>
      <c r="F424" t="s">
        <v>62</v>
      </c>
      <c r="G424">
        <v>7</v>
      </c>
      <c r="H424">
        <v>0</v>
      </c>
      <c r="I424">
        <v>0</v>
      </c>
      <c r="J424">
        <v>0</v>
      </c>
      <c r="K424">
        <v>0</v>
      </c>
      <c r="L424">
        <v>0.21149899999999999</v>
      </c>
      <c r="M424" t="s">
        <v>27</v>
      </c>
      <c r="N424" t="s">
        <v>63</v>
      </c>
      <c r="O424" t="s">
        <v>64</v>
      </c>
      <c r="P424" t="s">
        <v>65</v>
      </c>
      <c r="Q424" t="s">
        <v>66</v>
      </c>
      <c r="R424" s="22">
        <f t="shared" si="30"/>
        <v>46288.83232394098</v>
      </c>
      <c r="S424" s="22">
        <f t="shared" si="31"/>
        <v>46288.832326388889</v>
      </c>
      <c r="T424" s="23">
        <f t="shared" si="32"/>
        <v>0.21149930544197559</v>
      </c>
      <c r="U424" s="23">
        <f t="shared" si="33"/>
        <v>0.21149930544197559</v>
      </c>
      <c r="V424" s="23">
        <f t="shared" si="34"/>
        <v>0.21149930544197559</v>
      </c>
    </row>
    <row r="425" spans="1:22" x14ac:dyDescent="0.35">
      <c r="A425" t="s">
        <v>326</v>
      </c>
      <c r="B425">
        <v>10</v>
      </c>
      <c r="C425" t="s">
        <v>333</v>
      </c>
      <c r="D425" t="s">
        <v>61</v>
      </c>
      <c r="E425" t="s">
        <v>25</v>
      </c>
      <c r="F425" t="s">
        <v>62</v>
      </c>
      <c r="G425">
        <v>3</v>
      </c>
      <c r="H425">
        <v>0</v>
      </c>
      <c r="I425">
        <v>0</v>
      </c>
      <c r="J425">
        <v>0</v>
      </c>
      <c r="K425">
        <v>0</v>
      </c>
      <c r="L425">
        <v>0.19650300000000001</v>
      </c>
      <c r="M425" t="s">
        <v>27</v>
      </c>
      <c r="N425" t="s">
        <v>63</v>
      </c>
      <c r="O425" t="s">
        <v>64</v>
      </c>
      <c r="P425" t="s">
        <v>65</v>
      </c>
      <c r="Q425" t="s">
        <v>66</v>
      </c>
      <c r="R425" s="22">
        <f t="shared" si="30"/>
        <v>46288.832324114548</v>
      </c>
      <c r="S425" s="22">
        <f t="shared" si="31"/>
        <v>46288.832326388889</v>
      </c>
      <c r="T425" s="23">
        <f t="shared" si="32"/>
        <v>0</v>
      </c>
      <c r="U425" s="23">
        <f t="shared" si="33"/>
        <v>0</v>
      </c>
      <c r="V425" s="23">
        <f t="shared" si="34"/>
        <v>0</v>
      </c>
    </row>
    <row r="426" spans="1:22" x14ac:dyDescent="0.35">
      <c r="A426" t="s">
        <v>326</v>
      </c>
      <c r="B426">
        <v>11</v>
      </c>
      <c r="C426" t="s">
        <v>333</v>
      </c>
      <c r="D426" t="s">
        <v>61</v>
      </c>
      <c r="E426" t="s">
        <v>25</v>
      </c>
      <c r="F426" t="s">
        <v>62</v>
      </c>
      <c r="G426">
        <v>2</v>
      </c>
      <c r="H426">
        <v>0</v>
      </c>
      <c r="I426">
        <v>0</v>
      </c>
      <c r="J426">
        <v>0</v>
      </c>
      <c r="K426">
        <v>0</v>
      </c>
      <c r="L426">
        <v>0.192443</v>
      </c>
      <c r="M426" t="s">
        <v>27</v>
      </c>
      <c r="N426" t="s">
        <v>63</v>
      </c>
      <c r="O426" t="s">
        <v>64</v>
      </c>
      <c r="P426" t="s">
        <v>65</v>
      </c>
      <c r="Q426" t="s">
        <v>66</v>
      </c>
      <c r="R426" s="22">
        <f t="shared" si="30"/>
        <v>46288.832324161536</v>
      </c>
      <c r="S426" s="22">
        <f t="shared" si="31"/>
        <v>46288.832326388889</v>
      </c>
      <c r="T426" s="23">
        <f t="shared" si="32"/>
        <v>0</v>
      </c>
      <c r="U426" s="23">
        <f t="shared" si="33"/>
        <v>0</v>
      </c>
      <c r="V426" s="23">
        <f t="shared" si="34"/>
        <v>0</v>
      </c>
    </row>
    <row r="427" spans="1:22" x14ac:dyDescent="0.35">
      <c r="A427" t="s">
        <v>326</v>
      </c>
      <c r="B427">
        <v>12</v>
      </c>
      <c r="C427" t="s">
        <v>334</v>
      </c>
      <c r="D427" t="s">
        <v>61</v>
      </c>
      <c r="E427" t="s">
        <v>25</v>
      </c>
      <c r="F427" t="s">
        <v>62</v>
      </c>
      <c r="G427">
        <v>5</v>
      </c>
      <c r="H427">
        <v>0</v>
      </c>
      <c r="I427">
        <v>0</v>
      </c>
      <c r="J427">
        <v>0</v>
      </c>
      <c r="K427">
        <v>0</v>
      </c>
      <c r="L427">
        <v>0.18371399999999999</v>
      </c>
      <c r="M427" t="s">
        <v>27</v>
      </c>
      <c r="N427" t="s">
        <v>63</v>
      </c>
      <c r="O427" t="s">
        <v>64</v>
      </c>
      <c r="P427" t="s">
        <v>65</v>
      </c>
      <c r="Q427" t="s">
        <v>66</v>
      </c>
      <c r="R427" s="22">
        <f t="shared" si="30"/>
        <v>46288.832335836647</v>
      </c>
      <c r="S427" s="22">
        <f t="shared" si="31"/>
        <v>46288.832337962966</v>
      </c>
      <c r="T427" s="23">
        <f t="shared" si="32"/>
        <v>0</v>
      </c>
      <c r="U427" s="23">
        <f t="shared" si="33"/>
        <v>0</v>
      </c>
      <c r="V427" s="23">
        <f t="shared" si="34"/>
        <v>0</v>
      </c>
    </row>
    <row r="428" spans="1:22" x14ac:dyDescent="0.35">
      <c r="A428" t="s">
        <v>326</v>
      </c>
      <c r="B428">
        <v>13</v>
      </c>
      <c r="C428" t="s">
        <v>334</v>
      </c>
      <c r="D428" t="s">
        <v>61</v>
      </c>
      <c r="E428" t="s">
        <v>25</v>
      </c>
      <c r="F428" t="s">
        <v>62</v>
      </c>
      <c r="G428">
        <v>4</v>
      </c>
      <c r="H428">
        <v>0</v>
      </c>
      <c r="I428">
        <v>0</v>
      </c>
      <c r="J428">
        <v>0</v>
      </c>
      <c r="K428">
        <v>0</v>
      </c>
      <c r="L428">
        <v>0.19983400000000001</v>
      </c>
      <c r="M428" t="s">
        <v>27</v>
      </c>
      <c r="N428" t="s">
        <v>63</v>
      </c>
      <c r="O428" t="s">
        <v>64</v>
      </c>
      <c r="P428" t="s">
        <v>65</v>
      </c>
      <c r="Q428" t="s">
        <v>66</v>
      </c>
      <c r="R428" s="22">
        <f t="shared" si="30"/>
        <v>46288.83233565007</v>
      </c>
      <c r="S428" s="22">
        <f t="shared" si="31"/>
        <v>46288.832337962966</v>
      </c>
      <c r="T428" s="23">
        <f t="shared" si="32"/>
        <v>0.19983421079814434</v>
      </c>
      <c r="U428" s="23">
        <f t="shared" si="33"/>
        <v>0.19983421079814434</v>
      </c>
      <c r="V428" s="23">
        <f t="shared" si="34"/>
        <v>0.19983421079814434</v>
      </c>
    </row>
    <row r="429" spans="1:22" x14ac:dyDescent="0.35">
      <c r="A429" t="s">
        <v>326</v>
      </c>
      <c r="B429">
        <v>14</v>
      </c>
      <c r="C429" t="s">
        <v>334</v>
      </c>
      <c r="D429" t="s">
        <v>61</v>
      </c>
      <c r="E429" t="s">
        <v>25</v>
      </c>
      <c r="F429" t="s">
        <v>62</v>
      </c>
      <c r="G429">
        <v>4</v>
      </c>
      <c r="H429">
        <v>0</v>
      </c>
      <c r="I429">
        <v>0</v>
      </c>
      <c r="J429">
        <v>0</v>
      </c>
      <c r="K429">
        <v>0</v>
      </c>
      <c r="L429">
        <v>0.193885</v>
      </c>
      <c r="M429" t="s">
        <v>27</v>
      </c>
      <c r="N429" t="s">
        <v>63</v>
      </c>
      <c r="O429" t="s">
        <v>64</v>
      </c>
      <c r="P429" t="s">
        <v>65</v>
      </c>
      <c r="Q429" t="s">
        <v>66</v>
      </c>
      <c r="R429" s="22">
        <f t="shared" si="30"/>
        <v>46288.832335718929</v>
      </c>
      <c r="S429" s="22">
        <f t="shared" si="31"/>
        <v>46288.832337962966</v>
      </c>
      <c r="T429" s="23">
        <f t="shared" si="32"/>
        <v>0</v>
      </c>
      <c r="U429" s="23">
        <f t="shared" si="33"/>
        <v>0</v>
      </c>
      <c r="V429" s="23">
        <f t="shared" si="34"/>
        <v>0</v>
      </c>
    </row>
    <row r="430" spans="1:22" x14ac:dyDescent="0.35">
      <c r="A430" t="s">
        <v>326</v>
      </c>
      <c r="B430">
        <v>15</v>
      </c>
      <c r="C430" t="s">
        <v>335</v>
      </c>
      <c r="D430" t="s">
        <v>61</v>
      </c>
      <c r="E430" t="s">
        <v>25</v>
      </c>
      <c r="F430" t="s">
        <v>62</v>
      </c>
      <c r="G430">
        <v>2</v>
      </c>
      <c r="H430">
        <v>0</v>
      </c>
      <c r="I430">
        <v>0</v>
      </c>
      <c r="J430">
        <v>0</v>
      </c>
      <c r="K430">
        <v>0</v>
      </c>
      <c r="L430">
        <v>0.210175</v>
      </c>
      <c r="M430" t="s">
        <v>27</v>
      </c>
      <c r="N430" t="s">
        <v>63</v>
      </c>
      <c r="O430" t="s">
        <v>64</v>
      </c>
      <c r="P430" t="s">
        <v>65</v>
      </c>
      <c r="Q430" t="s">
        <v>66</v>
      </c>
      <c r="R430" s="22">
        <f t="shared" si="30"/>
        <v>46288.832347104457</v>
      </c>
      <c r="S430" s="22">
        <f t="shared" si="31"/>
        <v>46288.832349537035</v>
      </c>
      <c r="T430" s="23">
        <f t="shared" si="32"/>
        <v>0</v>
      </c>
      <c r="U430" s="23">
        <f t="shared" si="33"/>
        <v>0</v>
      </c>
      <c r="V430" s="23">
        <f t="shared" si="34"/>
        <v>0</v>
      </c>
    </row>
    <row r="431" spans="1:22" x14ac:dyDescent="0.35">
      <c r="A431" t="s">
        <v>326</v>
      </c>
      <c r="B431">
        <v>16</v>
      </c>
      <c r="C431" t="s">
        <v>335</v>
      </c>
      <c r="D431" t="s">
        <v>61</v>
      </c>
      <c r="E431" t="s">
        <v>25</v>
      </c>
      <c r="F431" t="s">
        <v>62</v>
      </c>
      <c r="G431">
        <v>2</v>
      </c>
      <c r="H431">
        <v>0</v>
      </c>
      <c r="I431">
        <v>0</v>
      </c>
      <c r="J431">
        <v>0</v>
      </c>
      <c r="K431">
        <v>0</v>
      </c>
      <c r="L431">
        <v>0.31761400000000001</v>
      </c>
      <c r="M431" t="s">
        <v>27</v>
      </c>
      <c r="N431" t="s">
        <v>63</v>
      </c>
      <c r="O431" t="s">
        <v>64</v>
      </c>
      <c r="P431" t="s">
        <v>65</v>
      </c>
      <c r="Q431" t="s">
        <v>66</v>
      </c>
      <c r="R431" s="22">
        <f t="shared" si="30"/>
        <v>46288.832345860945</v>
      </c>
      <c r="S431" s="22">
        <f t="shared" si="31"/>
        <v>46288.832349537035</v>
      </c>
      <c r="T431" s="23">
        <f t="shared" si="32"/>
        <v>0.31761419959366322</v>
      </c>
      <c r="U431" s="23">
        <f t="shared" si="33"/>
        <v>0.31761419959366322</v>
      </c>
      <c r="V431" s="23">
        <f t="shared" si="34"/>
        <v>0.31761419959366322</v>
      </c>
    </row>
    <row r="432" spans="1:22" x14ac:dyDescent="0.35">
      <c r="A432" t="s">
        <v>326</v>
      </c>
      <c r="B432">
        <v>17</v>
      </c>
      <c r="C432" t="s">
        <v>336</v>
      </c>
      <c r="D432" t="s">
        <v>61</v>
      </c>
      <c r="E432" t="s">
        <v>25</v>
      </c>
      <c r="F432" t="s">
        <v>62</v>
      </c>
      <c r="G432">
        <v>4</v>
      </c>
      <c r="H432">
        <v>0</v>
      </c>
      <c r="I432">
        <v>0</v>
      </c>
      <c r="J432">
        <v>0</v>
      </c>
      <c r="K432">
        <v>0</v>
      </c>
      <c r="L432">
        <v>0.22800599999999999</v>
      </c>
      <c r="M432" t="s">
        <v>27</v>
      </c>
      <c r="N432" t="s">
        <v>63</v>
      </c>
      <c r="O432" t="s">
        <v>64</v>
      </c>
      <c r="P432" t="s">
        <v>65</v>
      </c>
      <c r="Q432" t="s">
        <v>66</v>
      </c>
      <c r="R432" s="22">
        <f t="shared" si="30"/>
        <v>46288.832358472151</v>
      </c>
      <c r="S432" s="22">
        <f t="shared" si="31"/>
        <v>46288.832361111112</v>
      </c>
      <c r="T432" s="23">
        <f t="shared" si="32"/>
        <v>0</v>
      </c>
      <c r="U432" s="23">
        <f t="shared" si="33"/>
        <v>0</v>
      </c>
      <c r="V432" s="23">
        <f t="shared" si="34"/>
        <v>0</v>
      </c>
    </row>
    <row r="433" spans="1:22" x14ac:dyDescent="0.35">
      <c r="A433" t="s">
        <v>326</v>
      </c>
      <c r="B433">
        <v>18</v>
      </c>
      <c r="C433" t="s">
        <v>336</v>
      </c>
      <c r="D433" t="s">
        <v>61</v>
      </c>
      <c r="E433" t="s">
        <v>25</v>
      </c>
      <c r="F433" t="s">
        <v>62</v>
      </c>
      <c r="G433">
        <v>4</v>
      </c>
      <c r="H433">
        <v>0</v>
      </c>
      <c r="I433">
        <v>0</v>
      </c>
      <c r="J433">
        <v>0</v>
      </c>
      <c r="K433">
        <v>0</v>
      </c>
      <c r="L433">
        <v>0.21708</v>
      </c>
      <c r="M433" t="s">
        <v>27</v>
      </c>
      <c r="N433" t="s">
        <v>63</v>
      </c>
      <c r="O433" t="s">
        <v>64</v>
      </c>
      <c r="P433" t="s">
        <v>65</v>
      </c>
      <c r="Q433" t="s">
        <v>66</v>
      </c>
      <c r="R433" s="22">
        <f t="shared" si="30"/>
        <v>46288.832358598615</v>
      </c>
      <c r="S433" s="22">
        <f t="shared" si="31"/>
        <v>46288.832361111112</v>
      </c>
      <c r="T433" s="23">
        <f t="shared" si="32"/>
        <v>0</v>
      </c>
      <c r="U433" s="23">
        <f t="shared" si="33"/>
        <v>0</v>
      </c>
      <c r="V433" s="23">
        <f t="shared" si="34"/>
        <v>0</v>
      </c>
    </row>
    <row r="434" spans="1:22" x14ac:dyDescent="0.35">
      <c r="A434" t="s">
        <v>326</v>
      </c>
      <c r="B434">
        <v>19</v>
      </c>
      <c r="C434" t="s">
        <v>336</v>
      </c>
      <c r="D434" t="s">
        <v>61</v>
      </c>
      <c r="E434" t="s">
        <v>25</v>
      </c>
      <c r="F434" t="s">
        <v>62</v>
      </c>
      <c r="G434">
        <v>5</v>
      </c>
      <c r="H434">
        <v>0</v>
      </c>
      <c r="I434">
        <v>0</v>
      </c>
      <c r="J434">
        <v>0</v>
      </c>
      <c r="K434">
        <v>0</v>
      </c>
      <c r="L434">
        <v>0.36917100000000003</v>
      </c>
      <c r="M434" t="s">
        <v>27</v>
      </c>
      <c r="N434" t="s">
        <v>63</v>
      </c>
      <c r="O434" t="s">
        <v>64</v>
      </c>
      <c r="P434" t="s">
        <v>65</v>
      </c>
      <c r="Q434" t="s">
        <v>66</v>
      </c>
      <c r="R434" s="22">
        <f t="shared" si="30"/>
        <v>46288.832356838298</v>
      </c>
      <c r="S434" s="22">
        <f t="shared" si="31"/>
        <v>46288.832361111112</v>
      </c>
      <c r="T434" s="23">
        <f t="shared" si="32"/>
        <v>0.3691710764542222</v>
      </c>
      <c r="U434" s="23">
        <f t="shared" si="33"/>
        <v>0.3691710764542222</v>
      </c>
      <c r="V434" s="23">
        <f t="shared" si="34"/>
        <v>0.3691710764542222</v>
      </c>
    </row>
    <row r="435" spans="1:22" x14ac:dyDescent="0.35">
      <c r="A435" t="s">
        <v>326</v>
      </c>
      <c r="B435">
        <v>20</v>
      </c>
      <c r="C435" t="s">
        <v>337</v>
      </c>
      <c r="D435" t="s">
        <v>61</v>
      </c>
      <c r="E435" t="s">
        <v>25</v>
      </c>
      <c r="F435" t="s">
        <v>62</v>
      </c>
      <c r="G435">
        <v>3</v>
      </c>
      <c r="H435">
        <v>0</v>
      </c>
      <c r="I435">
        <v>0</v>
      </c>
      <c r="J435">
        <v>0</v>
      </c>
      <c r="K435">
        <v>0</v>
      </c>
      <c r="L435">
        <v>0.404252</v>
      </c>
      <c r="M435" t="s">
        <v>27</v>
      </c>
      <c r="N435" t="s">
        <v>63</v>
      </c>
      <c r="O435" t="s">
        <v>64</v>
      </c>
      <c r="P435" t="s">
        <v>65</v>
      </c>
      <c r="Q435" t="s">
        <v>66</v>
      </c>
      <c r="R435" s="22">
        <f t="shared" si="30"/>
        <v>46288.832368006348</v>
      </c>
      <c r="S435" s="22">
        <f t="shared" si="31"/>
        <v>46288.832372685189</v>
      </c>
      <c r="T435" s="23">
        <f t="shared" si="32"/>
        <v>0.40425185579806566</v>
      </c>
      <c r="U435" s="23">
        <f t="shared" si="33"/>
        <v>0.40425185579806566</v>
      </c>
      <c r="V435" s="23">
        <f t="shared" si="34"/>
        <v>0.40425185579806566</v>
      </c>
    </row>
    <row r="436" spans="1:22" x14ac:dyDescent="0.35">
      <c r="A436" t="s">
        <v>326</v>
      </c>
      <c r="B436">
        <v>21</v>
      </c>
      <c r="C436" t="s">
        <v>337</v>
      </c>
      <c r="D436" t="s">
        <v>61</v>
      </c>
      <c r="E436" t="s">
        <v>25</v>
      </c>
      <c r="F436" t="s">
        <v>62</v>
      </c>
      <c r="G436">
        <v>4</v>
      </c>
      <c r="H436">
        <v>0</v>
      </c>
      <c r="I436">
        <v>0</v>
      </c>
      <c r="J436">
        <v>0</v>
      </c>
      <c r="K436">
        <v>0</v>
      </c>
      <c r="L436">
        <v>0.25009599999999998</v>
      </c>
      <c r="M436" t="s">
        <v>27</v>
      </c>
      <c r="N436" t="s">
        <v>63</v>
      </c>
      <c r="O436" t="s">
        <v>64</v>
      </c>
      <c r="P436" t="s">
        <v>65</v>
      </c>
      <c r="Q436" t="s">
        <v>66</v>
      </c>
      <c r="R436" s="22">
        <f t="shared" si="30"/>
        <v>46288.832369790558</v>
      </c>
      <c r="S436" s="22">
        <f t="shared" si="31"/>
        <v>46288.832372685189</v>
      </c>
      <c r="T436" s="23">
        <f t="shared" si="32"/>
        <v>0</v>
      </c>
      <c r="U436" s="23">
        <f t="shared" si="33"/>
        <v>0</v>
      </c>
      <c r="V436" s="23">
        <f t="shared" si="34"/>
        <v>0</v>
      </c>
    </row>
    <row r="437" spans="1:22" x14ac:dyDescent="0.35">
      <c r="A437" t="s">
        <v>326</v>
      </c>
      <c r="B437">
        <v>22</v>
      </c>
      <c r="C437" t="s">
        <v>338</v>
      </c>
      <c r="D437" t="s">
        <v>61</v>
      </c>
      <c r="E437" t="s">
        <v>25</v>
      </c>
      <c r="F437" t="s">
        <v>62</v>
      </c>
      <c r="G437">
        <v>4</v>
      </c>
      <c r="H437">
        <v>0</v>
      </c>
      <c r="I437">
        <v>0</v>
      </c>
      <c r="J437">
        <v>0</v>
      </c>
      <c r="K437">
        <v>0</v>
      </c>
      <c r="L437">
        <v>0.26980100000000001</v>
      </c>
      <c r="M437" t="s">
        <v>27</v>
      </c>
      <c r="N437" t="s">
        <v>63</v>
      </c>
      <c r="O437" t="s">
        <v>64</v>
      </c>
      <c r="P437" t="s">
        <v>65</v>
      </c>
      <c r="Q437" t="s">
        <v>66</v>
      </c>
      <c r="R437" s="22">
        <f t="shared" si="30"/>
        <v>46288.832381136563</v>
      </c>
      <c r="S437" s="22">
        <f t="shared" si="31"/>
        <v>46288.832384259258</v>
      </c>
      <c r="T437" s="23">
        <f t="shared" si="32"/>
        <v>0.26980089023709297</v>
      </c>
      <c r="U437" s="23">
        <f t="shared" si="33"/>
        <v>0.26980089023709297</v>
      </c>
      <c r="V437" s="23">
        <f t="shared" si="34"/>
        <v>0.26980089023709297</v>
      </c>
    </row>
    <row r="438" spans="1:22" x14ac:dyDescent="0.35">
      <c r="A438" t="s">
        <v>326</v>
      </c>
      <c r="B438">
        <v>23</v>
      </c>
      <c r="C438" t="s">
        <v>338</v>
      </c>
      <c r="D438" t="s">
        <v>61</v>
      </c>
      <c r="E438" t="s">
        <v>25</v>
      </c>
      <c r="F438" t="s">
        <v>62</v>
      </c>
      <c r="G438">
        <v>5</v>
      </c>
      <c r="H438">
        <v>0</v>
      </c>
      <c r="I438">
        <v>0</v>
      </c>
      <c r="J438">
        <v>0</v>
      </c>
      <c r="K438">
        <v>0</v>
      </c>
      <c r="L438">
        <v>0.22162499999999999</v>
      </c>
      <c r="M438" t="s">
        <v>27</v>
      </c>
      <c r="N438" t="s">
        <v>63</v>
      </c>
      <c r="O438" t="s">
        <v>64</v>
      </c>
      <c r="P438" t="s">
        <v>65</v>
      </c>
      <c r="Q438" t="s">
        <v>66</v>
      </c>
      <c r="R438" s="22">
        <f t="shared" si="30"/>
        <v>46288.832381694156</v>
      </c>
      <c r="S438" s="22">
        <f t="shared" si="31"/>
        <v>46288.832384259258</v>
      </c>
      <c r="T438" s="23">
        <f t="shared" si="32"/>
        <v>0</v>
      </c>
      <c r="U438" s="23">
        <f t="shared" si="33"/>
        <v>0</v>
      </c>
      <c r="V438" s="23">
        <f t="shared" si="34"/>
        <v>0</v>
      </c>
    </row>
    <row r="439" spans="1:22" x14ac:dyDescent="0.35">
      <c r="A439" t="s">
        <v>326</v>
      </c>
      <c r="B439">
        <v>24</v>
      </c>
      <c r="C439" t="s">
        <v>339</v>
      </c>
      <c r="D439" t="s">
        <v>61</v>
      </c>
      <c r="E439" t="s">
        <v>25</v>
      </c>
      <c r="F439" t="s">
        <v>62</v>
      </c>
      <c r="G439">
        <v>5</v>
      </c>
      <c r="H439">
        <v>0</v>
      </c>
      <c r="I439">
        <v>0</v>
      </c>
      <c r="J439">
        <v>0</v>
      </c>
      <c r="K439">
        <v>0</v>
      </c>
      <c r="L439">
        <v>0.23325799999999999</v>
      </c>
      <c r="M439" t="s">
        <v>27</v>
      </c>
      <c r="N439" t="s">
        <v>63</v>
      </c>
      <c r="O439" t="s">
        <v>64</v>
      </c>
      <c r="P439" t="s">
        <v>65</v>
      </c>
      <c r="Q439" t="s">
        <v>66</v>
      </c>
      <c r="R439" s="22">
        <f t="shared" si="30"/>
        <v>46288.832393133591</v>
      </c>
      <c r="S439" s="22">
        <f t="shared" si="31"/>
        <v>46288.832395833335</v>
      </c>
      <c r="T439" s="23">
        <f t="shared" si="32"/>
        <v>0.23325788788497448</v>
      </c>
      <c r="U439" s="23">
        <f t="shared" si="33"/>
        <v>0.23325788788497448</v>
      </c>
      <c r="V439" s="23">
        <f t="shared" si="34"/>
        <v>0.23325788788497448</v>
      </c>
    </row>
    <row r="440" spans="1:22" x14ac:dyDescent="0.35">
      <c r="A440" t="s">
        <v>326</v>
      </c>
      <c r="B440">
        <v>25</v>
      </c>
      <c r="C440" t="s">
        <v>339</v>
      </c>
      <c r="D440" t="s">
        <v>61</v>
      </c>
      <c r="E440" t="s">
        <v>25</v>
      </c>
      <c r="F440" t="s">
        <v>62</v>
      </c>
      <c r="G440">
        <v>19</v>
      </c>
      <c r="H440">
        <v>0</v>
      </c>
      <c r="I440">
        <v>0</v>
      </c>
      <c r="J440">
        <v>0</v>
      </c>
      <c r="K440">
        <v>0</v>
      </c>
      <c r="L440">
        <v>0.21229400000000001</v>
      </c>
      <c r="M440" t="s">
        <v>27</v>
      </c>
      <c r="N440" t="s">
        <v>63</v>
      </c>
      <c r="O440" t="s">
        <v>64</v>
      </c>
      <c r="P440" t="s">
        <v>65</v>
      </c>
      <c r="Q440" t="s">
        <v>66</v>
      </c>
      <c r="R440" s="22">
        <f t="shared" si="30"/>
        <v>46288.832393376229</v>
      </c>
      <c r="S440" s="22">
        <f t="shared" si="31"/>
        <v>46288.832395833335</v>
      </c>
      <c r="T440" s="23">
        <f t="shared" si="32"/>
        <v>0</v>
      </c>
      <c r="U440" s="23">
        <f t="shared" si="33"/>
        <v>0</v>
      </c>
      <c r="V440" s="23">
        <f t="shared" si="34"/>
        <v>0</v>
      </c>
    </row>
    <row r="441" spans="1:22" x14ac:dyDescent="0.35">
      <c r="A441" t="s">
        <v>326</v>
      </c>
      <c r="B441">
        <v>26</v>
      </c>
      <c r="C441" t="s">
        <v>340</v>
      </c>
      <c r="D441" t="s">
        <v>82</v>
      </c>
      <c r="E441" t="s">
        <v>25</v>
      </c>
      <c r="F441" t="s">
        <v>62</v>
      </c>
      <c r="G441">
        <v>139</v>
      </c>
      <c r="H441">
        <v>0</v>
      </c>
      <c r="I441">
        <v>0</v>
      </c>
      <c r="J441">
        <v>0</v>
      </c>
      <c r="K441">
        <v>3.0000000000000001E-6</v>
      </c>
      <c r="L441">
        <v>0.69310300000000002</v>
      </c>
      <c r="M441" t="s">
        <v>27</v>
      </c>
      <c r="N441" t="s">
        <v>63</v>
      </c>
      <c r="O441" t="s">
        <v>83</v>
      </c>
      <c r="P441" t="s">
        <v>84</v>
      </c>
      <c r="Q441" t="s">
        <v>85</v>
      </c>
      <c r="R441" s="22">
        <f t="shared" si="30"/>
        <v>46288.8324341076</v>
      </c>
      <c r="S441" s="22">
        <f t="shared" si="31"/>
        <v>46288.832442129627</v>
      </c>
      <c r="T441" s="23">
        <f t="shared" si="32"/>
        <v>0.69310313556343317</v>
      </c>
      <c r="U441" s="23">
        <f t="shared" si="33"/>
        <v>0.69310313556343317</v>
      </c>
      <c r="V441" s="23">
        <f t="shared" si="34"/>
        <v>0.69310313556343317</v>
      </c>
    </row>
    <row r="442" spans="1:22" x14ac:dyDescent="0.35">
      <c r="A442" t="s">
        <v>326</v>
      </c>
      <c r="B442">
        <v>27</v>
      </c>
      <c r="C442" t="s">
        <v>341</v>
      </c>
      <c r="D442" t="s">
        <v>82</v>
      </c>
      <c r="E442" t="s">
        <v>25</v>
      </c>
      <c r="F442" t="s">
        <v>26</v>
      </c>
      <c r="G442">
        <v>3891</v>
      </c>
      <c r="H442">
        <v>0</v>
      </c>
      <c r="I442">
        <v>465</v>
      </c>
      <c r="J442">
        <v>0</v>
      </c>
      <c r="K442">
        <v>1.4376999999999999E-2</v>
      </c>
      <c r="L442">
        <v>7.8093820000000003</v>
      </c>
      <c r="M442" t="s">
        <v>27</v>
      </c>
      <c r="N442" t="s">
        <v>28</v>
      </c>
      <c r="O442" t="s">
        <v>83</v>
      </c>
      <c r="P442" t="s">
        <v>84</v>
      </c>
      <c r="Q442" t="s">
        <v>85</v>
      </c>
      <c r="R442" s="22">
        <f t="shared" si="30"/>
        <v>46288.832444335851</v>
      </c>
      <c r="S442" s="22">
        <f t="shared" si="31"/>
        <v>46288.83253472222</v>
      </c>
      <c r="T442" s="23">
        <f t="shared" si="32"/>
        <v>7.8093823045492172</v>
      </c>
      <c r="U442" s="23">
        <f t="shared" si="33"/>
        <v>7.8093823045492172</v>
      </c>
      <c r="V442" s="23">
        <f t="shared" si="34"/>
        <v>7.8093823045492172</v>
      </c>
    </row>
    <row r="443" spans="1:22" x14ac:dyDescent="0.35">
      <c r="A443" t="s">
        <v>326</v>
      </c>
      <c r="B443">
        <v>28</v>
      </c>
      <c r="C443" t="s">
        <v>342</v>
      </c>
      <c r="D443" t="s">
        <v>61</v>
      </c>
      <c r="E443" t="s">
        <v>25</v>
      </c>
      <c r="F443" t="s">
        <v>62</v>
      </c>
      <c r="G443">
        <v>5</v>
      </c>
      <c r="H443">
        <v>0</v>
      </c>
      <c r="I443">
        <v>0</v>
      </c>
      <c r="J443">
        <v>0</v>
      </c>
      <c r="K443">
        <v>0</v>
      </c>
      <c r="L443">
        <v>0.378772</v>
      </c>
      <c r="M443" t="s">
        <v>27</v>
      </c>
      <c r="N443" t="s">
        <v>63</v>
      </c>
      <c r="O443" t="s">
        <v>64</v>
      </c>
      <c r="P443" t="s">
        <v>65</v>
      </c>
      <c r="Q443" t="s">
        <v>66</v>
      </c>
      <c r="R443" s="22">
        <f t="shared" si="30"/>
        <v>46288.832541912365</v>
      </c>
      <c r="S443" s="22">
        <f t="shared" si="31"/>
        <v>46288.832546296297</v>
      </c>
      <c r="T443" s="23">
        <f t="shared" si="32"/>
        <v>0.37877170834690332</v>
      </c>
      <c r="U443" s="23">
        <f t="shared" si="33"/>
        <v>0.37877170834690332</v>
      </c>
      <c r="V443" s="23">
        <f t="shared" si="34"/>
        <v>0.37877170834690332</v>
      </c>
    </row>
    <row r="444" spans="1:22" x14ac:dyDescent="0.35">
      <c r="A444" t="s">
        <v>326</v>
      </c>
      <c r="B444">
        <v>29</v>
      </c>
      <c r="C444" t="s">
        <v>342</v>
      </c>
      <c r="D444" t="s">
        <v>61</v>
      </c>
      <c r="E444" t="s">
        <v>25</v>
      </c>
      <c r="F444" t="s">
        <v>62</v>
      </c>
      <c r="G444">
        <v>2</v>
      </c>
      <c r="H444">
        <v>0</v>
      </c>
      <c r="I444">
        <v>0</v>
      </c>
      <c r="J444">
        <v>0</v>
      </c>
      <c r="K444">
        <v>0</v>
      </c>
      <c r="L444">
        <v>0.18449199999999999</v>
      </c>
      <c r="M444" t="s">
        <v>27</v>
      </c>
      <c r="N444" t="s">
        <v>63</v>
      </c>
      <c r="O444" t="s">
        <v>64</v>
      </c>
      <c r="P444" t="s">
        <v>65</v>
      </c>
      <c r="Q444" t="s">
        <v>66</v>
      </c>
      <c r="R444" s="22">
        <f t="shared" si="30"/>
        <v>46288.83254416097</v>
      </c>
      <c r="S444" s="22">
        <f t="shared" si="31"/>
        <v>46288.832546296297</v>
      </c>
      <c r="T444" s="23">
        <f t="shared" si="32"/>
        <v>0</v>
      </c>
      <c r="U444" s="23">
        <f t="shared" si="33"/>
        <v>0</v>
      </c>
      <c r="V444" s="23">
        <f t="shared" si="34"/>
        <v>0</v>
      </c>
    </row>
    <row r="445" spans="1:22" x14ac:dyDescent="0.35">
      <c r="A445" t="s">
        <v>326</v>
      </c>
      <c r="B445">
        <v>30</v>
      </c>
      <c r="C445" t="s">
        <v>342</v>
      </c>
      <c r="D445" t="s">
        <v>61</v>
      </c>
      <c r="E445" t="s">
        <v>25</v>
      </c>
      <c r="F445" t="s">
        <v>62</v>
      </c>
      <c r="G445">
        <v>4</v>
      </c>
      <c r="H445">
        <v>0</v>
      </c>
      <c r="I445">
        <v>0</v>
      </c>
      <c r="J445">
        <v>0</v>
      </c>
      <c r="K445">
        <v>0</v>
      </c>
      <c r="L445">
        <v>0.22456400000000001</v>
      </c>
      <c r="M445" t="s">
        <v>27</v>
      </c>
      <c r="N445" t="s">
        <v>63</v>
      </c>
      <c r="O445" t="s">
        <v>64</v>
      </c>
      <c r="P445" t="s">
        <v>65</v>
      </c>
      <c r="Q445" t="s">
        <v>66</v>
      </c>
      <c r="R445" s="22">
        <f t="shared" si="30"/>
        <v>46288.832543697179</v>
      </c>
      <c r="S445" s="22">
        <f t="shared" si="31"/>
        <v>46288.832546296297</v>
      </c>
      <c r="T445" s="23">
        <f t="shared" si="32"/>
        <v>0</v>
      </c>
      <c r="U445" s="23">
        <f t="shared" si="33"/>
        <v>0</v>
      </c>
      <c r="V445" s="23">
        <f t="shared" si="34"/>
        <v>0</v>
      </c>
    </row>
    <row r="446" spans="1:22" x14ac:dyDescent="0.35">
      <c r="A446" t="s">
        <v>326</v>
      </c>
      <c r="B446">
        <v>31</v>
      </c>
      <c r="C446" t="s">
        <v>343</v>
      </c>
      <c r="D446" t="s">
        <v>61</v>
      </c>
      <c r="E446" t="s">
        <v>25</v>
      </c>
      <c r="F446" t="s">
        <v>62</v>
      </c>
      <c r="G446">
        <v>6</v>
      </c>
      <c r="H446">
        <v>0</v>
      </c>
      <c r="I446">
        <v>0</v>
      </c>
      <c r="J446">
        <v>0</v>
      </c>
      <c r="K446">
        <v>0</v>
      </c>
      <c r="L446">
        <v>0.21725700000000001</v>
      </c>
      <c r="M446" t="s">
        <v>27</v>
      </c>
      <c r="N446" t="s">
        <v>63</v>
      </c>
      <c r="O446" t="s">
        <v>64</v>
      </c>
      <c r="P446" t="s">
        <v>65</v>
      </c>
      <c r="Q446" t="s">
        <v>66</v>
      </c>
      <c r="R446" s="22">
        <f t="shared" si="30"/>
        <v>46288.832555355824</v>
      </c>
      <c r="S446" s="22">
        <f t="shared" si="31"/>
        <v>46288.832557870373</v>
      </c>
      <c r="T446" s="23">
        <f t="shared" si="32"/>
        <v>0</v>
      </c>
      <c r="U446" s="23">
        <f t="shared" si="33"/>
        <v>0</v>
      </c>
      <c r="V446" s="23">
        <f t="shared" si="34"/>
        <v>0</v>
      </c>
    </row>
    <row r="447" spans="1:22" x14ac:dyDescent="0.35">
      <c r="A447" t="s">
        <v>326</v>
      </c>
      <c r="B447">
        <v>32</v>
      </c>
      <c r="C447" t="s">
        <v>343</v>
      </c>
      <c r="D447" t="s">
        <v>61</v>
      </c>
      <c r="E447" t="s">
        <v>25</v>
      </c>
      <c r="F447" t="s">
        <v>62</v>
      </c>
      <c r="G447">
        <v>17</v>
      </c>
      <c r="H447">
        <v>0</v>
      </c>
      <c r="I447">
        <v>0</v>
      </c>
      <c r="J447">
        <v>0</v>
      </c>
      <c r="K447">
        <v>0</v>
      </c>
      <c r="L447">
        <v>0.297983</v>
      </c>
      <c r="M447" t="s">
        <v>27</v>
      </c>
      <c r="N447" t="s">
        <v>63</v>
      </c>
      <c r="O447" t="s">
        <v>64</v>
      </c>
      <c r="P447" t="s">
        <v>65</v>
      </c>
      <c r="Q447" t="s">
        <v>66</v>
      </c>
      <c r="R447" s="22">
        <f t="shared" si="30"/>
        <v>46288.832554421497</v>
      </c>
      <c r="S447" s="22">
        <f t="shared" si="31"/>
        <v>46288.832557870373</v>
      </c>
      <c r="T447" s="23">
        <f t="shared" si="32"/>
        <v>0.29798294417560101</v>
      </c>
      <c r="U447" s="23">
        <f t="shared" si="33"/>
        <v>0.29798294417560101</v>
      </c>
      <c r="V447" s="23">
        <f t="shared" si="34"/>
        <v>0.29798294417560101</v>
      </c>
    </row>
    <row r="448" spans="1:22" x14ac:dyDescent="0.35">
      <c r="A448" t="s">
        <v>326</v>
      </c>
      <c r="B448">
        <v>33</v>
      </c>
      <c r="C448" t="s">
        <v>344</v>
      </c>
      <c r="D448" t="s">
        <v>61</v>
      </c>
      <c r="E448" t="s">
        <v>25</v>
      </c>
      <c r="F448" t="s">
        <v>62</v>
      </c>
      <c r="G448">
        <v>3</v>
      </c>
      <c r="H448">
        <v>0</v>
      </c>
      <c r="I448">
        <v>0</v>
      </c>
      <c r="J448">
        <v>0</v>
      </c>
      <c r="K448">
        <v>0</v>
      </c>
      <c r="L448">
        <v>0.227352</v>
      </c>
      <c r="M448" t="s">
        <v>27</v>
      </c>
      <c r="N448" t="s">
        <v>63</v>
      </c>
      <c r="O448" t="s">
        <v>64</v>
      </c>
      <c r="P448" t="s">
        <v>65</v>
      </c>
      <c r="Q448" t="s">
        <v>66</v>
      </c>
      <c r="R448" s="22">
        <f t="shared" si="30"/>
        <v>46288.832578387133</v>
      </c>
      <c r="S448" s="22">
        <f t="shared" si="31"/>
        <v>46288.83258101852</v>
      </c>
      <c r="T448" s="23">
        <f t="shared" si="32"/>
        <v>0.2273517893627286</v>
      </c>
      <c r="U448" s="23">
        <f t="shared" si="33"/>
        <v>0.2273517893627286</v>
      </c>
      <c r="V448" s="23">
        <f t="shared" si="34"/>
        <v>0.2273517893627286</v>
      </c>
    </row>
    <row r="449" spans="1:22" x14ac:dyDescent="0.35">
      <c r="A449" t="s">
        <v>326</v>
      </c>
      <c r="B449">
        <v>34</v>
      </c>
      <c r="C449" t="s">
        <v>344</v>
      </c>
      <c r="D449" t="s">
        <v>61</v>
      </c>
      <c r="E449" t="s">
        <v>25</v>
      </c>
      <c r="F449" t="s">
        <v>62</v>
      </c>
      <c r="G449">
        <v>3</v>
      </c>
      <c r="H449">
        <v>0</v>
      </c>
      <c r="I449">
        <v>0</v>
      </c>
      <c r="J449">
        <v>0</v>
      </c>
      <c r="K449">
        <v>0</v>
      </c>
      <c r="L449">
        <v>0.22650899999999999</v>
      </c>
      <c r="M449" t="s">
        <v>27</v>
      </c>
      <c r="N449" t="s">
        <v>63</v>
      </c>
      <c r="O449" t="s">
        <v>64</v>
      </c>
      <c r="P449" t="s">
        <v>65</v>
      </c>
      <c r="Q449" t="s">
        <v>66</v>
      </c>
      <c r="R449" s="22">
        <f t="shared" si="30"/>
        <v>46288.83257839689</v>
      </c>
      <c r="S449" s="22">
        <f t="shared" si="31"/>
        <v>46288.83258101852</v>
      </c>
      <c r="T449" s="23">
        <f t="shared" si="32"/>
        <v>0</v>
      </c>
      <c r="U449" s="23">
        <f t="shared" si="33"/>
        <v>0</v>
      </c>
      <c r="V449" s="23">
        <f t="shared" si="34"/>
        <v>0</v>
      </c>
    </row>
    <row r="450" spans="1:22" x14ac:dyDescent="0.35">
      <c r="A450" t="s">
        <v>326</v>
      </c>
      <c r="B450">
        <v>35</v>
      </c>
      <c r="C450" t="s">
        <v>344</v>
      </c>
      <c r="D450" t="s">
        <v>61</v>
      </c>
      <c r="E450" t="s">
        <v>25</v>
      </c>
      <c r="F450" t="s">
        <v>62</v>
      </c>
      <c r="G450">
        <v>5</v>
      </c>
      <c r="H450">
        <v>0</v>
      </c>
      <c r="I450">
        <v>0</v>
      </c>
      <c r="J450">
        <v>0</v>
      </c>
      <c r="K450">
        <v>0</v>
      </c>
      <c r="L450">
        <v>0.21822</v>
      </c>
      <c r="M450" t="s">
        <v>27</v>
      </c>
      <c r="N450" t="s">
        <v>63</v>
      </c>
      <c r="O450" t="s">
        <v>64</v>
      </c>
      <c r="P450" t="s">
        <v>65</v>
      </c>
      <c r="Q450" t="s">
        <v>66</v>
      </c>
      <c r="R450" s="22">
        <f t="shared" ref="R450:R513" si="35">S450-L450/86400</f>
        <v>46288.832578492824</v>
      </c>
      <c r="S450" s="22">
        <f t="shared" ref="S450:S486" si="36">DATEVALUE(LEFT(C450,10))+TIMEVALUE(MID(C450,12,8))</f>
        <v>46288.83258101852</v>
      </c>
      <c r="T450" s="23">
        <f t="shared" ref="T450:T513" si="37">MAX(0,S450-MAX(R450,_xlfn.MAXIFS($S$2:$S$486,$A$2:$A$486,A450,$D$2:$D$486,D450,$F$2:$F$486,F450,$R$2:$R$486,"&lt;"&amp;R450)))*86400</f>
        <v>0</v>
      </c>
      <c r="U450" s="23">
        <f t="shared" ref="U450:U486" si="38">MAX(0,S450-MAX(R450,_xlfn.MAXIFS($S$2:$S$486,$A$2:$A$486,A450,$F$2:$F$486,F450,$R$2:$R$486,"&lt;"&amp;R450)))*86400</f>
        <v>0</v>
      </c>
      <c r="V450" s="23">
        <f t="shared" ref="V450:V486" si="39">MAX(0,S450-MAX(R450,_xlfn.MAXIFS($S$2:$S$486,$A$2:$A$486,A450,$R$2:$R$486,"&lt;"&amp;R450)))*86400</f>
        <v>0</v>
      </c>
    </row>
    <row r="451" spans="1:22" x14ac:dyDescent="0.35">
      <c r="A451" t="s">
        <v>326</v>
      </c>
      <c r="B451">
        <v>36</v>
      </c>
      <c r="C451" t="s">
        <v>345</v>
      </c>
      <c r="D451" t="s">
        <v>61</v>
      </c>
      <c r="E451" t="s">
        <v>25</v>
      </c>
      <c r="F451" t="s">
        <v>62</v>
      </c>
      <c r="G451">
        <v>4</v>
      </c>
      <c r="H451">
        <v>0</v>
      </c>
      <c r="I451">
        <v>0</v>
      </c>
      <c r="J451">
        <v>0</v>
      </c>
      <c r="K451">
        <v>0</v>
      </c>
      <c r="L451">
        <v>0.25161699999999998</v>
      </c>
      <c r="M451" t="s">
        <v>27</v>
      </c>
      <c r="N451" t="s">
        <v>63</v>
      </c>
      <c r="O451" t="s">
        <v>64</v>
      </c>
      <c r="P451" t="s">
        <v>65</v>
      </c>
      <c r="Q451" t="s">
        <v>66</v>
      </c>
      <c r="R451" s="22">
        <f t="shared" si="35"/>
        <v>46288.832589680358</v>
      </c>
      <c r="S451" s="22">
        <f t="shared" si="36"/>
        <v>46288.832592592589</v>
      </c>
      <c r="T451" s="23">
        <f t="shared" si="37"/>
        <v>0</v>
      </c>
      <c r="U451" s="23">
        <f t="shared" si="38"/>
        <v>0</v>
      </c>
      <c r="V451" s="23">
        <f t="shared" si="39"/>
        <v>0</v>
      </c>
    </row>
    <row r="452" spans="1:22" x14ac:dyDescent="0.35">
      <c r="A452" t="s">
        <v>326</v>
      </c>
      <c r="B452">
        <v>37</v>
      </c>
      <c r="C452" t="s">
        <v>345</v>
      </c>
      <c r="D452" t="s">
        <v>61</v>
      </c>
      <c r="E452" t="s">
        <v>25</v>
      </c>
      <c r="F452" t="s">
        <v>62</v>
      </c>
      <c r="G452">
        <v>4</v>
      </c>
      <c r="H452">
        <v>0</v>
      </c>
      <c r="I452">
        <v>0</v>
      </c>
      <c r="J452">
        <v>0</v>
      </c>
      <c r="K452">
        <v>0</v>
      </c>
      <c r="L452">
        <v>0.26541500000000001</v>
      </c>
      <c r="M452" t="s">
        <v>27</v>
      </c>
      <c r="N452" t="s">
        <v>63</v>
      </c>
      <c r="O452" t="s">
        <v>64</v>
      </c>
      <c r="P452" t="s">
        <v>65</v>
      </c>
      <c r="Q452" t="s">
        <v>66</v>
      </c>
      <c r="R452" s="22">
        <f t="shared" si="35"/>
        <v>46288.832589520658</v>
      </c>
      <c r="S452" s="22">
        <f t="shared" si="36"/>
        <v>46288.832592592589</v>
      </c>
      <c r="T452" s="23">
        <f t="shared" si="37"/>
        <v>0.26541484985500574</v>
      </c>
      <c r="U452" s="23">
        <f t="shared" si="38"/>
        <v>0.26541484985500574</v>
      </c>
      <c r="V452" s="23">
        <f t="shared" si="39"/>
        <v>0.26541484985500574</v>
      </c>
    </row>
    <row r="453" spans="1:22" x14ac:dyDescent="0.35">
      <c r="A453" t="s">
        <v>326</v>
      </c>
      <c r="B453">
        <v>38</v>
      </c>
      <c r="C453" t="s">
        <v>346</v>
      </c>
      <c r="D453" t="s">
        <v>61</v>
      </c>
      <c r="E453" t="s">
        <v>25</v>
      </c>
      <c r="F453" t="s">
        <v>62</v>
      </c>
      <c r="G453">
        <v>16</v>
      </c>
      <c r="H453">
        <v>0</v>
      </c>
      <c r="I453">
        <v>0</v>
      </c>
      <c r="J453">
        <v>0</v>
      </c>
      <c r="K453">
        <v>0</v>
      </c>
      <c r="L453">
        <v>0.30044999999999999</v>
      </c>
      <c r="M453" t="s">
        <v>27</v>
      </c>
      <c r="N453" t="s">
        <v>63</v>
      </c>
      <c r="O453" t="s">
        <v>64</v>
      </c>
      <c r="P453" t="s">
        <v>65</v>
      </c>
      <c r="Q453" t="s">
        <v>66</v>
      </c>
      <c r="R453" s="22">
        <f t="shared" si="35"/>
        <v>46288.832600689238</v>
      </c>
      <c r="S453" s="22">
        <f t="shared" si="36"/>
        <v>46288.832604166666</v>
      </c>
      <c r="T453" s="23">
        <f t="shared" si="37"/>
        <v>0.30044973827898502</v>
      </c>
      <c r="U453" s="23">
        <f t="shared" si="38"/>
        <v>0.30044973827898502</v>
      </c>
      <c r="V453" s="23">
        <f t="shared" si="39"/>
        <v>0.30044973827898502</v>
      </c>
    </row>
    <row r="454" spans="1:22" x14ac:dyDescent="0.35">
      <c r="A454" t="s">
        <v>326</v>
      </c>
      <c r="B454">
        <v>39</v>
      </c>
      <c r="C454" t="s">
        <v>347</v>
      </c>
      <c r="D454" t="s">
        <v>61</v>
      </c>
      <c r="E454" t="s">
        <v>25</v>
      </c>
      <c r="F454" t="s">
        <v>62</v>
      </c>
      <c r="G454">
        <v>2</v>
      </c>
      <c r="H454">
        <v>0</v>
      </c>
      <c r="I454">
        <v>0</v>
      </c>
      <c r="J454">
        <v>0</v>
      </c>
      <c r="K454">
        <v>0</v>
      </c>
      <c r="L454">
        <v>0.24374100000000001</v>
      </c>
      <c r="M454" t="s">
        <v>27</v>
      </c>
      <c r="N454" t="s">
        <v>63</v>
      </c>
      <c r="O454" t="s">
        <v>64</v>
      </c>
      <c r="P454" t="s">
        <v>65</v>
      </c>
      <c r="Q454" t="s">
        <v>66</v>
      </c>
      <c r="R454" s="22">
        <f t="shared" si="35"/>
        <v>46288.832612919665</v>
      </c>
      <c r="S454" s="22">
        <f t="shared" si="36"/>
        <v>46288.832615740743</v>
      </c>
      <c r="T454" s="23">
        <f t="shared" si="37"/>
        <v>0.24374113418161869</v>
      </c>
      <c r="U454" s="23">
        <f t="shared" si="38"/>
        <v>0.24374113418161869</v>
      </c>
      <c r="V454" s="23">
        <f t="shared" si="39"/>
        <v>0.24374113418161869</v>
      </c>
    </row>
    <row r="455" spans="1:22" x14ac:dyDescent="0.35">
      <c r="A455" t="s">
        <v>326</v>
      </c>
      <c r="B455">
        <v>40</v>
      </c>
      <c r="C455" t="s">
        <v>347</v>
      </c>
      <c r="D455" t="s">
        <v>61</v>
      </c>
      <c r="E455" t="s">
        <v>25</v>
      </c>
      <c r="F455" t="s">
        <v>62</v>
      </c>
      <c r="G455">
        <v>4</v>
      </c>
      <c r="H455">
        <v>0</v>
      </c>
      <c r="I455">
        <v>0</v>
      </c>
      <c r="J455">
        <v>0</v>
      </c>
      <c r="K455">
        <v>0</v>
      </c>
      <c r="L455">
        <v>0.21293000000000001</v>
      </c>
      <c r="M455" t="s">
        <v>27</v>
      </c>
      <c r="N455" t="s">
        <v>63</v>
      </c>
      <c r="O455" t="s">
        <v>64</v>
      </c>
      <c r="P455" t="s">
        <v>65</v>
      </c>
      <c r="Q455" t="s">
        <v>66</v>
      </c>
      <c r="R455" s="22">
        <f t="shared" si="35"/>
        <v>46288.832613276274</v>
      </c>
      <c r="S455" s="22">
        <f t="shared" si="36"/>
        <v>46288.832615740743</v>
      </c>
      <c r="T455" s="23">
        <f t="shared" si="37"/>
        <v>0</v>
      </c>
      <c r="U455" s="23">
        <f t="shared" si="38"/>
        <v>0</v>
      </c>
      <c r="V455" s="23">
        <f t="shared" si="39"/>
        <v>0</v>
      </c>
    </row>
    <row r="456" spans="1:22" x14ac:dyDescent="0.35">
      <c r="A456" t="s">
        <v>326</v>
      </c>
      <c r="B456">
        <v>41</v>
      </c>
      <c r="C456" t="s">
        <v>348</v>
      </c>
      <c r="D456" t="s">
        <v>61</v>
      </c>
      <c r="E456" t="s">
        <v>25</v>
      </c>
      <c r="F456" t="s">
        <v>62</v>
      </c>
      <c r="G456">
        <v>4</v>
      </c>
      <c r="H456">
        <v>0</v>
      </c>
      <c r="I456">
        <v>0</v>
      </c>
      <c r="J456">
        <v>0</v>
      </c>
      <c r="K456">
        <v>0</v>
      </c>
      <c r="L456">
        <v>0.22964799999999999</v>
      </c>
      <c r="M456" t="s">
        <v>27</v>
      </c>
      <c r="N456" t="s">
        <v>63</v>
      </c>
      <c r="O456" t="s">
        <v>64</v>
      </c>
      <c r="P456" t="s">
        <v>65</v>
      </c>
      <c r="Q456" t="s">
        <v>66</v>
      </c>
      <c r="R456" s="22">
        <f t="shared" si="35"/>
        <v>46288.832624656847</v>
      </c>
      <c r="S456" s="22">
        <f t="shared" si="36"/>
        <v>46288.832627314812</v>
      </c>
      <c r="T456" s="23">
        <f t="shared" si="37"/>
        <v>0.22964822128415108</v>
      </c>
      <c r="U456" s="23">
        <f t="shared" si="38"/>
        <v>0.22964822128415108</v>
      </c>
      <c r="V456" s="23">
        <f t="shared" si="39"/>
        <v>0.22964822128415108</v>
      </c>
    </row>
    <row r="457" spans="1:22" x14ac:dyDescent="0.35">
      <c r="A457" t="s">
        <v>326</v>
      </c>
      <c r="B457">
        <v>42</v>
      </c>
      <c r="C457" t="s">
        <v>348</v>
      </c>
      <c r="D457" t="s">
        <v>61</v>
      </c>
      <c r="E457" t="s">
        <v>25</v>
      </c>
      <c r="F457" t="s">
        <v>62</v>
      </c>
      <c r="G457">
        <v>6</v>
      </c>
      <c r="H457">
        <v>0</v>
      </c>
      <c r="I457">
        <v>0</v>
      </c>
      <c r="J457">
        <v>0</v>
      </c>
      <c r="K457">
        <v>0</v>
      </c>
      <c r="L457">
        <v>0.21907399999999999</v>
      </c>
      <c r="M457" t="s">
        <v>27</v>
      </c>
      <c r="N457" t="s">
        <v>63</v>
      </c>
      <c r="O457" t="s">
        <v>64</v>
      </c>
      <c r="P457" t="s">
        <v>65</v>
      </c>
      <c r="Q457" t="s">
        <v>66</v>
      </c>
      <c r="R457" s="22">
        <f t="shared" si="35"/>
        <v>46288.832624779236</v>
      </c>
      <c r="S457" s="22">
        <f t="shared" si="36"/>
        <v>46288.832627314812</v>
      </c>
      <c r="T457" s="23">
        <f t="shared" si="37"/>
        <v>0</v>
      </c>
      <c r="U457" s="23">
        <f t="shared" si="38"/>
        <v>0</v>
      </c>
      <c r="V457" s="23">
        <f t="shared" si="39"/>
        <v>0</v>
      </c>
    </row>
    <row r="458" spans="1:22" x14ac:dyDescent="0.35">
      <c r="A458" t="s">
        <v>326</v>
      </c>
      <c r="B458">
        <v>43</v>
      </c>
      <c r="C458" t="s">
        <v>348</v>
      </c>
      <c r="D458" t="s">
        <v>61</v>
      </c>
      <c r="E458" t="s">
        <v>25</v>
      </c>
      <c r="F458" t="s">
        <v>62</v>
      </c>
      <c r="G458">
        <v>5</v>
      </c>
      <c r="H458">
        <v>0</v>
      </c>
      <c r="I458">
        <v>0</v>
      </c>
      <c r="J458">
        <v>0</v>
      </c>
      <c r="K458">
        <v>0</v>
      </c>
      <c r="L458">
        <v>0.193159</v>
      </c>
      <c r="M458" t="s">
        <v>27</v>
      </c>
      <c r="N458" t="s">
        <v>63</v>
      </c>
      <c r="O458" t="s">
        <v>64</v>
      </c>
      <c r="P458" t="s">
        <v>65</v>
      </c>
      <c r="Q458" t="s">
        <v>66</v>
      </c>
      <c r="R458" s="22">
        <f t="shared" si="35"/>
        <v>46288.832625079172</v>
      </c>
      <c r="S458" s="22">
        <f t="shared" si="36"/>
        <v>46288.832627314812</v>
      </c>
      <c r="T458" s="23">
        <f t="shared" si="37"/>
        <v>0</v>
      </c>
      <c r="U458" s="23">
        <f t="shared" si="38"/>
        <v>0</v>
      </c>
      <c r="V458" s="23">
        <f t="shared" si="39"/>
        <v>0</v>
      </c>
    </row>
    <row r="459" spans="1:22" x14ac:dyDescent="0.35">
      <c r="A459" t="s">
        <v>326</v>
      </c>
      <c r="B459">
        <v>44</v>
      </c>
      <c r="C459" t="s">
        <v>349</v>
      </c>
      <c r="D459" t="s">
        <v>61</v>
      </c>
      <c r="E459" t="s">
        <v>25</v>
      </c>
      <c r="F459" t="s">
        <v>62</v>
      </c>
      <c r="G459">
        <v>19</v>
      </c>
      <c r="H459">
        <v>0</v>
      </c>
      <c r="I459">
        <v>0</v>
      </c>
      <c r="J459">
        <v>0</v>
      </c>
      <c r="K459">
        <v>0</v>
      </c>
      <c r="L459">
        <v>0.21703700000000001</v>
      </c>
      <c r="M459" t="s">
        <v>27</v>
      </c>
      <c r="N459" t="s">
        <v>63</v>
      </c>
      <c r="O459" t="s">
        <v>64</v>
      </c>
      <c r="P459" t="s">
        <v>65</v>
      </c>
      <c r="Q459" t="s">
        <v>66</v>
      </c>
      <c r="R459" s="22">
        <f t="shared" si="35"/>
        <v>46288.832636376887</v>
      </c>
      <c r="S459" s="22">
        <f t="shared" si="36"/>
        <v>46288.832638888889</v>
      </c>
      <c r="T459" s="23">
        <f t="shared" si="37"/>
        <v>0.21703701931983232</v>
      </c>
      <c r="U459" s="23">
        <f t="shared" si="38"/>
        <v>0.21703701931983232</v>
      </c>
      <c r="V459" s="23">
        <f t="shared" si="39"/>
        <v>0.21703701931983232</v>
      </c>
    </row>
    <row r="460" spans="1:22" x14ac:dyDescent="0.35">
      <c r="A460" t="s">
        <v>326</v>
      </c>
      <c r="B460">
        <v>45</v>
      </c>
      <c r="C460" t="s">
        <v>350</v>
      </c>
      <c r="D460" t="s">
        <v>61</v>
      </c>
      <c r="E460" t="s">
        <v>25</v>
      </c>
      <c r="F460" t="s">
        <v>62</v>
      </c>
      <c r="G460">
        <v>2</v>
      </c>
      <c r="H460">
        <v>0</v>
      </c>
      <c r="I460">
        <v>0</v>
      </c>
      <c r="J460">
        <v>0</v>
      </c>
      <c r="K460">
        <v>0</v>
      </c>
      <c r="L460">
        <v>0.22158800000000001</v>
      </c>
      <c r="M460" t="s">
        <v>27</v>
      </c>
      <c r="N460" t="s">
        <v>63</v>
      </c>
      <c r="O460" t="s">
        <v>64</v>
      </c>
      <c r="P460" t="s">
        <v>65</v>
      </c>
      <c r="Q460" t="s">
        <v>66</v>
      </c>
      <c r="R460" s="22">
        <f t="shared" si="35"/>
        <v>46288.832647898293</v>
      </c>
      <c r="S460" s="22">
        <f t="shared" si="36"/>
        <v>46288.832650462966</v>
      </c>
      <c r="T460" s="23">
        <f t="shared" si="37"/>
        <v>0.2215877640992403</v>
      </c>
      <c r="U460" s="23">
        <f t="shared" si="38"/>
        <v>0.2215877640992403</v>
      </c>
      <c r="V460" s="23">
        <f t="shared" si="39"/>
        <v>0.2215877640992403</v>
      </c>
    </row>
    <row r="461" spans="1:22" x14ac:dyDescent="0.35">
      <c r="A461" t="s">
        <v>326</v>
      </c>
      <c r="B461">
        <v>46</v>
      </c>
      <c r="C461" t="s">
        <v>351</v>
      </c>
      <c r="D461" t="s">
        <v>61</v>
      </c>
      <c r="E461" t="s">
        <v>25</v>
      </c>
      <c r="F461" t="s">
        <v>62</v>
      </c>
      <c r="G461">
        <v>3</v>
      </c>
      <c r="H461">
        <v>0</v>
      </c>
      <c r="I461">
        <v>0</v>
      </c>
      <c r="J461">
        <v>0</v>
      </c>
      <c r="K461">
        <v>0</v>
      </c>
      <c r="L461">
        <v>0.33846300000000001</v>
      </c>
      <c r="M461" t="s">
        <v>27</v>
      </c>
      <c r="N461" t="s">
        <v>63</v>
      </c>
      <c r="O461" t="s">
        <v>64</v>
      </c>
      <c r="P461" t="s">
        <v>65</v>
      </c>
      <c r="Q461" t="s">
        <v>66</v>
      </c>
      <c r="R461" s="22">
        <f t="shared" si="35"/>
        <v>46288.832658119638</v>
      </c>
      <c r="S461" s="22">
        <f t="shared" si="36"/>
        <v>46288.832662037035</v>
      </c>
      <c r="T461" s="23">
        <f t="shared" si="37"/>
        <v>0.3384631359949708</v>
      </c>
      <c r="U461" s="23">
        <f t="shared" si="38"/>
        <v>0.3384631359949708</v>
      </c>
      <c r="V461" s="23">
        <f t="shared" si="39"/>
        <v>0.3384631359949708</v>
      </c>
    </row>
    <row r="462" spans="1:22" x14ac:dyDescent="0.35">
      <c r="A462" t="s">
        <v>326</v>
      </c>
      <c r="B462">
        <v>47</v>
      </c>
      <c r="C462" t="s">
        <v>351</v>
      </c>
      <c r="D462" t="s">
        <v>61</v>
      </c>
      <c r="E462" t="s">
        <v>25</v>
      </c>
      <c r="F462" t="s">
        <v>62</v>
      </c>
      <c r="G462">
        <v>4</v>
      </c>
      <c r="H462">
        <v>0</v>
      </c>
      <c r="I462">
        <v>0</v>
      </c>
      <c r="J462">
        <v>0</v>
      </c>
      <c r="K462">
        <v>0</v>
      </c>
      <c r="L462">
        <v>0.29234500000000002</v>
      </c>
      <c r="M462" t="s">
        <v>27</v>
      </c>
      <c r="N462" t="s">
        <v>63</v>
      </c>
      <c r="O462" t="s">
        <v>64</v>
      </c>
      <c r="P462" t="s">
        <v>65</v>
      </c>
      <c r="Q462" t="s">
        <v>66</v>
      </c>
      <c r="R462" s="22">
        <f t="shared" si="35"/>
        <v>46288.832658653409</v>
      </c>
      <c r="S462" s="22">
        <f t="shared" si="36"/>
        <v>46288.832662037035</v>
      </c>
      <c r="T462" s="23">
        <f t="shared" si="37"/>
        <v>0</v>
      </c>
      <c r="U462" s="23">
        <f t="shared" si="38"/>
        <v>0</v>
      </c>
      <c r="V462" s="23">
        <f t="shared" si="39"/>
        <v>0</v>
      </c>
    </row>
    <row r="463" spans="1:22" x14ac:dyDescent="0.35">
      <c r="A463" t="s">
        <v>326</v>
      </c>
      <c r="B463">
        <v>48</v>
      </c>
      <c r="C463" t="s">
        <v>351</v>
      </c>
      <c r="D463" t="s">
        <v>61</v>
      </c>
      <c r="E463" t="s">
        <v>25</v>
      </c>
      <c r="F463" t="s">
        <v>62</v>
      </c>
      <c r="G463">
        <v>5</v>
      </c>
      <c r="H463">
        <v>0</v>
      </c>
      <c r="I463">
        <v>0</v>
      </c>
      <c r="J463">
        <v>0</v>
      </c>
      <c r="K463">
        <v>0</v>
      </c>
      <c r="L463">
        <v>0.24251600000000001</v>
      </c>
      <c r="M463" t="s">
        <v>27</v>
      </c>
      <c r="N463" t="s">
        <v>63</v>
      </c>
      <c r="O463" t="s">
        <v>64</v>
      </c>
      <c r="P463" t="s">
        <v>65</v>
      </c>
      <c r="Q463" t="s">
        <v>66</v>
      </c>
      <c r="R463" s="22">
        <f t="shared" si="35"/>
        <v>46288.832659230138</v>
      </c>
      <c r="S463" s="22">
        <f t="shared" si="36"/>
        <v>46288.832662037035</v>
      </c>
      <c r="T463" s="23">
        <f t="shared" si="37"/>
        <v>0</v>
      </c>
      <c r="U463" s="23">
        <f t="shared" si="38"/>
        <v>0</v>
      </c>
      <c r="V463" s="23">
        <f t="shared" si="39"/>
        <v>0</v>
      </c>
    </row>
    <row r="464" spans="1:22" x14ac:dyDescent="0.35">
      <c r="A464" t="s">
        <v>326</v>
      </c>
      <c r="B464">
        <v>49</v>
      </c>
      <c r="C464" t="s">
        <v>352</v>
      </c>
      <c r="D464" t="s">
        <v>61</v>
      </c>
      <c r="E464" t="s">
        <v>25</v>
      </c>
      <c r="F464" t="s">
        <v>62</v>
      </c>
      <c r="G464">
        <v>5</v>
      </c>
      <c r="H464">
        <v>0</v>
      </c>
      <c r="I464">
        <v>0</v>
      </c>
      <c r="J464">
        <v>0</v>
      </c>
      <c r="K464">
        <v>0</v>
      </c>
      <c r="L464">
        <v>0.27177000000000001</v>
      </c>
      <c r="M464" t="s">
        <v>27</v>
      </c>
      <c r="N464" t="s">
        <v>63</v>
      </c>
      <c r="O464" t="s">
        <v>64</v>
      </c>
      <c r="P464" t="s">
        <v>65</v>
      </c>
      <c r="Q464" t="s">
        <v>66</v>
      </c>
      <c r="R464" s="22">
        <f t="shared" si="35"/>
        <v>46288.832670465628</v>
      </c>
      <c r="S464" s="22">
        <f t="shared" si="36"/>
        <v>46288.832673611112</v>
      </c>
      <c r="T464" s="23">
        <f t="shared" si="37"/>
        <v>0.27176979929208755</v>
      </c>
      <c r="U464" s="23">
        <f t="shared" si="38"/>
        <v>0.27176979929208755</v>
      </c>
      <c r="V464" s="23">
        <f t="shared" si="39"/>
        <v>0.27176979929208755</v>
      </c>
    </row>
    <row r="465" spans="1:22" x14ac:dyDescent="0.35">
      <c r="A465" t="s">
        <v>326</v>
      </c>
      <c r="B465">
        <v>50</v>
      </c>
      <c r="C465" t="s">
        <v>352</v>
      </c>
      <c r="D465" t="s">
        <v>61</v>
      </c>
      <c r="E465" t="s">
        <v>25</v>
      </c>
      <c r="F465" t="s">
        <v>62</v>
      </c>
      <c r="G465">
        <v>16</v>
      </c>
      <c r="H465">
        <v>0</v>
      </c>
      <c r="I465">
        <v>0</v>
      </c>
      <c r="J465">
        <v>0</v>
      </c>
      <c r="K465">
        <v>0</v>
      </c>
      <c r="L465">
        <v>0.19486000000000001</v>
      </c>
      <c r="M465" t="s">
        <v>27</v>
      </c>
      <c r="N465" t="s">
        <v>63</v>
      </c>
      <c r="O465" t="s">
        <v>64</v>
      </c>
      <c r="P465" t="s">
        <v>65</v>
      </c>
      <c r="Q465" t="s">
        <v>66</v>
      </c>
      <c r="R465" s="22">
        <f t="shared" si="35"/>
        <v>46288.832671355791</v>
      </c>
      <c r="S465" s="22">
        <f t="shared" si="36"/>
        <v>46288.832673611112</v>
      </c>
      <c r="T465" s="23">
        <f t="shared" si="37"/>
        <v>0</v>
      </c>
      <c r="U465" s="23">
        <f t="shared" si="38"/>
        <v>0</v>
      </c>
      <c r="V465" s="23">
        <f t="shared" si="39"/>
        <v>0</v>
      </c>
    </row>
    <row r="466" spans="1:22" x14ac:dyDescent="0.35">
      <c r="A466" t="s">
        <v>326</v>
      </c>
      <c r="B466">
        <v>51</v>
      </c>
      <c r="C466" t="s">
        <v>353</v>
      </c>
      <c r="D466" t="s">
        <v>61</v>
      </c>
      <c r="E466" t="s">
        <v>25</v>
      </c>
      <c r="F466" t="s">
        <v>62</v>
      </c>
      <c r="G466">
        <v>3</v>
      </c>
      <c r="H466">
        <v>0</v>
      </c>
      <c r="I466">
        <v>0</v>
      </c>
      <c r="J466">
        <v>0</v>
      </c>
      <c r="K466">
        <v>0</v>
      </c>
      <c r="L466">
        <v>0.21132699999999999</v>
      </c>
      <c r="M466" t="s">
        <v>27</v>
      </c>
      <c r="N466" t="s">
        <v>63</v>
      </c>
      <c r="O466" t="s">
        <v>64</v>
      </c>
      <c r="P466" t="s">
        <v>65</v>
      </c>
      <c r="Q466" t="s">
        <v>66</v>
      </c>
      <c r="R466" s="22">
        <f t="shared" si="35"/>
        <v>46288.832682739267</v>
      </c>
      <c r="S466" s="22">
        <f t="shared" si="36"/>
        <v>46288.832685185182</v>
      </c>
      <c r="T466" s="23">
        <f t="shared" si="37"/>
        <v>0</v>
      </c>
      <c r="U466" s="23">
        <f t="shared" si="38"/>
        <v>0</v>
      </c>
      <c r="V466" s="23">
        <f t="shared" si="39"/>
        <v>0</v>
      </c>
    </row>
    <row r="467" spans="1:22" x14ac:dyDescent="0.35">
      <c r="A467" t="s">
        <v>326</v>
      </c>
      <c r="B467">
        <v>52</v>
      </c>
      <c r="C467" t="s">
        <v>353</v>
      </c>
      <c r="D467" t="s">
        <v>61</v>
      </c>
      <c r="E467" t="s">
        <v>25</v>
      </c>
      <c r="F467" t="s">
        <v>62</v>
      </c>
      <c r="G467">
        <v>2</v>
      </c>
      <c r="H467">
        <v>0</v>
      </c>
      <c r="I467">
        <v>0</v>
      </c>
      <c r="J467">
        <v>0</v>
      </c>
      <c r="K467">
        <v>0</v>
      </c>
      <c r="L467">
        <v>0.252552</v>
      </c>
      <c r="M467" t="s">
        <v>27</v>
      </c>
      <c r="N467" t="s">
        <v>63</v>
      </c>
      <c r="O467" t="s">
        <v>64</v>
      </c>
      <c r="P467" t="s">
        <v>65</v>
      </c>
      <c r="Q467" t="s">
        <v>66</v>
      </c>
      <c r="R467" s="22">
        <f t="shared" si="35"/>
        <v>46288.832682262124</v>
      </c>
      <c r="S467" s="22">
        <f t="shared" si="36"/>
        <v>46288.832685185182</v>
      </c>
      <c r="T467" s="23">
        <f t="shared" si="37"/>
        <v>0.25255219079554081</v>
      </c>
      <c r="U467" s="23">
        <f t="shared" si="38"/>
        <v>0.25255219079554081</v>
      </c>
      <c r="V467" s="23">
        <f t="shared" si="39"/>
        <v>0.25255219079554081</v>
      </c>
    </row>
    <row r="468" spans="1:22" x14ac:dyDescent="0.35">
      <c r="A468" t="s">
        <v>326</v>
      </c>
      <c r="B468">
        <v>53</v>
      </c>
      <c r="C468" t="s">
        <v>354</v>
      </c>
      <c r="D468" t="s">
        <v>61</v>
      </c>
      <c r="E468" t="s">
        <v>25</v>
      </c>
      <c r="F468" t="s">
        <v>62</v>
      </c>
      <c r="G468">
        <v>4</v>
      </c>
      <c r="H468">
        <v>0</v>
      </c>
      <c r="I468">
        <v>0</v>
      </c>
      <c r="J468">
        <v>0</v>
      </c>
      <c r="K468">
        <v>0</v>
      </c>
      <c r="L468">
        <v>0.24793499999999999</v>
      </c>
      <c r="M468" t="s">
        <v>27</v>
      </c>
      <c r="N468" t="s">
        <v>63</v>
      </c>
      <c r="O468" t="s">
        <v>64</v>
      </c>
      <c r="P468" t="s">
        <v>65</v>
      </c>
      <c r="Q468" t="s">
        <v>66</v>
      </c>
      <c r="R468" s="22">
        <f t="shared" si="35"/>
        <v>46288.832693889643</v>
      </c>
      <c r="S468" s="22">
        <f t="shared" si="36"/>
        <v>46288.832696759258</v>
      </c>
      <c r="T468" s="23">
        <f t="shared" si="37"/>
        <v>0</v>
      </c>
      <c r="U468" s="23">
        <f t="shared" si="38"/>
        <v>0</v>
      </c>
      <c r="V468" s="23">
        <f t="shared" si="39"/>
        <v>0</v>
      </c>
    </row>
    <row r="469" spans="1:22" x14ac:dyDescent="0.35">
      <c r="A469" t="s">
        <v>326</v>
      </c>
      <c r="B469">
        <v>54</v>
      </c>
      <c r="C469" t="s">
        <v>354</v>
      </c>
      <c r="D469" t="s">
        <v>61</v>
      </c>
      <c r="E469" t="s">
        <v>25</v>
      </c>
      <c r="F469" t="s">
        <v>62</v>
      </c>
      <c r="G469">
        <v>5</v>
      </c>
      <c r="H469">
        <v>0</v>
      </c>
      <c r="I469">
        <v>0</v>
      </c>
      <c r="J469">
        <v>0</v>
      </c>
      <c r="K469">
        <v>0</v>
      </c>
      <c r="L469">
        <v>0.30678499999999997</v>
      </c>
      <c r="M469" t="s">
        <v>27</v>
      </c>
      <c r="N469" t="s">
        <v>63</v>
      </c>
      <c r="O469" t="s">
        <v>64</v>
      </c>
      <c r="P469" t="s">
        <v>65</v>
      </c>
      <c r="Q469" t="s">
        <v>66</v>
      </c>
      <c r="R469" s="22">
        <f t="shared" si="35"/>
        <v>46288.832693208504</v>
      </c>
      <c r="S469" s="22">
        <f t="shared" si="36"/>
        <v>46288.832696759258</v>
      </c>
      <c r="T469" s="23">
        <f t="shared" si="37"/>
        <v>0.30678519979119301</v>
      </c>
      <c r="U469" s="23">
        <f t="shared" si="38"/>
        <v>0.30678519979119301</v>
      </c>
      <c r="V469" s="23">
        <f t="shared" si="39"/>
        <v>0.30678519979119301</v>
      </c>
    </row>
    <row r="470" spans="1:22" x14ac:dyDescent="0.35">
      <c r="A470" t="s">
        <v>326</v>
      </c>
      <c r="B470">
        <v>55</v>
      </c>
      <c r="C470" t="s">
        <v>355</v>
      </c>
      <c r="D470" t="s">
        <v>61</v>
      </c>
      <c r="E470" t="s">
        <v>25</v>
      </c>
      <c r="F470" t="s">
        <v>62</v>
      </c>
      <c r="G470">
        <v>19</v>
      </c>
      <c r="H470">
        <v>0</v>
      </c>
      <c r="I470">
        <v>0</v>
      </c>
      <c r="J470">
        <v>0</v>
      </c>
      <c r="K470">
        <v>0</v>
      </c>
      <c r="L470">
        <v>0.21418499999999999</v>
      </c>
      <c r="M470" t="s">
        <v>27</v>
      </c>
      <c r="N470" t="s">
        <v>63</v>
      </c>
      <c r="O470" t="s">
        <v>64</v>
      </c>
      <c r="P470" t="s">
        <v>65</v>
      </c>
      <c r="Q470" t="s">
        <v>66</v>
      </c>
      <c r="R470" s="22">
        <f t="shared" si="35"/>
        <v>46288.832705854344</v>
      </c>
      <c r="S470" s="22">
        <f t="shared" si="36"/>
        <v>46288.832708333335</v>
      </c>
      <c r="T470" s="23">
        <f t="shared" si="37"/>
        <v>0.21418486721813679</v>
      </c>
      <c r="U470" s="23">
        <f t="shared" si="38"/>
        <v>0</v>
      </c>
      <c r="V470" s="23">
        <f t="shared" si="39"/>
        <v>0</v>
      </c>
    </row>
    <row r="471" spans="1:22" x14ac:dyDescent="0.35">
      <c r="A471" t="s">
        <v>326</v>
      </c>
      <c r="B471">
        <v>56</v>
      </c>
      <c r="C471" t="s">
        <v>355</v>
      </c>
      <c r="D471" t="s">
        <v>82</v>
      </c>
      <c r="E471" t="s">
        <v>25</v>
      </c>
      <c r="F471" t="s">
        <v>62</v>
      </c>
      <c r="G471">
        <v>225</v>
      </c>
      <c r="H471">
        <v>0</v>
      </c>
      <c r="I471">
        <v>0</v>
      </c>
      <c r="J471">
        <v>0</v>
      </c>
      <c r="K471">
        <v>5.0000000000000004E-6</v>
      </c>
      <c r="L471">
        <v>0.63026599999999999</v>
      </c>
      <c r="M471" t="s">
        <v>27</v>
      </c>
      <c r="N471" t="s">
        <v>63</v>
      </c>
      <c r="O471" t="s">
        <v>113</v>
      </c>
      <c r="P471" t="s">
        <v>114</v>
      </c>
      <c r="Q471" t="s">
        <v>115</v>
      </c>
      <c r="R471" s="22">
        <f t="shared" si="35"/>
        <v>46288.832701038591</v>
      </c>
      <c r="S471" s="22">
        <f t="shared" si="36"/>
        <v>46288.832708333335</v>
      </c>
      <c r="T471" s="23">
        <f t="shared" si="37"/>
        <v>0.63026589341461658</v>
      </c>
      <c r="U471" s="23">
        <f t="shared" si="38"/>
        <v>0.63026589341461658</v>
      </c>
      <c r="V471" s="23">
        <f t="shared" si="39"/>
        <v>0.63026589341461658</v>
      </c>
    </row>
    <row r="472" spans="1:22" x14ac:dyDescent="0.35">
      <c r="A472" t="s">
        <v>326</v>
      </c>
      <c r="B472">
        <v>57</v>
      </c>
      <c r="C472" t="s">
        <v>356</v>
      </c>
      <c r="D472" t="s">
        <v>82</v>
      </c>
      <c r="E472" t="s">
        <v>25</v>
      </c>
      <c r="F472" t="s">
        <v>62</v>
      </c>
      <c r="G472">
        <v>230</v>
      </c>
      <c r="H472">
        <v>0</v>
      </c>
      <c r="I472">
        <v>0</v>
      </c>
      <c r="J472">
        <v>0</v>
      </c>
      <c r="K472">
        <v>5.0000000000000004E-6</v>
      </c>
      <c r="L472">
        <v>0.85106999999999999</v>
      </c>
      <c r="M472" t="s">
        <v>27</v>
      </c>
      <c r="N472" t="s">
        <v>63</v>
      </c>
      <c r="O472" t="s">
        <v>113</v>
      </c>
      <c r="P472" t="s">
        <v>114</v>
      </c>
      <c r="Q472" t="s">
        <v>115</v>
      </c>
      <c r="R472" s="22">
        <f t="shared" si="35"/>
        <v>46288.83271005706</v>
      </c>
      <c r="S472" s="22">
        <f t="shared" si="36"/>
        <v>46288.832719907405</v>
      </c>
      <c r="T472" s="23">
        <f t="shared" si="37"/>
        <v>0.85106974001973867</v>
      </c>
      <c r="U472" s="23">
        <f t="shared" si="38"/>
        <v>0.85106974001973867</v>
      </c>
      <c r="V472" s="23">
        <f t="shared" si="39"/>
        <v>0.85106974001973867</v>
      </c>
    </row>
    <row r="473" spans="1:22" x14ac:dyDescent="0.35">
      <c r="A473" t="s">
        <v>326</v>
      </c>
      <c r="B473">
        <v>58</v>
      </c>
      <c r="C473" t="s">
        <v>357</v>
      </c>
      <c r="D473" t="s">
        <v>82</v>
      </c>
      <c r="E473" t="s">
        <v>25</v>
      </c>
      <c r="F473" t="s">
        <v>62</v>
      </c>
      <c r="G473">
        <v>224</v>
      </c>
      <c r="H473">
        <v>0</v>
      </c>
      <c r="I473">
        <v>0</v>
      </c>
      <c r="J473">
        <v>0</v>
      </c>
      <c r="K473">
        <v>3.9999999999999998E-6</v>
      </c>
      <c r="L473">
        <v>0.37429200000000001</v>
      </c>
      <c r="M473" t="s">
        <v>27</v>
      </c>
      <c r="N473" t="s">
        <v>63</v>
      </c>
      <c r="O473" t="s">
        <v>113</v>
      </c>
      <c r="P473" t="s">
        <v>114</v>
      </c>
      <c r="Q473" t="s">
        <v>115</v>
      </c>
      <c r="R473" s="22">
        <f t="shared" si="35"/>
        <v>46288.832727149398</v>
      </c>
      <c r="S473" s="22">
        <f t="shared" si="36"/>
        <v>46288.832731481481</v>
      </c>
      <c r="T473" s="23">
        <f t="shared" si="37"/>
        <v>0.37429200019687414</v>
      </c>
      <c r="U473" s="23">
        <f t="shared" si="38"/>
        <v>0.37429200019687414</v>
      </c>
      <c r="V473" s="23">
        <f t="shared" si="39"/>
        <v>0</v>
      </c>
    </row>
    <row r="474" spans="1:22" x14ac:dyDescent="0.35">
      <c r="A474" t="s">
        <v>326</v>
      </c>
      <c r="B474">
        <v>59</v>
      </c>
      <c r="C474" t="s">
        <v>358</v>
      </c>
      <c r="D474" t="s">
        <v>82</v>
      </c>
      <c r="E474" t="s">
        <v>25</v>
      </c>
      <c r="F474" t="s">
        <v>26</v>
      </c>
      <c r="G474">
        <v>6771</v>
      </c>
      <c r="H474">
        <v>0</v>
      </c>
      <c r="I474">
        <v>652</v>
      </c>
      <c r="J474">
        <v>0</v>
      </c>
      <c r="K474">
        <v>2.3446999999999999E-2</v>
      </c>
      <c r="L474">
        <v>12.449479999999999</v>
      </c>
      <c r="M474" t="s">
        <v>27</v>
      </c>
      <c r="N474" t="s">
        <v>28</v>
      </c>
      <c r="O474" t="s">
        <v>113</v>
      </c>
      <c r="P474" t="s">
        <v>114</v>
      </c>
      <c r="Q474" t="s">
        <v>115</v>
      </c>
      <c r="R474" s="22">
        <f t="shared" si="35"/>
        <v>46288.832726279172</v>
      </c>
      <c r="S474" s="22">
        <f t="shared" si="36"/>
        <v>46288.832870370374</v>
      </c>
      <c r="T474" s="23">
        <f t="shared" si="37"/>
        <v>0</v>
      </c>
      <c r="U474" s="23">
        <f t="shared" si="38"/>
        <v>0</v>
      </c>
      <c r="V474" s="23">
        <f t="shared" si="39"/>
        <v>0</v>
      </c>
    </row>
    <row r="475" spans="1:22" x14ac:dyDescent="0.35">
      <c r="A475" t="s">
        <v>326</v>
      </c>
      <c r="B475">
        <v>60</v>
      </c>
      <c r="C475" t="s">
        <v>359</v>
      </c>
      <c r="D475" t="s">
        <v>82</v>
      </c>
      <c r="E475" t="s">
        <v>25</v>
      </c>
      <c r="F475" t="s">
        <v>26</v>
      </c>
      <c r="G475">
        <v>6973</v>
      </c>
      <c r="H475">
        <v>0</v>
      </c>
      <c r="I475">
        <v>659</v>
      </c>
      <c r="J475">
        <v>0</v>
      </c>
      <c r="K475">
        <v>2.4022000000000002E-2</v>
      </c>
      <c r="L475">
        <v>15.607663000000001</v>
      </c>
      <c r="M475" t="s">
        <v>27</v>
      </c>
      <c r="N475" t="s">
        <v>28</v>
      </c>
      <c r="O475" t="s">
        <v>113</v>
      </c>
      <c r="P475" t="s">
        <v>114</v>
      </c>
      <c r="Q475" t="s">
        <v>115</v>
      </c>
      <c r="R475" s="22">
        <f t="shared" si="35"/>
        <v>46288.832724448344</v>
      </c>
      <c r="S475" s="22">
        <f t="shared" si="36"/>
        <v>46288.832905092589</v>
      </c>
      <c r="T475" s="23">
        <f t="shared" si="37"/>
        <v>15.607662778347731</v>
      </c>
      <c r="U475" s="23">
        <f t="shared" si="38"/>
        <v>15.607662778347731</v>
      </c>
      <c r="V475" s="23">
        <f t="shared" si="39"/>
        <v>15.607662778347731</v>
      </c>
    </row>
    <row r="476" spans="1:22" x14ac:dyDescent="0.35">
      <c r="A476" t="s">
        <v>326</v>
      </c>
      <c r="B476">
        <v>61</v>
      </c>
      <c r="C476" t="s">
        <v>360</v>
      </c>
      <c r="D476" t="s">
        <v>82</v>
      </c>
      <c r="E476" t="s">
        <v>25</v>
      </c>
      <c r="F476" t="s">
        <v>26</v>
      </c>
      <c r="G476">
        <v>7349</v>
      </c>
      <c r="H476">
        <v>0</v>
      </c>
      <c r="I476">
        <v>508</v>
      </c>
      <c r="J476">
        <v>0</v>
      </c>
      <c r="K476">
        <v>2.3453000000000002E-2</v>
      </c>
      <c r="L476">
        <v>15.995285000000001</v>
      </c>
      <c r="M476" t="s">
        <v>27</v>
      </c>
      <c r="N476" t="s">
        <v>28</v>
      </c>
      <c r="O476" t="s">
        <v>113</v>
      </c>
      <c r="P476" t="s">
        <v>114</v>
      </c>
      <c r="Q476" t="s">
        <v>115</v>
      </c>
      <c r="R476" s="22">
        <f t="shared" si="35"/>
        <v>46288.832731536051</v>
      </c>
      <c r="S476" s="22">
        <f t="shared" si="36"/>
        <v>46288.832916666666</v>
      </c>
      <c r="T476" s="23">
        <f t="shared" si="37"/>
        <v>1.0000002337619662</v>
      </c>
      <c r="U476" s="23">
        <f t="shared" si="38"/>
        <v>1.0000002337619662</v>
      </c>
      <c r="V476" s="23">
        <f t="shared" si="39"/>
        <v>1.0000002337619662</v>
      </c>
    </row>
    <row r="477" spans="1:22" x14ac:dyDescent="0.35">
      <c r="A477" t="s">
        <v>326</v>
      </c>
      <c r="B477">
        <v>62</v>
      </c>
      <c r="C477" t="s">
        <v>361</v>
      </c>
      <c r="D477" t="s">
        <v>121</v>
      </c>
      <c r="E477" t="s">
        <v>25</v>
      </c>
      <c r="F477" t="s">
        <v>26</v>
      </c>
      <c r="G477">
        <v>8410</v>
      </c>
      <c r="H477">
        <v>0</v>
      </c>
      <c r="I477">
        <v>599</v>
      </c>
      <c r="J477">
        <v>0</v>
      </c>
      <c r="K477">
        <v>2.7015000000000001E-2</v>
      </c>
      <c r="L477">
        <v>10.567345</v>
      </c>
      <c r="M477" t="s">
        <v>27</v>
      </c>
      <c r="N477" t="s">
        <v>28</v>
      </c>
      <c r="O477" t="s">
        <v>122</v>
      </c>
      <c r="P477" t="s">
        <v>123</v>
      </c>
      <c r="Q477" t="s">
        <v>124</v>
      </c>
      <c r="R477" s="22">
        <f t="shared" si="35"/>
        <v>46288.83292167425</v>
      </c>
      <c r="S477" s="22">
        <f t="shared" si="36"/>
        <v>46288.833043981482</v>
      </c>
      <c r="T477" s="23">
        <f t="shared" si="37"/>
        <v>0</v>
      </c>
      <c r="U477" s="23">
        <f t="shared" si="38"/>
        <v>0</v>
      </c>
      <c r="V477" s="23">
        <f t="shared" si="39"/>
        <v>0</v>
      </c>
    </row>
    <row r="478" spans="1:22" x14ac:dyDescent="0.35">
      <c r="A478" t="s">
        <v>326</v>
      </c>
      <c r="B478">
        <v>63</v>
      </c>
      <c r="C478" t="s">
        <v>362</v>
      </c>
      <c r="D478" t="s">
        <v>121</v>
      </c>
      <c r="E478" t="s">
        <v>25</v>
      </c>
      <c r="F478" t="s">
        <v>26</v>
      </c>
      <c r="G478">
        <v>8388</v>
      </c>
      <c r="H478">
        <v>0</v>
      </c>
      <c r="I478">
        <v>713</v>
      </c>
      <c r="J478">
        <v>0</v>
      </c>
      <c r="K478">
        <v>2.81E-2</v>
      </c>
      <c r="L478">
        <v>11.220737</v>
      </c>
      <c r="M478" t="s">
        <v>27</v>
      </c>
      <c r="N478" t="s">
        <v>28</v>
      </c>
      <c r="O478" t="s">
        <v>122</v>
      </c>
      <c r="P478" t="s">
        <v>123</v>
      </c>
      <c r="Q478" t="s">
        <v>124</v>
      </c>
      <c r="R478" s="22">
        <f t="shared" si="35"/>
        <v>46288.832925685914</v>
      </c>
      <c r="S478" s="22">
        <f t="shared" si="36"/>
        <v>46288.833055555559</v>
      </c>
      <c r="T478" s="23">
        <f t="shared" si="37"/>
        <v>0</v>
      </c>
      <c r="U478" s="23">
        <f t="shared" si="38"/>
        <v>0</v>
      </c>
      <c r="V478" s="23">
        <f t="shared" si="39"/>
        <v>0</v>
      </c>
    </row>
    <row r="479" spans="1:22" x14ac:dyDescent="0.35">
      <c r="A479" t="s">
        <v>326</v>
      </c>
      <c r="B479">
        <v>64</v>
      </c>
      <c r="C479" t="s">
        <v>362</v>
      </c>
      <c r="D479" t="s">
        <v>121</v>
      </c>
      <c r="E479" t="s">
        <v>25</v>
      </c>
      <c r="F479" t="s">
        <v>26</v>
      </c>
      <c r="G479">
        <v>8042</v>
      </c>
      <c r="H479">
        <v>0</v>
      </c>
      <c r="I479">
        <v>853</v>
      </c>
      <c r="J479">
        <v>0</v>
      </c>
      <c r="K479">
        <v>2.8635000000000001E-2</v>
      </c>
      <c r="L479">
        <v>11.708729999999999</v>
      </c>
      <c r="M479" t="s">
        <v>27</v>
      </c>
      <c r="N479" t="s">
        <v>28</v>
      </c>
      <c r="O479" t="s">
        <v>122</v>
      </c>
      <c r="P479" t="s">
        <v>123</v>
      </c>
      <c r="Q479" t="s">
        <v>124</v>
      </c>
      <c r="R479" s="22">
        <f t="shared" si="35"/>
        <v>46288.83292003785</v>
      </c>
      <c r="S479" s="22">
        <f t="shared" si="36"/>
        <v>46288.833055555559</v>
      </c>
      <c r="T479" s="23">
        <f t="shared" si="37"/>
        <v>11.70872999355197</v>
      </c>
      <c r="U479" s="23">
        <f t="shared" si="38"/>
        <v>11.70872999355197</v>
      </c>
      <c r="V479" s="23">
        <f t="shared" si="39"/>
        <v>11.70872999355197</v>
      </c>
    </row>
    <row r="480" spans="1:22" x14ac:dyDescent="0.35">
      <c r="A480" t="s">
        <v>326</v>
      </c>
      <c r="B480">
        <v>65</v>
      </c>
      <c r="C480" t="s">
        <v>363</v>
      </c>
      <c r="D480" t="s">
        <v>121</v>
      </c>
      <c r="E480" t="s">
        <v>25</v>
      </c>
      <c r="F480" t="s">
        <v>26</v>
      </c>
      <c r="G480">
        <v>11209</v>
      </c>
      <c r="H480">
        <v>0</v>
      </c>
      <c r="I480">
        <v>1191</v>
      </c>
      <c r="J480">
        <v>0</v>
      </c>
      <c r="K480">
        <v>3.9933000000000003E-2</v>
      </c>
      <c r="L480">
        <v>19.601838000000001</v>
      </c>
      <c r="M480" t="s">
        <v>27</v>
      </c>
      <c r="N480" t="s">
        <v>28</v>
      </c>
      <c r="O480" t="s">
        <v>122</v>
      </c>
      <c r="P480" t="s">
        <v>123</v>
      </c>
      <c r="Q480" t="s">
        <v>124</v>
      </c>
      <c r="R480" s="22">
        <f t="shared" si="35"/>
        <v>46288.83306016391</v>
      </c>
      <c r="S480" s="22">
        <f t="shared" si="36"/>
        <v>46288.833287037036</v>
      </c>
      <c r="T480" s="23">
        <f t="shared" si="37"/>
        <v>0</v>
      </c>
      <c r="U480" s="23">
        <f t="shared" si="38"/>
        <v>0</v>
      </c>
      <c r="V480" s="23">
        <f t="shared" si="39"/>
        <v>0</v>
      </c>
    </row>
    <row r="481" spans="1:51" x14ac:dyDescent="0.35">
      <c r="A481" t="s">
        <v>326</v>
      </c>
      <c r="B481">
        <v>66</v>
      </c>
      <c r="C481" t="s">
        <v>364</v>
      </c>
      <c r="D481" t="s">
        <v>121</v>
      </c>
      <c r="E481" t="s">
        <v>25</v>
      </c>
      <c r="F481" t="s">
        <v>26</v>
      </c>
      <c r="G481">
        <v>11830</v>
      </c>
      <c r="H481">
        <v>0</v>
      </c>
      <c r="I481">
        <v>1327</v>
      </c>
      <c r="J481">
        <v>0</v>
      </c>
      <c r="K481">
        <v>4.2845000000000001E-2</v>
      </c>
      <c r="L481">
        <v>20.526952000000001</v>
      </c>
      <c r="M481" t="s">
        <v>27</v>
      </c>
      <c r="N481" t="s">
        <v>28</v>
      </c>
      <c r="O481" t="s">
        <v>122</v>
      </c>
      <c r="P481" t="s">
        <v>123</v>
      </c>
      <c r="Q481" t="s">
        <v>124</v>
      </c>
      <c r="R481" s="22">
        <f t="shared" si="35"/>
        <v>46288.833061030651</v>
      </c>
      <c r="S481" s="22">
        <f t="shared" si="36"/>
        <v>46288.833298611113</v>
      </c>
      <c r="T481" s="23">
        <f t="shared" si="37"/>
        <v>0</v>
      </c>
      <c r="U481" s="23">
        <f t="shared" si="38"/>
        <v>0</v>
      </c>
      <c r="V481" s="23">
        <f t="shared" si="39"/>
        <v>0</v>
      </c>
    </row>
    <row r="482" spans="1:51" x14ac:dyDescent="0.35">
      <c r="A482" t="s">
        <v>326</v>
      </c>
      <c r="B482">
        <v>67</v>
      </c>
      <c r="C482" t="s">
        <v>365</v>
      </c>
      <c r="D482" t="s">
        <v>121</v>
      </c>
      <c r="E482" t="s">
        <v>25</v>
      </c>
      <c r="F482" t="s">
        <v>26</v>
      </c>
      <c r="G482">
        <v>11239</v>
      </c>
      <c r="H482">
        <v>0</v>
      </c>
      <c r="I482">
        <v>1202</v>
      </c>
      <c r="J482">
        <v>0</v>
      </c>
      <c r="K482">
        <v>4.0118000000000001E-2</v>
      </c>
      <c r="L482">
        <v>22.860821999999999</v>
      </c>
      <c r="M482" t="s">
        <v>27</v>
      </c>
      <c r="N482" t="s">
        <v>28</v>
      </c>
      <c r="O482" t="s">
        <v>122</v>
      </c>
      <c r="P482" t="s">
        <v>123</v>
      </c>
      <c r="Q482" t="s">
        <v>124</v>
      </c>
      <c r="R482" s="22">
        <f t="shared" si="35"/>
        <v>46288.833057166412</v>
      </c>
      <c r="S482" s="22">
        <f t="shared" si="36"/>
        <v>46288.833321759259</v>
      </c>
      <c r="T482" s="23">
        <f t="shared" si="37"/>
        <v>0</v>
      </c>
      <c r="U482" s="23">
        <f t="shared" si="38"/>
        <v>0</v>
      </c>
      <c r="V482" s="23">
        <f t="shared" si="39"/>
        <v>0</v>
      </c>
    </row>
    <row r="483" spans="1:51" x14ac:dyDescent="0.35">
      <c r="A483" t="s">
        <v>326</v>
      </c>
      <c r="B483">
        <v>68</v>
      </c>
      <c r="C483" t="s">
        <v>366</v>
      </c>
      <c r="D483" t="s">
        <v>121</v>
      </c>
      <c r="E483" t="s">
        <v>25</v>
      </c>
      <c r="F483" t="s">
        <v>26</v>
      </c>
      <c r="G483">
        <v>11298</v>
      </c>
      <c r="H483">
        <v>0</v>
      </c>
      <c r="I483">
        <v>1362</v>
      </c>
      <c r="J483">
        <v>0</v>
      </c>
      <c r="K483">
        <v>4.1864999999999999E-2</v>
      </c>
      <c r="L483">
        <v>25.071943000000001</v>
      </c>
      <c r="M483" t="s">
        <v>27</v>
      </c>
      <c r="N483" t="s">
        <v>28</v>
      </c>
      <c r="O483" t="s">
        <v>122</v>
      </c>
      <c r="P483" t="s">
        <v>123</v>
      </c>
      <c r="Q483" t="s">
        <v>124</v>
      </c>
      <c r="R483" s="22">
        <f t="shared" si="35"/>
        <v>46288.833054722883</v>
      </c>
      <c r="S483" s="22">
        <f t="shared" si="36"/>
        <v>46288.833344907405</v>
      </c>
      <c r="T483" s="23">
        <f t="shared" si="37"/>
        <v>24.999999557621777</v>
      </c>
      <c r="U483" s="23">
        <f t="shared" si="38"/>
        <v>24.999999557621777</v>
      </c>
      <c r="V483" s="23">
        <f t="shared" si="39"/>
        <v>24.999999557621777</v>
      </c>
    </row>
    <row r="484" spans="1:51" x14ac:dyDescent="0.35">
      <c r="A484" t="s">
        <v>326</v>
      </c>
      <c r="B484">
        <v>69</v>
      </c>
      <c r="C484" t="s">
        <v>367</v>
      </c>
      <c r="D484" t="s">
        <v>121</v>
      </c>
      <c r="E484" t="s">
        <v>25</v>
      </c>
      <c r="F484" t="s">
        <v>26</v>
      </c>
      <c r="G484">
        <v>10149</v>
      </c>
      <c r="H484">
        <v>0</v>
      </c>
      <c r="I484">
        <v>1389</v>
      </c>
      <c r="J484">
        <v>0</v>
      </c>
      <c r="K484">
        <v>3.9261999999999998E-2</v>
      </c>
      <c r="L484">
        <v>23.352948999999999</v>
      </c>
      <c r="M484" t="s">
        <v>27</v>
      </c>
      <c r="N484" t="s">
        <v>28</v>
      </c>
      <c r="O484" t="s">
        <v>122</v>
      </c>
      <c r="P484" t="s">
        <v>123</v>
      </c>
      <c r="Q484" t="s">
        <v>124</v>
      </c>
      <c r="R484" s="22">
        <f t="shared" si="35"/>
        <v>46288.833282951979</v>
      </c>
      <c r="S484" s="22">
        <f t="shared" si="36"/>
        <v>46288.833553240744</v>
      </c>
      <c r="T484" s="23">
        <f t="shared" si="37"/>
        <v>18.000000435858965</v>
      </c>
      <c r="U484" s="23">
        <f t="shared" si="38"/>
        <v>18.000000435858965</v>
      </c>
      <c r="V484" s="23">
        <f t="shared" si="39"/>
        <v>18.000000435858965</v>
      </c>
    </row>
    <row r="485" spans="1:51" x14ac:dyDescent="0.35">
      <c r="A485" t="s">
        <v>326</v>
      </c>
      <c r="B485">
        <v>70</v>
      </c>
      <c r="C485" t="s">
        <v>368</v>
      </c>
      <c r="D485" t="s">
        <v>121</v>
      </c>
      <c r="E485" t="s">
        <v>25</v>
      </c>
      <c r="F485" t="s">
        <v>26</v>
      </c>
      <c r="G485">
        <v>13462</v>
      </c>
      <c r="H485">
        <v>0</v>
      </c>
      <c r="I485">
        <v>1720</v>
      </c>
      <c r="J485">
        <v>0</v>
      </c>
      <c r="K485">
        <v>5.0854999999999997E-2</v>
      </c>
      <c r="L485">
        <v>25.6099</v>
      </c>
      <c r="M485" t="s">
        <v>27</v>
      </c>
      <c r="N485" t="s">
        <v>28</v>
      </c>
      <c r="O485" t="s">
        <v>122</v>
      </c>
      <c r="P485" t="s">
        <v>123</v>
      </c>
      <c r="Q485" t="s">
        <v>124</v>
      </c>
      <c r="R485" s="22">
        <f t="shared" si="35"/>
        <v>46288.83329155208</v>
      </c>
      <c r="S485" s="22">
        <f t="shared" si="36"/>
        <v>46288.833587962959</v>
      </c>
      <c r="T485" s="23">
        <f t="shared" si="37"/>
        <v>2.999999444000423</v>
      </c>
      <c r="U485" s="23">
        <f t="shared" si="38"/>
        <v>2.999999444000423</v>
      </c>
      <c r="V485" s="23">
        <f t="shared" si="39"/>
        <v>2.999999444000423</v>
      </c>
    </row>
    <row r="486" spans="1:51" x14ac:dyDescent="0.35">
      <c r="A486" t="s">
        <v>326</v>
      </c>
      <c r="B486">
        <v>71</v>
      </c>
      <c r="C486" t="s">
        <v>369</v>
      </c>
      <c r="D486" t="s">
        <v>133</v>
      </c>
      <c r="E486" t="s">
        <v>25</v>
      </c>
      <c r="F486" t="s">
        <v>26</v>
      </c>
      <c r="G486">
        <v>3185</v>
      </c>
      <c r="H486">
        <v>0</v>
      </c>
      <c r="I486">
        <v>369</v>
      </c>
      <c r="J486">
        <v>0</v>
      </c>
      <c r="K486">
        <v>1.1651999999999999E-2</v>
      </c>
      <c r="L486">
        <v>4.8874890000000004</v>
      </c>
      <c r="M486" t="s">
        <v>27</v>
      </c>
      <c r="N486" t="s">
        <v>28</v>
      </c>
      <c r="O486" t="s">
        <v>122</v>
      </c>
      <c r="P486" t="s">
        <v>123</v>
      </c>
      <c r="Q486" t="s">
        <v>134</v>
      </c>
      <c r="R486" s="22">
        <f t="shared" si="35"/>
        <v>46288.833589265174</v>
      </c>
      <c r="S486" s="22">
        <f t="shared" si="36"/>
        <v>46288.833645833336</v>
      </c>
      <c r="T486" s="23">
        <f t="shared" si="37"/>
        <v>4.8874892061576247</v>
      </c>
      <c r="U486" s="23">
        <f t="shared" si="38"/>
        <v>4.8874892061576247</v>
      </c>
      <c r="V486" s="23">
        <f t="shared" si="39"/>
        <v>4.8874892061576247</v>
      </c>
    </row>
    <row r="489" spans="1:51" ht="15.5" x14ac:dyDescent="0.35">
      <c r="A489" s="3" t="s">
        <v>370</v>
      </c>
    </row>
    <row r="491" spans="1:51" x14ac:dyDescent="0.35">
      <c r="A491" s="27" t="s">
        <v>0</v>
      </c>
      <c r="B491" s="27" t="s">
        <v>371</v>
      </c>
      <c r="C491" s="24" t="s">
        <v>26</v>
      </c>
      <c r="D491" s="25"/>
      <c r="E491" s="25"/>
      <c r="F491" s="25"/>
      <c r="G491" s="25"/>
      <c r="H491" s="25"/>
      <c r="I491" s="26"/>
      <c r="J491" s="24" t="s">
        <v>34</v>
      </c>
      <c r="K491" s="25"/>
      <c r="L491" s="25"/>
      <c r="M491" s="25"/>
      <c r="N491" s="25"/>
      <c r="O491" s="25"/>
      <c r="P491" s="26"/>
      <c r="Q491" s="24" t="s">
        <v>372</v>
      </c>
      <c r="R491" s="25"/>
      <c r="S491" s="25"/>
      <c r="T491" s="25"/>
      <c r="U491" s="25"/>
      <c r="V491" s="25"/>
      <c r="W491" s="26"/>
      <c r="X491" s="24" t="s">
        <v>47</v>
      </c>
      <c r="Y491" s="25"/>
      <c r="Z491" s="25"/>
      <c r="AA491" s="25"/>
      <c r="AB491" s="25"/>
      <c r="AC491" s="25"/>
      <c r="AD491" s="26"/>
      <c r="AE491" s="24" t="s">
        <v>41</v>
      </c>
      <c r="AF491" s="25"/>
      <c r="AG491" s="25"/>
      <c r="AH491" s="25"/>
      <c r="AI491" s="25"/>
      <c r="AJ491" s="25"/>
      <c r="AK491" s="26"/>
      <c r="AL491" s="24" t="s">
        <v>373</v>
      </c>
      <c r="AM491" s="25"/>
      <c r="AN491" s="25"/>
      <c r="AO491" s="25"/>
      <c r="AP491" s="25"/>
      <c r="AQ491" s="25"/>
      <c r="AR491" s="26"/>
      <c r="AS491" s="24" t="s">
        <v>374</v>
      </c>
      <c r="AT491" s="25"/>
      <c r="AU491" s="25"/>
      <c r="AV491" s="25"/>
      <c r="AW491" s="25"/>
      <c r="AX491" s="25"/>
      <c r="AY491" s="26"/>
    </row>
    <row r="492" spans="1:51" ht="112" x14ac:dyDescent="0.35">
      <c r="A492" s="28"/>
      <c r="B492" s="28"/>
      <c r="C492" s="4" t="s">
        <v>375</v>
      </c>
      <c r="D492" s="4" t="s">
        <v>6</v>
      </c>
      <c r="E492" s="4" t="s">
        <v>7</v>
      </c>
      <c r="F492" s="4" t="s">
        <v>8</v>
      </c>
      <c r="G492" s="4" t="s">
        <v>9</v>
      </c>
      <c r="H492" s="4" t="s">
        <v>10</v>
      </c>
      <c r="I492" s="4" t="s">
        <v>851</v>
      </c>
      <c r="J492" s="4" t="s">
        <v>375</v>
      </c>
      <c r="K492" s="4" t="s">
        <v>6</v>
      </c>
      <c r="L492" s="4" t="s">
        <v>7</v>
      </c>
      <c r="M492" s="4" t="s">
        <v>8</v>
      </c>
      <c r="N492" s="4" t="s">
        <v>9</v>
      </c>
      <c r="O492" s="4" t="s">
        <v>10</v>
      </c>
      <c r="P492" s="4" t="s">
        <v>11</v>
      </c>
      <c r="Q492" s="4" t="s">
        <v>375</v>
      </c>
      <c r="R492" s="4" t="s">
        <v>6</v>
      </c>
      <c r="S492" s="4" t="s">
        <v>7</v>
      </c>
      <c r="T492" s="4" t="s">
        <v>8</v>
      </c>
      <c r="U492" s="4" t="s">
        <v>9</v>
      </c>
      <c r="V492" s="4" t="s">
        <v>10</v>
      </c>
      <c r="W492" s="4" t="s">
        <v>11</v>
      </c>
      <c r="X492" s="4" t="s">
        <v>375</v>
      </c>
      <c r="Y492" s="4" t="s">
        <v>6</v>
      </c>
      <c r="Z492" s="4" t="s">
        <v>7</v>
      </c>
      <c r="AA492" s="4" t="s">
        <v>8</v>
      </c>
      <c r="AB492" s="4" t="s">
        <v>9</v>
      </c>
      <c r="AC492" s="4" t="s">
        <v>10</v>
      </c>
      <c r="AD492" s="4" t="s">
        <v>11</v>
      </c>
      <c r="AE492" s="4" t="s">
        <v>375</v>
      </c>
      <c r="AF492" s="4" t="s">
        <v>6</v>
      </c>
      <c r="AG492" s="4" t="s">
        <v>7</v>
      </c>
      <c r="AH492" s="4" t="s">
        <v>8</v>
      </c>
      <c r="AI492" s="4" t="s">
        <v>9</v>
      </c>
      <c r="AJ492" s="4" t="s">
        <v>10</v>
      </c>
      <c r="AK492" s="4" t="s">
        <v>11</v>
      </c>
      <c r="AL492" s="4" t="s">
        <v>375</v>
      </c>
      <c r="AM492" s="4" t="s">
        <v>6</v>
      </c>
      <c r="AN492" s="4" t="s">
        <v>7</v>
      </c>
      <c r="AO492" s="4" t="s">
        <v>8</v>
      </c>
      <c r="AP492" s="4" t="s">
        <v>9</v>
      </c>
      <c r="AQ492" s="4" t="s">
        <v>10</v>
      </c>
      <c r="AR492" s="4" t="s">
        <v>11</v>
      </c>
      <c r="AS492" s="4" t="s">
        <v>375</v>
      </c>
      <c r="AT492" s="4" t="s">
        <v>6</v>
      </c>
      <c r="AU492" s="4" t="s">
        <v>7</v>
      </c>
      <c r="AV492" s="4" t="s">
        <v>8</v>
      </c>
      <c r="AW492" s="4" t="s">
        <v>9</v>
      </c>
      <c r="AX492" s="4" t="s">
        <v>10</v>
      </c>
      <c r="AY492" s="4" t="s">
        <v>11</v>
      </c>
    </row>
    <row r="493" spans="1:51" x14ac:dyDescent="0.35">
      <c r="A493" s="5" t="s">
        <v>22</v>
      </c>
      <c r="B493" s="5" t="str">
        <f>INDEX(runs!$D:$D,MATCH(A493,runs!$A:$A,0))</f>
        <v>What are the remedies in merger cases in digital markets?</v>
      </c>
      <c r="C493" s="5">
        <f>COUNTIFS(F2:F486,"gpt-4o",A2:A486,$A493)</f>
        <v>20</v>
      </c>
      <c r="D493" s="5">
        <f>SUMIFS(G2:G486,F2:F486,"gpt-4o",A2:A486,$A493)</f>
        <v>161351</v>
      </c>
      <c r="E493" s="5">
        <f>SUMIFS(H2:H486,F2:F486,"gpt-4o",A2:A486,$A493)</f>
        <v>27264</v>
      </c>
      <c r="F493" s="5">
        <f>SUMIFS(I2:I486,F2:F486,"gpt-4o",A2:A486,$A493)</f>
        <v>19476</v>
      </c>
      <c r="G493" s="5">
        <f>SUMIFS(J2:J486,F2:F486,"gpt-4o",A2:A486,$A493)</f>
        <v>0</v>
      </c>
      <c r="H493" s="5">
        <f>SUMIFS(K2:K486,F2:F486,"gpt-4o",A2:A486,$A493)</f>
        <v>0.56405899999999998</v>
      </c>
      <c r="I493" s="5">
        <f>SUMIFS(L2:L486,F2:F486,"gpt-4o",A2:A486,$A493)</f>
        <v>239.73423999999997</v>
      </c>
      <c r="J493" s="5">
        <f>COUNTIFS(F2:F486,"gpt-4o-mini",A2:A486,$A493)</f>
        <v>1</v>
      </c>
      <c r="K493" s="5">
        <f>SUMIFS(G2:G486,F2:F486,"gpt-4o-mini",A2:A486,$A493)</f>
        <v>427</v>
      </c>
      <c r="L493" s="5">
        <f>SUMIFS(H2:H486,F2:F486,"gpt-4o-mini",A2:A486,$A493)</f>
        <v>0</v>
      </c>
      <c r="M493" s="5">
        <f>SUMIFS(I2:I486,F2:F486,"gpt-4o-mini",A2:A486,$A493)</f>
        <v>97</v>
      </c>
      <c r="N493" s="5">
        <f>SUMIFS(J2:J486,F2:F486,"gpt-4o-mini",A2:A486,$A493)</f>
        <v>0</v>
      </c>
      <c r="O493" s="5">
        <f>SUMIFS(K2:K486,F2:F486,"gpt-4o-mini",A2:A486,$A493)</f>
        <v>1.22E-4</v>
      </c>
      <c r="P493" s="5">
        <f>SUMIFS(L2:L486,F2:F486,"gpt-4o-mini",A2:A486,$A493)</f>
        <v>1.996683</v>
      </c>
      <c r="Q493" s="5">
        <f>COUNTIFS(F2:F486,"perplexity-search",A2:A486,$A493)</f>
        <v>0</v>
      </c>
      <c r="R493" s="5">
        <f>SUMIFS(G2:G486,F2:F486,"perplexity-search",A2:A486,$A493)</f>
        <v>0</v>
      </c>
      <c r="S493" s="5">
        <f>SUMIFS(H2:H486,F2:F486,"perplexity-search",A2:A486,$A493)</f>
        <v>0</v>
      </c>
      <c r="T493" s="5">
        <f>SUMIFS(I2:I486,F2:F486,"perplexity-search",A2:A486,$A493)</f>
        <v>0</v>
      </c>
      <c r="U493" s="5">
        <f>SUMIFS(J2:J486,F2:F486,"perplexity-search",A2:A486,$A493)</f>
        <v>0</v>
      </c>
      <c r="V493" s="5">
        <f>SUMIFS(K2:K486,F2:F486,"perplexity-search",A2:A486,$A493)</f>
        <v>0</v>
      </c>
      <c r="W493" s="5">
        <f>SUMIFS(L2:L486,F2:F486,"perplexity-search",A2:A486,$A493)</f>
        <v>0</v>
      </c>
      <c r="X493" s="5">
        <f>COUNTIFS(F2:F486,"serper",A2:A486,$A493)</f>
        <v>3</v>
      </c>
      <c r="Y493" s="5">
        <f>SUMIFS(G2:G486,F2:F486,"serper",A2:A486,$A493)</f>
        <v>0</v>
      </c>
      <c r="Z493" s="5">
        <f>SUMIFS(H2:H486,F2:F486,"serper",A2:A486,$A493)</f>
        <v>0</v>
      </c>
      <c r="AA493" s="5">
        <f>SUMIFS(I2:I486,F2:F486,"serper",A2:A486,$A493)</f>
        <v>0</v>
      </c>
      <c r="AB493" s="5">
        <f>SUMIFS(J2:J486,F2:F486,"serper",A2:A486,$A493)</f>
        <v>3.0000000000000001E-3</v>
      </c>
      <c r="AC493" s="5">
        <f>SUMIFS(K2:K486,F2:F486,"serper",A2:A486,$A493)</f>
        <v>3.0000000000000001E-3</v>
      </c>
      <c r="AD493" s="5">
        <f>SUMIFS(L2:L486,F2:F486,"serper",A2:A486,$A493)</f>
        <v>4.2818190000000005</v>
      </c>
      <c r="AE493" s="5">
        <f>COUNTIFS(F2:F486,"sonar",A2:A486,$A493)</f>
        <v>1</v>
      </c>
      <c r="AF493" s="5">
        <f>SUMIFS(G2:G486,F2:F486,"sonar",A2:A486,$A493)</f>
        <v>661</v>
      </c>
      <c r="AG493" s="5">
        <f>SUMIFS(H2:H486,F2:F486,"sonar",A2:A486,$A493)</f>
        <v>0</v>
      </c>
      <c r="AH493" s="5">
        <f>SUMIFS(I2:I486,F2:F486,"sonar",A2:A486,$A493)</f>
        <v>2314</v>
      </c>
      <c r="AI493" s="5">
        <f>SUMIFS(J2:J486,F2:F486,"sonar",A2:A486,$A493)</f>
        <v>5.0000000000000001E-3</v>
      </c>
      <c r="AJ493" s="5">
        <f>SUMIFS(K2:K486,F2:F486,"sonar",A2:A486,$A493)</f>
        <v>7.9799999999999992E-3</v>
      </c>
      <c r="AK493" s="5">
        <f>SUMIFS(L2:L486,F2:F486,"sonar",A2:A486,$A493)</f>
        <v>32.168193000000002</v>
      </c>
      <c r="AL493" s="5">
        <f>COUNTIFS(F2:F486,"sonar-pro",A2:A486,$A493)</f>
        <v>0</v>
      </c>
      <c r="AM493" s="5">
        <f>SUMIFS(G2:G486,F2:F486,"sonar-pro",A2:A486,$A493)</f>
        <v>0</v>
      </c>
      <c r="AN493" s="5">
        <f>SUMIFS(H2:H486,F2:F486,"sonar-pro",A2:A486,$A493)</f>
        <v>0</v>
      </c>
      <c r="AO493" s="5">
        <f>SUMIFS(I2:I486,F2:F486,"sonar-pro",A2:A486,$A493)</f>
        <v>0</v>
      </c>
      <c r="AP493" s="5">
        <f>SUMIFS(J2:J486,F2:F486,"sonar-pro",A2:A486,$A493)</f>
        <v>0</v>
      </c>
      <c r="AQ493" s="5">
        <f>SUMIFS(K2:K486,F2:F486,"sonar-pro",A2:A486,$A493)</f>
        <v>0</v>
      </c>
      <c r="AR493" s="5">
        <f>SUMIFS(L2:L486,F2:F486,"sonar-pro",A2:A486,$A493)</f>
        <v>0</v>
      </c>
      <c r="AS493" s="5">
        <f>COUNTIFS(F2:F486,"text-embedding-3-small",A2:A486,$A493)</f>
        <v>57</v>
      </c>
      <c r="AT493" s="5">
        <f>SUMIFS(G2:G486,F2:F486,"text-embedding-3-small",A2:A486,$A493)</f>
        <v>5532</v>
      </c>
      <c r="AU493" s="5">
        <f>SUMIFS(H2:H486,F2:F486,"text-embedding-3-small",A2:A486,$A493)</f>
        <v>0</v>
      </c>
      <c r="AV493" s="5">
        <f>SUMIFS(I2:I486,F2:F486,"text-embedding-3-small",A2:A486,$A493)</f>
        <v>0</v>
      </c>
      <c r="AW493" s="5">
        <f>SUMIFS(J2:J486,F2:F486,"text-embedding-3-small",A2:A486,$A493)</f>
        <v>0</v>
      </c>
      <c r="AX493" s="5">
        <f>SUMIFS(K2:K486,F2:F486,"text-embedding-3-small",A2:A486,$A493)</f>
        <v>1.06E-4</v>
      </c>
      <c r="AY493" s="5">
        <f>SUMIFS(L2:L486,F2:F486,"text-embedding-3-small",A2:A486,$A493)</f>
        <v>18.16141</v>
      </c>
    </row>
    <row r="494" spans="1:51" x14ac:dyDescent="0.35">
      <c r="A494" s="5" t="s">
        <v>135</v>
      </c>
      <c r="B494" s="5" t="str">
        <f>INDEX(runs!$D:$D,MATCH(A494,runs!$A:$A,0))</f>
        <v>How to assess dominance in the digital market?</v>
      </c>
      <c r="C494" s="5">
        <f>COUNTIFS(F2:F486,"gpt-4o",A2:A486,$A494)</f>
        <v>19</v>
      </c>
      <c r="D494" s="5">
        <f>SUMIFS(G2:G486,F2:F486,"gpt-4o",A2:A486,$A494)</f>
        <v>150836</v>
      </c>
      <c r="E494" s="5">
        <f>SUMIFS(H2:H486,F2:F486,"gpt-4o",A2:A486,$A494)</f>
        <v>47744</v>
      </c>
      <c r="F494" s="5">
        <f>SUMIFS(I2:I486,F2:F486,"gpt-4o",A2:A486,$A494)</f>
        <v>17201</v>
      </c>
      <c r="G494" s="5">
        <f>SUMIFS(J2:J486,F2:F486,"gpt-4o",A2:A486,$A494)</f>
        <v>0</v>
      </c>
      <c r="H494" s="5">
        <f>SUMIFS(K2:K486,F2:F486,"gpt-4o",A2:A486,$A494)</f>
        <v>0.48942099999999999</v>
      </c>
      <c r="I494" s="5">
        <f>SUMIFS(L2:L486,F2:F486,"gpt-4o",A2:A486,$A494)</f>
        <v>206.579565</v>
      </c>
      <c r="J494" s="5">
        <f>COUNTIFS(F2:F486,"gpt-4o-mini",A2:A486,$A494)</f>
        <v>1</v>
      </c>
      <c r="K494" s="5">
        <f>SUMIFS(G2:G486,F2:F486,"gpt-4o-mini",A2:A486,$A494)</f>
        <v>425</v>
      </c>
      <c r="L494" s="5">
        <f>SUMIFS(H2:H486,F2:F486,"gpt-4o-mini",A2:A486,$A494)</f>
        <v>0</v>
      </c>
      <c r="M494" s="5">
        <f>SUMIFS(I2:I486,F2:F486,"gpt-4o-mini",A2:A486,$A494)</f>
        <v>73</v>
      </c>
      <c r="N494" s="5">
        <f>SUMIFS(J2:J486,F2:F486,"gpt-4o-mini",A2:A486,$A494)</f>
        <v>0</v>
      </c>
      <c r="O494" s="5">
        <f>SUMIFS(K2:K486,F2:F486,"gpt-4o-mini",A2:A486,$A494)</f>
        <v>1.08E-4</v>
      </c>
      <c r="P494" s="5">
        <f>SUMIFS(L2:L486,F2:F486,"gpt-4o-mini",A2:A486,$A494)</f>
        <v>2.266537</v>
      </c>
      <c r="Q494" s="5">
        <f>COUNTIFS(F2:F486,"perplexity-search",A2:A486,$A494)</f>
        <v>0</v>
      </c>
      <c r="R494" s="5">
        <f>SUMIFS(G2:G486,F2:F486,"perplexity-search",A2:A486,$A494)</f>
        <v>0</v>
      </c>
      <c r="S494" s="5">
        <f>SUMIFS(H2:H486,F2:F486,"perplexity-search",A2:A486,$A494)</f>
        <v>0</v>
      </c>
      <c r="T494" s="5">
        <f>SUMIFS(I2:I486,F2:F486,"perplexity-search",A2:A486,$A494)</f>
        <v>0</v>
      </c>
      <c r="U494" s="5">
        <f>SUMIFS(J2:J486,F2:F486,"perplexity-search",A2:A486,$A494)</f>
        <v>0</v>
      </c>
      <c r="V494" s="5">
        <f>SUMIFS(K2:K486,F2:F486,"perplexity-search",A2:A486,$A494)</f>
        <v>0</v>
      </c>
      <c r="W494" s="5">
        <f>SUMIFS(L2:L486,F2:F486,"perplexity-search",A2:A486,$A494)</f>
        <v>0</v>
      </c>
      <c r="X494" s="5">
        <f>COUNTIFS(F2:F486,"serper",A2:A486,$A494)</f>
        <v>10</v>
      </c>
      <c r="Y494" s="5">
        <f>SUMIFS(G2:G486,F2:F486,"serper",A2:A486,$A494)</f>
        <v>0</v>
      </c>
      <c r="Z494" s="5">
        <f>SUMIFS(H2:H486,F2:F486,"serper",A2:A486,$A494)</f>
        <v>0</v>
      </c>
      <c r="AA494" s="5">
        <f>SUMIFS(I2:I486,F2:F486,"serper",A2:A486,$A494)</f>
        <v>0</v>
      </c>
      <c r="AB494" s="5">
        <f>SUMIFS(J2:J486,F2:F486,"serper",A2:A486,$A494)</f>
        <v>1.0000000000000002E-2</v>
      </c>
      <c r="AC494" s="5">
        <f>SUMIFS(K2:K486,F2:F486,"serper",A2:A486,$A494)</f>
        <v>1.0000000000000002E-2</v>
      </c>
      <c r="AD494" s="5">
        <f>SUMIFS(L2:L486,F2:F486,"serper",A2:A486,$A494)</f>
        <v>11.827178</v>
      </c>
      <c r="AE494" s="5">
        <f>COUNTIFS(F2:F486,"sonar",A2:A486,$A494)</f>
        <v>1</v>
      </c>
      <c r="AF494" s="5">
        <f>SUMIFS(G2:G486,F2:F486,"sonar",A2:A486,$A494)</f>
        <v>670</v>
      </c>
      <c r="AG494" s="5">
        <f>SUMIFS(H2:H486,F2:F486,"sonar",A2:A486,$A494)</f>
        <v>0</v>
      </c>
      <c r="AH494" s="5">
        <f>SUMIFS(I2:I486,F2:F486,"sonar",A2:A486,$A494)</f>
        <v>2630</v>
      </c>
      <c r="AI494" s="5">
        <f>SUMIFS(J2:J486,F2:F486,"sonar",A2:A486,$A494)</f>
        <v>5.0000000000000001E-3</v>
      </c>
      <c r="AJ494" s="5">
        <f>SUMIFS(K2:K486,F2:F486,"sonar",A2:A486,$A494)</f>
        <v>8.3000000000000001E-3</v>
      </c>
      <c r="AK494" s="5">
        <f>SUMIFS(L2:L486,F2:F486,"sonar",A2:A486,$A494)</f>
        <v>31.82978</v>
      </c>
      <c r="AL494" s="5">
        <f>COUNTIFS(F2:F486,"sonar-pro",A2:A486,$A494)</f>
        <v>0</v>
      </c>
      <c r="AM494" s="5">
        <f>SUMIFS(G2:G486,F2:F486,"sonar-pro",A2:A486,$A494)</f>
        <v>0</v>
      </c>
      <c r="AN494" s="5">
        <f>SUMIFS(H2:H486,F2:F486,"sonar-pro",A2:A486,$A494)</f>
        <v>0</v>
      </c>
      <c r="AO494" s="5">
        <f>SUMIFS(I2:I486,F2:F486,"sonar-pro",A2:A486,$A494)</f>
        <v>0</v>
      </c>
      <c r="AP494" s="5">
        <f>SUMIFS(J2:J486,F2:F486,"sonar-pro",A2:A486,$A494)</f>
        <v>0</v>
      </c>
      <c r="AQ494" s="5">
        <f>SUMIFS(K2:K486,F2:F486,"sonar-pro",A2:A486,$A494)</f>
        <v>0</v>
      </c>
      <c r="AR494" s="5">
        <f>SUMIFS(L2:L486,F2:F486,"sonar-pro",A2:A486,$A494)</f>
        <v>0</v>
      </c>
      <c r="AS494" s="5">
        <f>COUNTIFS(F2:F486,"text-embedding-3-small",A2:A486,$A494)</f>
        <v>56</v>
      </c>
      <c r="AT494" s="5">
        <f>SUMIFS(G2:G486,F2:F486,"text-embedding-3-small",A2:A486,$A494)</f>
        <v>1507</v>
      </c>
      <c r="AU494" s="5">
        <f>SUMIFS(H2:H486,F2:F486,"text-embedding-3-small",A2:A486,$A494)</f>
        <v>0</v>
      </c>
      <c r="AV494" s="5">
        <f>SUMIFS(I2:I486,F2:F486,"text-embedding-3-small",A2:A486,$A494)</f>
        <v>0</v>
      </c>
      <c r="AW494" s="5">
        <f>SUMIFS(J2:J486,F2:F486,"text-embedding-3-small",A2:A486,$A494)</f>
        <v>0</v>
      </c>
      <c r="AX494" s="5">
        <f>SUMIFS(K2:K486,F2:F486,"text-embedding-3-small",A2:A486,$A494)</f>
        <v>2.4999999999999998E-5</v>
      </c>
      <c r="AY494" s="5">
        <f>SUMIFS(L2:L486,F2:F486,"text-embedding-3-small",A2:A486,$A494)</f>
        <v>19.068356000000001</v>
      </c>
    </row>
    <row r="495" spans="1:51" x14ac:dyDescent="0.35">
      <c r="A495" s="5" t="s">
        <v>189</v>
      </c>
      <c r="B495" s="5" t="str">
        <f>INDEX(runs!$D:$D,MATCH(A495,runs!$A:$A,0))</f>
        <v>How to assess dominance in multi-sided market?</v>
      </c>
      <c r="C495" s="5">
        <f>COUNTIFS(F2:F486,"gpt-4o",A2:A486,$A495)</f>
        <v>13</v>
      </c>
      <c r="D495" s="5">
        <f>SUMIFS(G2:G486,F2:F486,"gpt-4o",A2:A486,$A495)</f>
        <v>112038</v>
      </c>
      <c r="E495" s="5">
        <f>SUMIFS(H2:H486,F2:F486,"gpt-4o",A2:A486,$A495)</f>
        <v>26880</v>
      </c>
      <c r="F495" s="5">
        <f>SUMIFS(I2:I486,F2:F486,"gpt-4o",A2:A486,$A495)</f>
        <v>12216</v>
      </c>
      <c r="G495" s="5">
        <f>SUMIFS(J2:J486,F2:F486,"gpt-4o",A2:A486,$A495)</f>
        <v>0</v>
      </c>
      <c r="H495" s="5">
        <f>SUMIFS(K2:K486,F2:F486,"gpt-4o",A2:A486,$A495)</f>
        <v>0.36865699999999996</v>
      </c>
      <c r="I495" s="5">
        <f>SUMIFS(L2:L486,F2:F486,"gpt-4o",A2:A486,$A495)</f>
        <v>134.54833299999999</v>
      </c>
      <c r="J495" s="5">
        <f>COUNTIFS(F2:F486,"gpt-4o-mini",A2:A486,$A495)</f>
        <v>1</v>
      </c>
      <c r="K495" s="5">
        <f>SUMIFS(G2:G486,F2:F486,"gpt-4o-mini",A2:A486,$A495)</f>
        <v>425</v>
      </c>
      <c r="L495" s="5">
        <f>SUMIFS(H2:H486,F2:F486,"gpt-4o-mini",A2:A486,$A495)</f>
        <v>0</v>
      </c>
      <c r="M495" s="5">
        <f>SUMIFS(I2:I486,F2:F486,"gpt-4o-mini",A2:A486,$A495)</f>
        <v>75</v>
      </c>
      <c r="N495" s="5">
        <f>SUMIFS(J2:J486,F2:F486,"gpt-4o-mini",A2:A486,$A495)</f>
        <v>0</v>
      </c>
      <c r="O495" s="5">
        <f>SUMIFS(K2:K486,F2:F486,"gpt-4o-mini",A2:A486,$A495)</f>
        <v>1.0900000000000001E-4</v>
      </c>
      <c r="P495" s="5">
        <f>SUMIFS(L2:L486,F2:F486,"gpt-4o-mini",A2:A486,$A495)</f>
        <v>4.8498590000000004</v>
      </c>
      <c r="Q495" s="5">
        <f>COUNTIFS(F2:F486,"perplexity-search",A2:A486,$A495)</f>
        <v>0</v>
      </c>
      <c r="R495" s="5">
        <f>SUMIFS(G2:G486,F2:F486,"perplexity-search",A2:A486,$A495)</f>
        <v>0</v>
      </c>
      <c r="S495" s="5">
        <f>SUMIFS(H2:H486,F2:F486,"perplexity-search",A2:A486,$A495)</f>
        <v>0</v>
      </c>
      <c r="T495" s="5">
        <f>SUMIFS(I2:I486,F2:F486,"perplexity-search",A2:A486,$A495)</f>
        <v>0</v>
      </c>
      <c r="U495" s="5">
        <f>SUMIFS(J2:J486,F2:F486,"perplexity-search",A2:A486,$A495)</f>
        <v>0</v>
      </c>
      <c r="V495" s="5">
        <f>SUMIFS(K2:K486,F2:F486,"perplexity-search",A2:A486,$A495)</f>
        <v>0</v>
      </c>
      <c r="W495" s="5">
        <f>SUMIFS(L2:L486,F2:F486,"perplexity-search",A2:A486,$A495)</f>
        <v>0</v>
      </c>
      <c r="X495" s="5">
        <f>COUNTIFS(F2:F486,"serper",A2:A486,$A495)</f>
        <v>0</v>
      </c>
      <c r="Y495" s="5">
        <f>SUMIFS(G2:G486,F2:F486,"serper",A2:A486,$A495)</f>
        <v>0</v>
      </c>
      <c r="Z495" s="5">
        <f>SUMIFS(H2:H486,F2:F486,"serper",A2:A486,$A495)</f>
        <v>0</v>
      </c>
      <c r="AA495" s="5">
        <f>SUMIFS(I2:I486,F2:F486,"serper",A2:A486,$A495)</f>
        <v>0</v>
      </c>
      <c r="AB495" s="5">
        <f>SUMIFS(J2:J486,F2:F486,"serper",A2:A486,$A495)</f>
        <v>0</v>
      </c>
      <c r="AC495" s="5">
        <f>SUMIFS(K2:K486,F2:F486,"serper",A2:A486,$A495)</f>
        <v>0</v>
      </c>
      <c r="AD495" s="5">
        <f>SUMIFS(L2:L486,F2:F486,"serper",A2:A486,$A495)</f>
        <v>0</v>
      </c>
      <c r="AE495" s="5">
        <f>COUNTIFS(F2:F486,"sonar",A2:A486,$A495)</f>
        <v>1</v>
      </c>
      <c r="AF495" s="5">
        <f>SUMIFS(G2:G486,F2:F486,"sonar",A2:A486,$A495)</f>
        <v>673</v>
      </c>
      <c r="AG495" s="5">
        <f>SUMIFS(H2:H486,F2:F486,"sonar",A2:A486,$A495)</f>
        <v>0</v>
      </c>
      <c r="AH495" s="5">
        <f>SUMIFS(I2:I486,F2:F486,"sonar",A2:A486,$A495)</f>
        <v>2951</v>
      </c>
      <c r="AI495" s="5">
        <f>SUMIFS(J2:J486,F2:F486,"sonar",A2:A486,$A495)</f>
        <v>5.0000000000000001E-3</v>
      </c>
      <c r="AJ495" s="5">
        <f>SUMIFS(K2:K486,F2:F486,"sonar",A2:A486,$A495)</f>
        <v>8.6199999999999992E-3</v>
      </c>
      <c r="AK495" s="5">
        <f>SUMIFS(L2:L486,F2:F486,"sonar",A2:A486,$A495)</f>
        <v>31.410229999999999</v>
      </c>
      <c r="AL495" s="5">
        <f>COUNTIFS(F2:F486,"sonar-pro",A2:A486,$A495)</f>
        <v>0</v>
      </c>
      <c r="AM495" s="5">
        <f>SUMIFS(G2:G486,F2:F486,"sonar-pro",A2:A486,$A495)</f>
        <v>0</v>
      </c>
      <c r="AN495" s="5">
        <f>SUMIFS(H2:H486,F2:F486,"sonar-pro",A2:A486,$A495)</f>
        <v>0</v>
      </c>
      <c r="AO495" s="5">
        <f>SUMIFS(I2:I486,F2:F486,"sonar-pro",A2:A486,$A495)</f>
        <v>0</v>
      </c>
      <c r="AP495" s="5">
        <f>SUMIFS(J2:J486,F2:F486,"sonar-pro",A2:A486,$A495)</f>
        <v>0</v>
      </c>
      <c r="AQ495" s="5">
        <f>SUMIFS(K2:K486,F2:F486,"sonar-pro",A2:A486,$A495)</f>
        <v>0</v>
      </c>
      <c r="AR495" s="5">
        <f>SUMIFS(L2:L486,F2:F486,"sonar-pro",A2:A486,$A495)</f>
        <v>0</v>
      </c>
      <c r="AS495" s="5">
        <f>COUNTIFS(F2:F486,"text-embedding-3-small",A2:A486,$A495)</f>
        <v>50</v>
      </c>
      <c r="AT495" s="5">
        <f>SUMIFS(G2:G486,F2:F486,"text-embedding-3-small",A2:A486,$A495)</f>
        <v>852</v>
      </c>
      <c r="AU495" s="5">
        <f>SUMIFS(H2:H486,F2:F486,"text-embedding-3-small",A2:A486,$A495)</f>
        <v>0</v>
      </c>
      <c r="AV495" s="5">
        <f>SUMIFS(I2:I486,F2:F486,"text-embedding-3-small",A2:A486,$A495)</f>
        <v>0</v>
      </c>
      <c r="AW495" s="5">
        <f>SUMIFS(J2:J486,F2:F486,"text-embedding-3-small",A2:A486,$A495)</f>
        <v>0</v>
      </c>
      <c r="AX495" s="5">
        <f>SUMIFS(K2:K486,F2:F486,"text-embedding-3-small",A2:A486,$A495)</f>
        <v>1.2E-5</v>
      </c>
      <c r="AY495" s="5">
        <f>SUMIFS(L2:L486,F2:F486,"text-embedding-3-small",A2:A486,$A495)</f>
        <v>12.898171</v>
      </c>
    </row>
    <row r="496" spans="1:51" x14ac:dyDescent="0.35">
      <c r="A496" s="5" t="s">
        <v>224</v>
      </c>
      <c r="B496" s="5" t="str">
        <f>INDEX(runs!$D:$D,MATCH(A496,runs!$A:$A,0))</f>
        <v>How to determine a price-fixing cartel?</v>
      </c>
      <c r="C496" s="5">
        <f>COUNTIFS(F2:F486,"gpt-4o",A2:A486,$A496)</f>
        <v>12</v>
      </c>
      <c r="D496" s="5">
        <f>SUMIFS(G2:G486,F2:F486,"gpt-4o",A2:A486,$A496)</f>
        <v>84026</v>
      </c>
      <c r="E496" s="5">
        <f>SUMIFS(H2:H486,F2:F486,"gpt-4o",A2:A486,$A496)</f>
        <v>1024</v>
      </c>
      <c r="F496" s="5">
        <f>SUMIFS(I2:I486,F2:F486,"gpt-4o",A2:A486,$A496)</f>
        <v>9512</v>
      </c>
      <c r="G496" s="5">
        <f>SUMIFS(J2:J486,F2:F486,"gpt-4o",A2:A486,$A496)</f>
        <v>0</v>
      </c>
      <c r="H496" s="5">
        <f>SUMIFS(K2:K486,F2:F486,"gpt-4o",A2:A486,$A496)</f>
        <v>0.30390499999999998</v>
      </c>
      <c r="I496" s="5">
        <f>SUMIFS(L2:L486,F2:F486,"gpt-4o",A2:A486,$A496)</f>
        <v>117.41511399999999</v>
      </c>
      <c r="J496" s="5">
        <f>COUNTIFS(F2:F486,"gpt-4o-mini",A2:A486,$A496)</f>
        <v>1</v>
      </c>
      <c r="K496" s="5">
        <f>SUMIFS(G2:G486,F2:F486,"gpt-4o-mini",A2:A486,$A496)</f>
        <v>425</v>
      </c>
      <c r="L496" s="5">
        <f>SUMIFS(H2:H486,F2:F486,"gpt-4o-mini",A2:A486,$A496)</f>
        <v>0</v>
      </c>
      <c r="M496" s="5">
        <f>SUMIFS(I2:I486,F2:F486,"gpt-4o-mini",A2:A486,$A496)</f>
        <v>92</v>
      </c>
      <c r="N496" s="5">
        <f>SUMIFS(J2:J486,F2:F486,"gpt-4o-mini",A2:A486,$A496)</f>
        <v>0</v>
      </c>
      <c r="O496" s="5">
        <f>SUMIFS(K2:K486,F2:F486,"gpt-4o-mini",A2:A486,$A496)</f>
        <v>1.1900000000000001E-4</v>
      </c>
      <c r="P496" s="5">
        <f>SUMIFS(L2:L486,F2:F486,"gpt-4o-mini",A2:A486,$A496)</f>
        <v>2.022494</v>
      </c>
      <c r="Q496" s="5">
        <f>COUNTIFS(F2:F486,"perplexity-search",A2:A486,$A496)</f>
        <v>0</v>
      </c>
      <c r="R496" s="5">
        <f>SUMIFS(G2:G486,F2:F486,"perplexity-search",A2:A486,$A496)</f>
        <v>0</v>
      </c>
      <c r="S496" s="5">
        <f>SUMIFS(H2:H486,F2:F486,"perplexity-search",A2:A486,$A496)</f>
        <v>0</v>
      </c>
      <c r="T496" s="5">
        <f>SUMIFS(I2:I486,F2:F486,"perplexity-search",A2:A486,$A496)</f>
        <v>0</v>
      </c>
      <c r="U496" s="5">
        <f>SUMIFS(J2:J486,F2:F486,"perplexity-search",A2:A486,$A496)</f>
        <v>0</v>
      </c>
      <c r="V496" s="5">
        <f>SUMIFS(K2:K486,F2:F486,"perplexity-search",A2:A486,$A496)</f>
        <v>0</v>
      </c>
      <c r="W496" s="5">
        <f>SUMIFS(L2:L486,F2:F486,"perplexity-search",A2:A486,$A496)</f>
        <v>0</v>
      </c>
      <c r="X496" s="5">
        <f>COUNTIFS(F2:F486,"serper",A2:A486,$A496)</f>
        <v>1</v>
      </c>
      <c r="Y496" s="5">
        <f>SUMIFS(G2:G486,F2:F486,"serper",A2:A486,$A496)</f>
        <v>0</v>
      </c>
      <c r="Z496" s="5">
        <f>SUMIFS(H2:H486,F2:F486,"serper",A2:A486,$A496)</f>
        <v>0</v>
      </c>
      <c r="AA496" s="5">
        <f>SUMIFS(I2:I486,F2:F486,"serper",A2:A486,$A496)</f>
        <v>0</v>
      </c>
      <c r="AB496" s="5">
        <f>SUMIFS(J2:J486,F2:F486,"serper",A2:A486,$A496)</f>
        <v>1E-3</v>
      </c>
      <c r="AC496" s="5">
        <f>SUMIFS(K2:K486,F2:F486,"serper",A2:A486,$A496)</f>
        <v>1E-3</v>
      </c>
      <c r="AD496" s="5">
        <f>SUMIFS(L2:L486,F2:F486,"serper",A2:A486,$A496)</f>
        <v>1.2174700000000001</v>
      </c>
      <c r="AE496" s="5">
        <f>COUNTIFS(F2:F486,"sonar",A2:A486,$A496)</f>
        <v>1</v>
      </c>
      <c r="AF496" s="5">
        <f>SUMIFS(G2:G486,F2:F486,"sonar",A2:A486,$A496)</f>
        <v>679</v>
      </c>
      <c r="AG496" s="5">
        <f>SUMIFS(H2:H486,F2:F486,"sonar",A2:A486,$A496)</f>
        <v>0</v>
      </c>
      <c r="AH496" s="5">
        <f>SUMIFS(I2:I486,F2:F486,"sonar",A2:A486,$A496)</f>
        <v>1860</v>
      </c>
      <c r="AI496" s="5">
        <f>SUMIFS(J2:J486,F2:F486,"sonar",A2:A486,$A496)</f>
        <v>5.0000000000000001E-3</v>
      </c>
      <c r="AJ496" s="5">
        <f>SUMIFS(K2:K486,F2:F486,"sonar",A2:A486,$A496)</f>
        <v>7.5399999999999998E-3</v>
      </c>
      <c r="AK496" s="5">
        <f>SUMIFS(L2:L486,F2:F486,"sonar",A2:A486,$A496)</f>
        <v>24.265657000000001</v>
      </c>
      <c r="AL496" s="5">
        <f>COUNTIFS(F2:F486,"sonar-pro",A2:A486,$A496)</f>
        <v>0</v>
      </c>
      <c r="AM496" s="5">
        <f>SUMIFS(G2:G486,F2:F486,"sonar-pro",A2:A486,$A496)</f>
        <v>0</v>
      </c>
      <c r="AN496" s="5">
        <f>SUMIFS(H2:H486,F2:F486,"sonar-pro",A2:A486,$A496)</f>
        <v>0</v>
      </c>
      <c r="AO496" s="5">
        <f>SUMIFS(I2:I486,F2:F486,"sonar-pro",A2:A486,$A496)</f>
        <v>0</v>
      </c>
      <c r="AP496" s="5">
        <f>SUMIFS(J2:J486,F2:F486,"sonar-pro",A2:A486,$A496)</f>
        <v>0</v>
      </c>
      <c r="AQ496" s="5">
        <f>SUMIFS(K2:K486,F2:F486,"sonar-pro",A2:A486,$A496)</f>
        <v>0</v>
      </c>
      <c r="AR496" s="5">
        <f>SUMIFS(L2:L486,F2:F486,"sonar-pro",A2:A486,$A496)</f>
        <v>0</v>
      </c>
      <c r="AS496" s="5">
        <f>COUNTIFS(F2:F486,"text-embedding-3-small",A2:A486,$A496)</f>
        <v>37</v>
      </c>
      <c r="AT496" s="5">
        <f>SUMIFS(G2:G486,F2:F486,"text-embedding-3-small",A2:A486,$A496)</f>
        <v>142531</v>
      </c>
      <c r="AU496" s="5">
        <f>SUMIFS(H2:H486,F2:F486,"text-embedding-3-small",A2:A486,$A496)</f>
        <v>0</v>
      </c>
      <c r="AV496" s="5">
        <f>SUMIFS(I2:I486,F2:F486,"text-embedding-3-small",A2:A486,$A496)</f>
        <v>0</v>
      </c>
      <c r="AW496" s="5">
        <f>SUMIFS(J2:J486,F2:F486,"text-embedding-3-small",A2:A486,$A496)</f>
        <v>0</v>
      </c>
      <c r="AX496" s="5">
        <f>SUMIFS(K2:K486,F2:F486,"text-embedding-3-small",A2:A486,$A496)</f>
        <v>2.846E-3</v>
      </c>
      <c r="AY496" s="5">
        <f>SUMIFS(L2:L486,F2:F486,"text-embedding-3-small",A2:A486,$A496)</f>
        <v>12.337232</v>
      </c>
    </row>
    <row r="497" spans="1:51" x14ac:dyDescent="0.35">
      <c r="A497" s="5" t="s">
        <v>254</v>
      </c>
      <c r="B497" s="5" t="str">
        <f>INDEX(runs!$D:$D,MATCH(A497,runs!$A:$A,0))</f>
        <v>Explain resale price maintenance and why it is treated as a by-object restriction.</v>
      </c>
      <c r="C497" s="5">
        <f>COUNTIFS(F2:F486,"gpt-4o",A2:A486,$A497)</f>
        <v>14</v>
      </c>
      <c r="D497" s="5">
        <f>SUMIFS(G2:G486,F2:F486,"gpt-4o",A2:A486,$A497)</f>
        <v>105296</v>
      </c>
      <c r="E497" s="5">
        <f>SUMIFS(H2:H486,F2:F486,"gpt-4o",A2:A486,$A497)</f>
        <v>1024</v>
      </c>
      <c r="F497" s="5">
        <f>SUMIFS(I2:I486,F2:F486,"gpt-4o",A2:A486,$A497)</f>
        <v>12461</v>
      </c>
      <c r="G497" s="5">
        <f>SUMIFS(J2:J486,F2:F486,"gpt-4o",A2:A486,$A497)</f>
        <v>0</v>
      </c>
      <c r="H497" s="5">
        <f>SUMIFS(K2:K486,F2:F486,"gpt-4o",A2:A486,$A497)</f>
        <v>0.38656999999999997</v>
      </c>
      <c r="I497" s="5">
        <f>SUMIFS(L2:L486,F2:F486,"gpt-4o",A2:A486,$A497)</f>
        <v>192.25070499999998</v>
      </c>
      <c r="J497" s="5">
        <f>COUNTIFS(F2:F486,"gpt-4o-mini",A2:A486,$A497)</f>
        <v>1</v>
      </c>
      <c r="K497" s="5">
        <f>SUMIFS(G2:G486,F2:F486,"gpt-4o-mini",A2:A486,$A497)</f>
        <v>431</v>
      </c>
      <c r="L497" s="5">
        <f>SUMIFS(H2:H486,F2:F486,"gpt-4o-mini",A2:A486,$A497)</f>
        <v>0</v>
      </c>
      <c r="M497" s="5">
        <f>SUMIFS(I2:I486,F2:F486,"gpt-4o-mini",A2:A486,$A497)</f>
        <v>83</v>
      </c>
      <c r="N497" s="5">
        <f>SUMIFS(J2:J486,F2:F486,"gpt-4o-mini",A2:A486,$A497)</f>
        <v>0</v>
      </c>
      <c r="O497" s="5">
        <f>SUMIFS(K2:K486,F2:F486,"gpt-4o-mini",A2:A486,$A497)</f>
        <v>1.1400000000000001E-4</v>
      </c>
      <c r="P497" s="5">
        <f>SUMIFS(L2:L486,F2:F486,"gpt-4o-mini",A2:A486,$A497)</f>
        <v>1.5741400000000001</v>
      </c>
      <c r="Q497" s="5">
        <f>COUNTIFS(F2:F486,"perplexity-search",A2:A486,$A497)</f>
        <v>0</v>
      </c>
      <c r="R497" s="5">
        <f>SUMIFS(G2:G486,F2:F486,"perplexity-search",A2:A486,$A497)</f>
        <v>0</v>
      </c>
      <c r="S497" s="5">
        <f>SUMIFS(H2:H486,F2:F486,"perplexity-search",A2:A486,$A497)</f>
        <v>0</v>
      </c>
      <c r="T497" s="5">
        <f>SUMIFS(I2:I486,F2:F486,"perplexity-search",A2:A486,$A497)</f>
        <v>0</v>
      </c>
      <c r="U497" s="5">
        <f>SUMIFS(J2:J486,F2:F486,"perplexity-search",A2:A486,$A497)</f>
        <v>0</v>
      </c>
      <c r="V497" s="5">
        <f>SUMIFS(K2:K486,F2:F486,"perplexity-search",A2:A486,$A497)</f>
        <v>0</v>
      </c>
      <c r="W497" s="5">
        <f>SUMIFS(L2:L486,F2:F486,"perplexity-search",A2:A486,$A497)</f>
        <v>0</v>
      </c>
      <c r="X497" s="5">
        <f>COUNTIFS(F2:F486,"serper",A2:A486,$A497)</f>
        <v>0</v>
      </c>
      <c r="Y497" s="5">
        <f>SUMIFS(G2:G486,F2:F486,"serper",A2:A486,$A497)</f>
        <v>0</v>
      </c>
      <c r="Z497" s="5">
        <f>SUMIFS(H2:H486,F2:F486,"serper",A2:A486,$A497)</f>
        <v>0</v>
      </c>
      <c r="AA497" s="5">
        <f>SUMIFS(I2:I486,F2:F486,"serper",A2:A486,$A497)</f>
        <v>0</v>
      </c>
      <c r="AB497" s="5">
        <f>SUMIFS(J2:J486,F2:F486,"serper",A2:A486,$A497)</f>
        <v>0</v>
      </c>
      <c r="AC497" s="5">
        <f>SUMIFS(K2:K486,F2:F486,"serper",A2:A486,$A497)</f>
        <v>0</v>
      </c>
      <c r="AD497" s="5">
        <f>SUMIFS(L2:L486,F2:F486,"serper",A2:A486,$A497)</f>
        <v>0</v>
      </c>
      <c r="AE497" s="5">
        <f>COUNTIFS(F2:F486,"sonar",A2:A486,$A497)</f>
        <v>1</v>
      </c>
      <c r="AF497" s="5">
        <f>SUMIFS(G2:G486,F2:F486,"sonar",A2:A486,$A497)</f>
        <v>681</v>
      </c>
      <c r="AG497" s="5">
        <f>SUMIFS(H2:H486,F2:F486,"sonar",A2:A486,$A497)</f>
        <v>0</v>
      </c>
      <c r="AH497" s="5">
        <f>SUMIFS(I2:I486,F2:F486,"sonar",A2:A486,$A497)</f>
        <v>1309</v>
      </c>
      <c r="AI497" s="5">
        <f>SUMIFS(J2:J486,F2:F486,"sonar",A2:A486,$A497)</f>
        <v>5.0000000000000001E-3</v>
      </c>
      <c r="AJ497" s="5">
        <f>SUMIFS(K2:K486,F2:F486,"sonar",A2:A486,$A497)</f>
        <v>6.9899999999999997E-3</v>
      </c>
      <c r="AK497" s="5">
        <f>SUMIFS(L2:L486,F2:F486,"sonar",A2:A486,$A497)</f>
        <v>15.542883</v>
      </c>
      <c r="AL497" s="5">
        <f>COUNTIFS(F2:F486,"sonar-pro",A2:A486,$A497)</f>
        <v>0</v>
      </c>
      <c r="AM497" s="5">
        <f>SUMIFS(G2:G486,F2:F486,"sonar-pro",A2:A486,$A497)</f>
        <v>0</v>
      </c>
      <c r="AN497" s="5">
        <f>SUMIFS(H2:H486,F2:F486,"sonar-pro",A2:A486,$A497)</f>
        <v>0</v>
      </c>
      <c r="AO497" s="5">
        <f>SUMIFS(I2:I486,F2:F486,"sonar-pro",A2:A486,$A497)</f>
        <v>0</v>
      </c>
      <c r="AP497" s="5">
        <f>SUMIFS(J2:J486,F2:F486,"sonar-pro",A2:A486,$A497)</f>
        <v>0</v>
      </c>
      <c r="AQ497" s="5">
        <f>SUMIFS(K2:K486,F2:F486,"sonar-pro",A2:A486,$A497)</f>
        <v>0</v>
      </c>
      <c r="AR497" s="5">
        <f>SUMIFS(L2:L486,F2:F486,"sonar-pro",A2:A486,$A497)</f>
        <v>0</v>
      </c>
      <c r="AS497" s="5">
        <f>COUNTIFS(F2:F486,"text-embedding-3-small",A2:A486,$A497)</f>
        <v>44</v>
      </c>
      <c r="AT497" s="5">
        <f>SUMIFS(G2:G486,F2:F486,"text-embedding-3-small",A2:A486,$A497)</f>
        <v>951</v>
      </c>
      <c r="AU497" s="5">
        <f>SUMIFS(H2:H486,F2:F486,"text-embedding-3-small",A2:A486,$A497)</f>
        <v>0</v>
      </c>
      <c r="AV497" s="5">
        <f>SUMIFS(I2:I486,F2:F486,"text-embedding-3-small",A2:A486,$A497)</f>
        <v>0</v>
      </c>
      <c r="AW497" s="5">
        <f>SUMIFS(J2:J486,F2:F486,"text-embedding-3-small",A2:A486,$A497)</f>
        <v>0</v>
      </c>
      <c r="AX497" s="5">
        <f>SUMIFS(K2:K486,F2:F486,"text-embedding-3-small",A2:A486,$A497)</f>
        <v>1.5000000000000002E-5</v>
      </c>
      <c r="AY497" s="5">
        <f>SUMIFS(L2:L486,F2:F486,"text-embedding-3-small",A2:A486,$A497)</f>
        <v>11.239557999999999</v>
      </c>
    </row>
    <row r="498" spans="1:51" x14ac:dyDescent="0.35">
      <c r="A498" s="5" t="s">
        <v>286</v>
      </c>
      <c r="B498" s="5" t="str">
        <f>INDEX(runs!$D:$D,MATCH(A498,runs!$A:$A,0))</f>
        <v>What are the most important indicators used in merger assessment?</v>
      </c>
      <c r="C498" s="5">
        <f>COUNTIFS(F2:F486,"gpt-4o",A2:A486,$A498)</f>
        <v>14</v>
      </c>
      <c r="D498" s="5">
        <f>SUMIFS(G2:G486,F2:F486,"gpt-4o",A2:A486,$A498)</f>
        <v>111025</v>
      </c>
      <c r="E498" s="5">
        <f>SUMIFS(H2:H486,F2:F486,"gpt-4o",A2:A486,$A498)</f>
        <v>23168</v>
      </c>
      <c r="F498" s="5">
        <f>SUMIFS(I2:I486,F2:F486,"gpt-4o",A2:A486,$A498)</f>
        <v>15356</v>
      </c>
      <c r="G498" s="5">
        <f>SUMIFS(J2:J486,F2:F486,"gpt-4o",A2:A486,$A498)</f>
        <v>0</v>
      </c>
      <c r="H498" s="5">
        <f>SUMIFS(K2:K486,F2:F486,"gpt-4o",A2:A486,$A498)</f>
        <v>0.40216399999999997</v>
      </c>
      <c r="I498" s="5">
        <f>SUMIFS(L2:L486,F2:F486,"gpt-4o",A2:A486,$A498)</f>
        <v>198.75312999999997</v>
      </c>
      <c r="J498" s="5">
        <f>COUNTIFS(F2:F486,"gpt-4o-mini",A2:A486,$A498)</f>
        <v>1</v>
      </c>
      <c r="K498" s="5">
        <f>SUMIFS(G2:G486,F2:F486,"gpt-4o-mini",A2:A486,$A498)</f>
        <v>427</v>
      </c>
      <c r="L498" s="5">
        <f>SUMIFS(H2:H486,F2:F486,"gpt-4o-mini",A2:A486,$A498)</f>
        <v>0</v>
      </c>
      <c r="M498" s="5">
        <f>SUMIFS(I2:I486,F2:F486,"gpt-4o-mini",A2:A486,$A498)</f>
        <v>82</v>
      </c>
      <c r="N498" s="5">
        <f>SUMIFS(J2:J486,F2:F486,"gpt-4o-mini",A2:A486,$A498)</f>
        <v>0</v>
      </c>
      <c r="O498" s="5">
        <f>SUMIFS(K2:K486,F2:F486,"gpt-4o-mini",A2:A486,$A498)</f>
        <v>1.13E-4</v>
      </c>
      <c r="P498" s="5">
        <f>SUMIFS(L2:L486,F2:F486,"gpt-4o-mini",A2:A486,$A498)</f>
        <v>2.0533269999999999</v>
      </c>
      <c r="Q498" s="5">
        <f>COUNTIFS(F2:F486,"perplexity-search",A2:A486,$A498)</f>
        <v>0</v>
      </c>
      <c r="R498" s="5">
        <f>SUMIFS(G2:G486,F2:F486,"perplexity-search",A2:A486,$A498)</f>
        <v>0</v>
      </c>
      <c r="S498" s="5">
        <f>SUMIFS(H2:H486,F2:F486,"perplexity-search",A2:A486,$A498)</f>
        <v>0</v>
      </c>
      <c r="T498" s="5">
        <f>SUMIFS(I2:I486,F2:F486,"perplexity-search",A2:A486,$A498)</f>
        <v>0</v>
      </c>
      <c r="U498" s="5">
        <f>SUMIFS(J2:J486,F2:F486,"perplexity-search",A2:A486,$A498)</f>
        <v>0</v>
      </c>
      <c r="V498" s="5">
        <f>SUMIFS(K2:K486,F2:F486,"perplexity-search",A2:A486,$A498)</f>
        <v>0</v>
      </c>
      <c r="W498" s="5">
        <f>SUMIFS(L2:L486,F2:F486,"perplexity-search",A2:A486,$A498)</f>
        <v>0</v>
      </c>
      <c r="X498" s="5">
        <f>COUNTIFS(F2:F486,"serper",A2:A486,$A498)</f>
        <v>1</v>
      </c>
      <c r="Y498" s="5">
        <f>SUMIFS(G2:G486,F2:F486,"serper",A2:A486,$A498)</f>
        <v>0</v>
      </c>
      <c r="Z498" s="5">
        <f>SUMIFS(H2:H486,F2:F486,"serper",A2:A486,$A498)</f>
        <v>0</v>
      </c>
      <c r="AA498" s="5">
        <f>SUMIFS(I2:I486,F2:F486,"serper",A2:A486,$A498)</f>
        <v>0</v>
      </c>
      <c r="AB498" s="5">
        <f>SUMIFS(J2:J486,F2:F486,"serper",A2:A486,$A498)</f>
        <v>1E-3</v>
      </c>
      <c r="AC498" s="5">
        <f>SUMIFS(K2:K486,F2:F486,"serper",A2:A486,$A498)</f>
        <v>1E-3</v>
      </c>
      <c r="AD498" s="5">
        <f>SUMIFS(L2:L486,F2:F486,"serper",A2:A486,$A498)</f>
        <v>0.955538</v>
      </c>
      <c r="AE498" s="5">
        <f>COUNTIFS(F2:F486,"sonar",A2:A486,$A498)</f>
        <v>1</v>
      </c>
      <c r="AF498" s="5">
        <f>SUMIFS(G2:G486,F2:F486,"sonar",A2:A486,$A498)</f>
        <v>657</v>
      </c>
      <c r="AG498" s="5">
        <f>SUMIFS(H2:H486,F2:F486,"sonar",A2:A486,$A498)</f>
        <v>0</v>
      </c>
      <c r="AH498" s="5">
        <f>SUMIFS(I2:I486,F2:F486,"sonar",A2:A486,$A498)</f>
        <v>1505</v>
      </c>
      <c r="AI498" s="5">
        <f>SUMIFS(J2:J486,F2:F486,"sonar",A2:A486,$A498)</f>
        <v>5.0000000000000001E-3</v>
      </c>
      <c r="AJ498" s="5">
        <f>SUMIFS(K2:K486,F2:F486,"sonar",A2:A486,$A498)</f>
        <v>7.1599999999999997E-3</v>
      </c>
      <c r="AK498" s="5">
        <f>SUMIFS(L2:L486,F2:F486,"sonar",A2:A486,$A498)</f>
        <v>18.209299000000001</v>
      </c>
      <c r="AL498" s="5">
        <f>COUNTIFS(F2:F486,"sonar-pro",A2:A486,$A498)</f>
        <v>0</v>
      </c>
      <c r="AM498" s="5">
        <f>SUMIFS(G2:G486,F2:F486,"sonar-pro",A2:A486,$A498)</f>
        <v>0</v>
      </c>
      <c r="AN498" s="5">
        <f>SUMIFS(H2:H486,F2:F486,"sonar-pro",A2:A486,$A498)</f>
        <v>0</v>
      </c>
      <c r="AO498" s="5">
        <f>SUMIFS(I2:I486,F2:F486,"sonar-pro",A2:A486,$A498)</f>
        <v>0</v>
      </c>
      <c r="AP498" s="5">
        <f>SUMIFS(J2:J486,F2:F486,"sonar-pro",A2:A486,$A498)</f>
        <v>0</v>
      </c>
      <c r="AQ498" s="5">
        <f>SUMIFS(K2:K486,F2:F486,"sonar-pro",A2:A486,$A498)</f>
        <v>0</v>
      </c>
      <c r="AR498" s="5">
        <f>SUMIFS(L2:L486,F2:F486,"sonar-pro",A2:A486,$A498)</f>
        <v>0</v>
      </c>
      <c r="AS498" s="5">
        <f>COUNTIFS(F2:F486,"text-embedding-3-small",A2:A486,$A498)</f>
        <v>51</v>
      </c>
      <c r="AT498" s="5">
        <f>SUMIFS(G2:G486,F2:F486,"text-embedding-3-small",A2:A486,$A498)</f>
        <v>445</v>
      </c>
      <c r="AU498" s="5">
        <f>SUMIFS(H2:H486,F2:F486,"text-embedding-3-small",A2:A486,$A498)</f>
        <v>0</v>
      </c>
      <c r="AV498" s="5">
        <f>SUMIFS(I2:I486,F2:F486,"text-embedding-3-small",A2:A486,$A498)</f>
        <v>0</v>
      </c>
      <c r="AW498" s="5">
        <f>SUMIFS(J2:J486,F2:F486,"text-embedding-3-small",A2:A486,$A498)</f>
        <v>0</v>
      </c>
      <c r="AX498" s="5">
        <f>SUMIFS(K2:K486,F2:F486,"text-embedding-3-small",A2:A486,$A498)</f>
        <v>3.0000000000000001E-6</v>
      </c>
      <c r="AY498" s="5">
        <f>SUMIFS(L2:L486,F2:F486,"text-embedding-3-small",A2:A486,$A498)</f>
        <v>13.321394000000002</v>
      </c>
    </row>
    <row r="499" spans="1:51" x14ac:dyDescent="0.35">
      <c r="A499" s="5" t="s">
        <v>326</v>
      </c>
      <c r="B499" s="5" t="str">
        <f>INDEX(runs!$D:$D,MATCH(A499,runs!$A:$A,0))</f>
        <v>What are the theories of harm in merger cases in digital market?</v>
      </c>
      <c r="C499" s="5">
        <f>COUNTIFS(F2:F486,"gpt-4o",A2:A486,$A499)</f>
        <v>17</v>
      </c>
      <c r="D499" s="5">
        <f>SUMIFS(G2:G486,F2:F486,"gpt-4o",A2:A486,$A499)</f>
        <v>147039</v>
      </c>
      <c r="E499" s="5">
        <f>SUMIFS(H2:H486,F2:F486,"gpt-4o",A2:A486,$A499)</f>
        <v>13440</v>
      </c>
      <c r="F499" s="5">
        <f>SUMIFS(I2:I486,F2:F486,"gpt-4o",A2:A486,$A499)</f>
        <v>16529</v>
      </c>
      <c r="G499" s="5">
        <f>SUMIFS(J2:J486,F2:F486,"gpt-4o",A2:A486,$A499)</f>
        <v>0</v>
      </c>
      <c r="H499" s="5">
        <f>SUMIFS(K2:K486,F2:F486,"gpt-4o",A2:A486,$A499)</f>
        <v>0.51608600000000004</v>
      </c>
      <c r="I499" s="5">
        <f>SUMIFS(L2:L486,F2:F486,"gpt-4o",A2:A486,$A499)</f>
        <v>275.60989699999999</v>
      </c>
      <c r="J499" s="5">
        <f>COUNTIFS(F2:F486,"gpt-4o-mini",A2:A486,$A499)</f>
        <v>1</v>
      </c>
      <c r="K499" s="5">
        <f>SUMIFS(G2:G486,F2:F486,"gpt-4o-mini",A2:A486,$A499)</f>
        <v>429</v>
      </c>
      <c r="L499" s="5">
        <f>SUMIFS(H2:H486,F2:F486,"gpt-4o-mini",A2:A486,$A499)</f>
        <v>0</v>
      </c>
      <c r="M499" s="5">
        <f>SUMIFS(I2:I486,F2:F486,"gpt-4o-mini",A2:A486,$A499)</f>
        <v>99</v>
      </c>
      <c r="N499" s="5">
        <f>SUMIFS(J2:J486,F2:F486,"gpt-4o-mini",A2:A486,$A499)</f>
        <v>0</v>
      </c>
      <c r="O499" s="5">
        <f>SUMIFS(K2:K486,F2:F486,"gpt-4o-mini",A2:A486,$A499)</f>
        <v>1.2400000000000001E-4</v>
      </c>
      <c r="P499" s="5">
        <f>SUMIFS(L2:L486,F2:F486,"gpt-4o-mini",A2:A486,$A499)</f>
        <v>2.1034030000000001</v>
      </c>
      <c r="Q499" s="5">
        <f>COUNTIFS(F2:F486,"perplexity-search",A2:A486,$A499)</f>
        <v>0</v>
      </c>
      <c r="R499" s="5">
        <f>SUMIFS(G2:G486,F2:F486,"perplexity-search",A2:A486,$A499)</f>
        <v>0</v>
      </c>
      <c r="S499" s="5">
        <f>SUMIFS(H2:H486,F2:F486,"perplexity-search",A2:A486,$A499)</f>
        <v>0</v>
      </c>
      <c r="T499" s="5">
        <f>SUMIFS(I2:I486,F2:F486,"perplexity-search",A2:A486,$A499)</f>
        <v>0</v>
      </c>
      <c r="U499" s="5">
        <f>SUMIFS(J2:J486,F2:F486,"perplexity-search",A2:A486,$A499)</f>
        <v>0</v>
      </c>
      <c r="V499" s="5">
        <f>SUMIFS(K2:K486,F2:F486,"perplexity-search",A2:A486,$A499)</f>
        <v>0</v>
      </c>
      <c r="W499" s="5">
        <f>SUMIFS(L2:L486,F2:F486,"perplexity-search",A2:A486,$A499)</f>
        <v>0</v>
      </c>
      <c r="X499" s="5">
        <f>COUNTIFS(F2:F486,"serper",A2:A486,$A499)</f>
        <v>0</v>
      </c>
      <c r="Y499" s="5">
        <f>SUMIFS(G2:G486,F2:F486,"serper",A2:A486,$A499)</f>
        <v>0</v>
      </c>
      <c r="Z499" s="5">
        <f>SUMIFS(H2:H486,F2:F486,"serper",A2:A486,$A499)</f>
        <v>0</v>
      </c>
      <c r="AA499" s="5">
        <f>SUMIFS(I2:I486,F2:F486,"serper",A2:A486,$A499)</f>
        <v>0</v>
      </c>
      <c r="AB499" s="5">
        <f>SUMIFS(J2:J486,F2:F486,"serper",A2:A486,$A499)</f>
        <v>0</v>
      </c>
      <c r="AC499" s="5">
        <f>SUMIFS(K2:K486,F2:F486,"serper",A2:A486,$A499)</f>
        <v>0</v>
      </c>
      <c r="AD499" s="5">
        <f>SUMIFS(L2:L486,F2:F486,"serper",A2:A486,$A499)</f>
        <v>0</v>
      </c>
      <c r="AE499" s="5">
        <f>COUNTIFS(F2:F486,"sonar",A2:A486,$A499)</f>
        <v>1</v>
      </c>
      <c r="AF499" s="5">
        <f>SUMIFS(G2:G486,F2:F486,"sonar",A2:A486,$A499)</f>
        <v>664</v>
      </c>
      <c r="AG499" s="5">
        <f>SUMIFS(H2:H486,F2:F486,"sonar",A2:A486,$A499)</f>
        <v>0</v>
      </c>
      <c r="AH499" s="5">
        <f>SUMIFS(I2:I486,F2:F486,"sonar",A2:A486,$A499)</f>
        <v>2880</v>
      </c>
      <c r="AI499" s="5">
        <f>SUMIFS(J2:J486,F2:F486,"sonar",A2:A486,$A499)</f>
        <v>5.0000000000000001E-3</v>
      </c>
      <c r="AJ499" s="5">
        <f>SUMIFS(K2:K486,F2:F486,"sonar",A2:A486,$A499)</f>
        <v>8.5400000000000007E-3</v>
      </c>
      <c r="AK499" s="5">
        <f>SUMIFS(L2:L486,F2:F486,"sonar",A2:A486,$A499)</f>
        <v>30.903096000000001</v>
      </c>
      <c r="AL499" s="5">
        <f>COUNTIFS(F2:F486,"sonar-pro",A2:A486,$A499)</f>
        <v>0</v>
      </c>
      <c r="AM499" s="5">
        <f>SUMIFS(G2:G486,F2:F486,"sonar-pro",A2:A486,$A499)</f>
        <v>0</v>
      </c>
      <c r="AN499" s="5">
        <f>SUMIFS(H2:H486,F2:F486,"sonar-pro",A2:A486,$A499)</f>
        <v>0</v>
      </c>
      <c r="AO499" s="5">
        <f>SUMIFS(I2:I486,F2:F486,"sonar-pro",A2:A486,$A499)</f>
        <v>0</v>
      </c>
      <c r="AP499" s="5">
        <f>SUMIFS(J2:J486,F2:F486,"sonar-pro",A2:A486,$A499)</f>
        <v>0</v>
      </c>
      <c r="AQ499" s="5">
        <f>SUMIFS(K2:K486,F2:F486,"sonar-pro",A2:A486,$A499)</f>
        <v>0</v>
      </c>
      <c r="AR499" s="5">
        <f>SUMIFS(L2:L486,F2:F486,"sonar-pro",A2:A486,$A499)</f>
        <v>0</v>
      </c>
      <c r="AS499" s="5">
        <f>COUNTIFS(F2:F486,"text-embedding-3-small",A2:A486,$A499)</f>
        <v>52</v>
      </c>
      <c r="AT499" s="5">
        <f>SUMIFS(G2:G486,F2:F486,"text-embedding-3-small",A2:A486,$A499)</f>
        <v>1092</v>
      </c>
      <c r="AU499" s="5">
        <f>SUMIFS(H2:H486,F2:F486,"text-embedding-3-small",A2:A486,$A499)</f>
        <v>0</v>
      </c>
      <c r="AV499" s="5">
        <f>SUMIFS(I2:I486,F2:F486,"text-embedding-3-small",A2:A486,$A499)</f>
        <v>0</v>
      </c>
      <c r="AW499" s="5">
        <f>SUMIFS(J2:J486,F2:F486,"text-embedding-3-small",A2:A486,$A499)</f>
        <v>0</v>
      </c>
      <c r="AX499" s="5">
        <f>SUMIFS(K2:K486,F2:F486,"text-embedding-3-small",A2:A486,$A499)</f>
        <v>1.7E-5</v>
      </c>
      <c r="AY499" s="5">
        <f>SUMIFS(L2:L486,F2:F486,"text-embedding-3-small",A2:A486,$A499)</f>
        <v>14.904768000000002</v>
      </c>
    </row>
    <row r="500" spans="1:51" x14ac:dyDescent="0.35">
      <c r="A500" s="5"/>
      <c r="B500" s="6" t="s">
        <v>376</v>
      </c>
      <c r="C500" s="6">
        <f t="shared" ref="C500:AH500" si="40">AVERAGE(C493:C499)</f>
        <v>15.571428571428571</v>
      </c>
      <c r="D500" s="6">
        <f t="shared" si="40"/>
        <v>124515.85714285714</v>
      </c>
      <c r="E500" s="6">
        <f t="shared" si="40"/>
        <v>20077.714285714286</v>
      </c>
      <c r="F500" s="6">
        <f t="shared" si="40"/>
        <v>14678.714285714286</v>
      </c>
      <c r="G500" s="6">
        <f t="shared" si="40"/>
        <v>0</v>
      </c>
      <c r="H500" s="6">
        <f t="shared" si="40"/>
        <v>0.43298028571428571</v>
      </c>
      <c r="I500" s="6">
        <f t="shared" si="40"/>
        <v>194.98442628571431</v>
      </c>
      <c r="J500" s="6">
        <f t="shared" si="40"/>
        <v>1</v>
      </c>
      <c r="K500" s="6">
        <f t="shared" si="40"/>
        <v>427</v>
      </c>
      <c r="L500" s="6">
        <f t="shared" si="40"/>
        <v>0</v>
      </c>
      <c r="M500" s="6">
        <f t="shared" si="40"/>
        <v>85.857142857142861</v>
      </c>
      <c r="N500" s="6">
        <f t="shared" si="40"/>
        <v>0</v>
      </c>
      <c r="O500" s="6">
        <f t="shared" si="40"/>
        <v>1.1557142857142857E-4</v>
      </c>
      <c r="P500" s="6">
        <f t="shared" si="40"/>
        <v>2.4094918571428572</v>
      </c>
      <c r="Q500" s="6">
        <f t="shared" si="40"/>
        <v>0</v>
      </c>
      <c r="R500" s="6">
        <f t="shared" si="40"/>
        <v>0</v>
      </c>
      <c r="S500" s="6">
        <f t="shared" si="40"/>
        <v>0</v>
      </c>
      <c r="T500" s="6">
        <f t="shared" si="40"/>
        <v>0</v>
      </c>
      <c r="U500" s="6">
        <f t="shared" si="40"/>
        <v>0</v>
      </c>
      <c r="V500" s="6">
        <f t="shared" si="40"/>
        <v>0</v>
      </c>
      <c r="W500" s="6">
        <f t="shared" si="40"/>
        <v>0</v>
      </c>
      <c r="X500" s="6">
        <f t="shared" si="40"/>
        <v>2.1428571428571428</v>
      </c>
      <c r="Y500" s="6">
        <f t="shared" si="40"/>
        <v>0</v>
      </c>
      <c r="Z500" s="6">
        <f t="shared" si="40"/>
        <v>0</v>
      </c>
      <c r="AA500" s="6">
        <f t="shared" si="40"/>
        <v>0</v>
      </c>
      <c r="AB500" s="6">
        <f t="shared" si="40"/>
        <v>2.1428571428571434E-3</v>
      </c>
      <c r="AC500" s="6">
        <f t="shared" si="40"/>
        <v>2.1428571428571434E-3</v>
      </c>
      <c r="AD500" s="6">
        <f t="shared" si="40"/>
        <v>2.6117150000000002</v>
      </c>
      <c r="AE500" s="6">
        <f t="shared" si="40"/>
        <v>1</v>
      </c>
      <c r="AF500" s="6">
        <f t="shared" si="40"/>
        <v>669.28571428571433</v>
      </c>
      <c r="AG500" s="6">
        <f t="shared" si="40"/>
        <v>0</v>
      </c>
      <c r="AH500" s="6">
        <f t="shared" si="40"/>
        <v>2207</v>
      </c>
      <c r="AI500" s="6">
        <f t="shared" ref="AI500:BN500" si="41">AVERAGE(AI493:AI499)</f>
        <v>5.0000000000000001E-3</v>
      </c>
      <c r="AJ500" s="6">
        <f t="shared" si="41"/>
        <v>7.8757142857142845E-3</v>
      </c>
      <c r="AK500" s="6">
        <f t="shared" si="41"/>
        <v>26.332733999999999</v>
      </c>
      <c r="AL500" s="6">
        <f t="shared" si="41"/>
        <v>0</v>
      </c>
      <c r="AM500" s="6">
        <f t="shared" si="41"/>
        <v>0</v>
      </c>
      <c r="AN500" s="6">
        <f t="shared" si="41"/>
        <v>0</v>
      </c>
      <c r="AO500" s="6">
        <f t="shared" si="41"/>
        <v>0</v>
      </c>
      <c r="AP500" s="6">
        <f t="shared" si="41"/>
        <v>0</v>
      </c>
      <c r="AQ500" s="6">
        <f t="shared" si="41"/>
        <v>0</v>
      </c>
      <c r="AR500" s="6">
        <f t="shared" si="41"/>
        <v>0</v>
      </c>
      <c r="AS500" s="6">
        <f t="shared" si="41"/>
        <v>49.571428571428569</v>
      </c>
      <c r="AT500" s="6">
        <f t="shared" si="41"/>
        <v>21844.285714285714</v>
      </c>
      <c r="AU500" s="6">
        <f t="shared" si="41"/>
        <v>0</v>
      </c>
      <c r="AV500" s="6">
        <f t="shared" si="41"/>
        <v>0</v>
      </c>
      <c r="AW500" s="6">
        <f t="shared" si="41"/>
        <v>0</v>
      </c>
      <c r="AX500" s="6">
        <f t="shared" si="41"/>
        <v>4.3199999999999998E-4</v>
      </c>
      <c r="AY500" s="6">
        <f t="shared" si="41"/>
        <v>14.56155557142857</v>
      </c>
    </row>
  </sheetData>
  <mergeCells count="9">
    <mergeCell ref="AL491:AR491"/>
    <mergeCell ref="AS491:AY491"/>
    <mergeCell ref="J491:P491"/>
    <mergeCell ref="AE491:AK491"/>
    <mergeCell ref="X491:AD491"/>
    <mergeCell ref="A491:A492"/>
    <mergeCell ref="B491:B492"/>
    <mergeCell ref="C491:I491"/>
    <mergeCell ref="Q491:W49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9"/>
  <sheetViews>
    <sheetView tabSelected="1" topLeftCell="A14" workbookViewId="0">
      <selection activeCell="B16" sqref="B16"/>
    </sheetView>
  </sheetViews>
  <sheetFormatPr defaultRowHeight="14.5" x14ac:dyDescent="0.35"/>
  <cols>
    <col min="1" max="1" width="44" customWidth="1"/>
    <col min="2" max="2" width="46" customWidth="1"/>
    <col min="3" max="25" width="13" customWidth="1"/>
  </cols>
  <sheetData>
    <row r="1" spans="1:9" ht="15.5" x14ac:dyDescent="0.35">
      <c r="A1" s="8" t="s">
        <v>807</v>
      </c>
    </row>
    <row r="2" spans="1:9" x14ac:dyDescent="0.35">
      <c r="A2" s="9" t="s">
        <v>808</v>
      </c>
    </row>
    <row r="4" spans="1:9" x14ac:dyDescent="0.35">
      <c r="A4" s="10" t="s">
        <v>809</v>
      </c>
    </row>
    <row r="5" spans="1:9" ht="32" customHeight="1" x14ac:dyDescent="0.35">
      <c r="A5" s="19" t="s">
        <v>810</v>
      </c>
      <c r="B5" s="19" t="s">
        <v>811</v>
      </c>
      <c r="C5" s="19" t="s">
        <v>812</v>
      </c>
      <c r="D5" s="19" t="s">
        <v>813</v>
      </c>
      <c r="E5" s="19" t="s">
        <v>814</v>
      </c>
      <c r="F5" s="19" t="s">
        <v>815</v>
      </c>
      <c r="G5" s="19" t="s">
        <v>816</v>
      </c>
      <c r="H5" s="19" t="s">
        <v>817</v>
      </c>
      <c r="I5" s="19" t="s">
        <v>818</v>
      </c>
    </row>
    <row r="6" spans="1:9" x14ac:dyDescent="0.35">
      <c r="A6" s="11" t="s">
        <v>819</v>
      </c>
      <c r="B6" s="12">
        <f>AVERAGE(C30:C36)</f>
        <v>1</v>
      </c>
      <c r="C6" s="13">
        <f>AVERAGE(D30:D36)</f>
        <v>2.5814285714285713E-3</v>
      </c>
      <c r="D6" s="13">
        <f>MEDIAN(D30:D36)</f>
        <v>2.1949999999999999E-3</v>
      </c>
      <c r="E6" s="12">
        <f>AVERAGE(E30:E36)</f>
        <v>2.468060571428571</v>
      </c>
      <c r="F6" s="12">
        <f>AVERAGE(F30:F36)</f>
        <v>2.4680604592763951</v>
      </c>
      <c r="G6" s="12">
        <f>MEDIAN(F30:F36)</f>
        <v>1.9891689531505108</v>
      </c>
      <c r="H6" s="14">
        <f>SUM(D30:D36)/SUMIFS(runs!$G:$G,runs!$E:$E,"answer_theoretical")</f>
        <v>5.8199175162769274E-3</v>
      </c>
      <c r="I6" s="14">
        <f>SUM(F30:F36)/SUMIFS(runs!$K:$K,runs!$E:$E,"answer_theoretical")</f>
        <v>1.3060989011479694E-2</v>
      </c>
    </row>
    <row r="7" spans="1:9" x14ac:dyDescent="0.35">
      <c r="A7" s="11" t="s">
        <v>820</v>
      </c>
      <c r="B7" s="12">
        <f>AVERAGE(G30:G36)</f>
        <v>1.4285714285714286</v>
      </c>
      <c r="C7" s="13">
        <f>AVERAGE(H30:H36)</f>
        <v>5.5957428571428568E-2</v>
      </c>
      <c r="D7" s="13">
        <f>MEDIAN(H30:H36)</f>
        <v>4.539E-2</v>
      </c>
      <c r="E7" s="12">
        <f>AVERAGE(I30:I36)</f>
        <v>28.370732142857143</v>
      </c>
      <c r="F7" s="12">
        <f>AVERAGE(J30:J36)</f>
        <v>28.230994134875282</v>
      </c>
      <c r="G7" s="12">
        <f>MEDIAN(J30:J36)</f>
        <v>23.771246918477118</v>
      </c>
      <c r="H7" s="14">
        <f>SUM(H30:H36)/SUMIFS(runs!$G:$G,runs!$E:$E,"answer_theoretical")</f>
        <v>0.12615790431437215</v>
      </c>
      <c r="I7" s="14">
        <f>SUM(J30:J36)/SUMIFS(runs!$K:$K,runs!$E:$E,"answer_theoretical")</f>
        <v>0.14939857036033036</v>
      </c>
    </row>
    <row r="8" spans="1:9" x14ac:dyDescent="0.35">
      <c r="A8" s="11" t="s">
        <v>821</v>
      </c>
      <c r="B8" s="12">
        <f>AVERAGE(K30:K36)</f>
        <v>3.8571428571428572</v>
      </c>
      <c r="C8" s="13">
        <f>AVERAGE(L30:L36)</f>
        <v>8.106785714285715E-2</v>
      </c>
      <c r="D8" s="13">
        <f>MEDIAN(L30:L36)</f>
        <v>7.785700000000001E-2</v>
      </c>
      <c r="E8" s="12">
        <f>AVERAGE(M30:M36)</f>
        <v>34.544945714285724</v>
      </c>
      <c r="F8" s="12">
        <f>AVERAGE(N30:N36)</f>
        <v>20.600176003894635</v>
      </c>
      <c r="G8" s="12">
        <f>MEDIAN(N30:N36)</f>
        <v>18.18103005643934</v>
      </c>
      <c r="H8" s="14">
        <f>SUM(L30:L36)/SUMIFS(runs!$G:$G,runs!$E:$E,"answer_theoretical")</f>
        <v>0.18277020988097675</v>
      </c>
      <c r="I8" s="14">
        <f>SUM(N30:N36)/SUMIFS(runs!$K:$K,runs!$E:$E,"answer_theoretical")</f>
        <v>0.10901624042885084</v>
      </c>
    </row>
    <row r="9" spans="1:9" x14ac:dyDescent="0.35">
      <c r="A9" s="11" t="s">
        <v>822</v>
      </c>
      <c r="B9" s="12">
        <f>AVERAGE(O30:O36)</f>
        <v>8.2857142857142865</v>
      </c>
      <c r="C9" s="13">
        <f>AVERAGE(P30:P36)</f>
        <v>0.28301271428571428</v>
      </c>
      <c r="D9" s="13">
        <f>MEDIAN(P30:P36)</f>
        <v>0.29476899999999995</v>
      </c>
      <c r="E9" s="12">
        <f>AVERAGE(Q30:Q36)</f>
        <v>124.93032128571429</v>
      </c>
      <c r="F9" s="12">
        <f>AVERAGE(R30:R36)</f>
        <v>53.297519451007247</v>
      </c>
      <c r="G9" s="12">
        <f>MEDIAN(R30:R36)</f>
        <v>57.561730756424367</v>
      </c>
      <c r="H9" s="14">
        <f>SUM(P30:P36)/SUMIFS(runs!$G:$G,runs!$E:$E,"answer_theoretical")</f>
        <v>0.63806168081923309</v>
      </c>
      <c r="I9" s="14">
        <f>SUM(R30:R36)/SUMIFS(runs!$K:$K,runs!$E:$E,"answer_theoretical")</f>
        <v>0.28205075498548532</v>
      </c>
    </row>
    <row r="10" spans="1:9" x14ac:dyDescent="0.35">
      <c r="A10" s="11" t="s">
        <v>823</v>
      </c>
      <c r="B10" s="12">
        <f>AVERAGE(S30:S36)</f>
        <v>1</v>
      </c>
      <c r="C10" s="13">
        <f>AVERAGE(T30:T36)</f>
        <v>1.0360857142857142E-2</v>
      </c>
      <c r="D10" s="13">
        <f>MEDIAN(T30:T36)</f>
        <v>1.0448000000000001E-2</v>
      </c>
      <c r="E10" s="12">
        <f>AVERAGE(U30:U36)</f>
        <v>4.6703665714285716</v>
      </c>
      <c r="F10" s="12">
        <f>AVERAGE(V30:V36)</f>
        <v>4.6703666914254427</v>
      </c>
      <c r="G10" s="12">
        <f>MEDIAN(V30:V36)</f>
        <v>4.7470070421695709</v>
      </c>
      <c r="H10" s="14">
        <f>SUM(T30:T36)/SUMIFS(runs!$G:$G,runs!$E:$E,"answer_theoretical")</f>
        <v>2.3358900818234666E-2</v>
      </c>
      <c r="I10" s="14">
        <f>SUM(V30:V36)/SUMIFS(runs!$K:$K,runs!$E:$E,"answer_theoretical")</f>
        <v>2.4715605246628688E-2</v>
      </c>
    </row>
    <row r="11" spans="1:9" x14ac:dyDescent="0.35">
      <c r="A11" s="15" t="s">
        <v>824</v>
      </c>
      <c r="B11" s="16">
        <f>SUM(B6:B10)</f>
        <v>15.571428571428573</v>
      </c>
      <c r="C11" s="17">
        <f>SUM(C6:C10)</f>
        <v>0.43298028571428571</v>
      </c>
      <c r="D11" s="15"/>
      <c r="E11" s="16">
        <f>SUM(E6:E10)</f>
        <v>194.98442628571428</v>
      </c>
      <c r="F11" s="16">
        <f>SUM(F6:F10)</f>
        <v>109.267116740479</v>
      </c>
      <c r="G11" s="15"/>
      <c r="H11" s="18">
        <f>SUM(H6:H10)</f>
        <v>0.97616861334909355</v>
      </c>
      <c r="I11" s="18">
        <f>SUM(I6:I10)</f>
        <v>0.57824216003277484</v>
      </c>
    </row>
    <row r="12" spans="1:9" x14ac:dyDescent="0.35">
      <c r="A12" s="9" t="s">
        <v>825</v>
      </c>
    </row>
    <row r="14" spans="1:9" x14ac:dyDescent="0.35">
      <c r="A14" s="10" t="s">
        <v>826</v>
      </c>
    </row>
    <row r="15" spans="1:9" ht="32" customHeight="1" x14ac:dyDescent="0.35">
      <c r="A15" s="19" t="s">
        <v>827</v>
      </c>
      <c r="B15" s="19" t="s">
        <v>815</v>
      </c>
      <c r="C15" s="19" t="s">
        <v>828</v>
      </c>
    </row>
    <row r="16" spans="1:9" x14ac:dyDescent="0.35">
      <c r="A16" s="11" t="s">
        <v>829</v>
      </c>
      <c r="B16" s="12">
        <f>SUMIFS(answer_theoretical!$U$2:$U$486,answer_theoretical!$F$2:$F$486,"gpt-4o")/COUNTIFS(runs!$E:$E,"answer_theoretical")</f>
        <v>108.97814485111407</v>
      </c>
      <c r="C16" s="14">
        <f>B16/B23</f>
        <v>0.57671291926501489</v>
      </c>
    </row>
    <row r="17" spans="1:25" x14ac:dyDescent="0.35">
      <c r="A17" s="11" t="s">
        <v>830</v>
      </c>
      <c r="B17" s="12">
        <f>SUMIFS(answer_theoretical!$U$2:$U$486,answer_theoretical!$F$2:$F$486,"sonar")/COUNTIFS(runs!$E:$E,"answer_theoretical")</f>
        <v>26.332734016302442</v>
      </c>
      <c r="C17" s="14">
        <f>B17/B23</f>
        <v>0.13935296776724029</v>
      </c>
    </row>
    <row r="18" spans="1:25" x14ac:dyDescent="0.35">
      <c r="A18" s="11" t="s">
        <v>831</v>
      </c>
      <c r="B18" s="12">
        <f>SUMIFS(answer_theoretical!$U$2:$U$486,answer_theoretical!$F$2:$F$486,"text-embedding-3-small")/COUNTIFS(runs!$E:$E,"answer_theoretical")</f>
        <v>8.8691517344808997</v>
      </c>
      <c r="C18" s="14">
        <f>B18/B23</f>
        <v>4.6935597914470835E-2</v>
      </c>
    </row>
    <row r="19" spans="1:25" x14ac:dyDescent="0.35">
      <c r="A19" s="11" t="s">
        <v>832</v>
      </c>
      <c r="B19" s="12">
        <f>SUMIFS(answer_theoretical!$U$2:$U$486,answer_theoretical!$F$2:$F$486,"serper")/COUNTIFS(runs!$E:$E,"answer_theoretical")</f>
        <v>2.5434283473129784</v>
      </c>
      <c r="C19" s="14">
        <f>B19/B23</f>
        <v>1.3459836273816556E-2</v>
      </c>
    </row>
    <row r="20" spans="1:25" x14ac:dyDescent="0.35">
      <c r="A20" s="11" t="s">
        <v>833</v>
      </c>
      <c r="B20" s="12">
        <f>SUMIFS(answer_theoretical!$U$2:$U$486,answer_theoretical!$F$2:$F$486,"gpt-4o-mini")/COUNTIFS(runs!$E:$E,"answer_theoretical")</f>
        <v>2.4094918809298957</v>
      </c>
      <c r="C20" s="14">
        <f>B20/B23</f>
        <v>1.2751043784924792E-2</v>
      </c>
    </row>
    <row r="21" spans="1:25" x14ac:dyDescent="0.35">
      <c r="A21" s="15" t="s">
        <v>834</v>
      </c>
      <c r="B21" s="16">
        <f>SUMIFS(answer_theoretical!$V$2:$V$486,answer_theoretical!$A$2:$A$486,"&lt;&gt;")/COUNTIFS(runs!$E:$E,"answer_theoretical")</f>
        <v>147.62291397367204</v>
      </c>
      <c r="C21" s="18">
        <f>B21/B23</f>
        <v>0.78122124196991438</v>
      </c>
    </row>
    <row r="22" spans="1:25" x14ac:dyDescent="0.35">
      <c r="A22" s="11" t="s">
        <v>835</v>
      </c>
      <c r="B22" s="12">
        <f>B23-B21</f>
        <v>41.341371740613681</v>
      </c>
      <c r="C22" s="14">
        <f>B22/B23</f>
        <v>0.21877875803008562</v>
      </c>
    </row>
    <row r="23" spans="1:25" x14ac:dyDescent="0.35">
      <c r="A23" s="15" t="s">
        <v>836</v>
      </c>
      <c r="B23" s="16">
        <f>SUMIFS(runs!$K:$K,runs!$E:$E,"answer_theoretical")/COUNTIFS(runs!$E:$E,"answer_theoretical")</f>
        <v>188.96428571428572</v>
      </c>
      <c r="C23" s="18">
        <f>B23/B23</f>
        <v>1</v>
      </c>
    </row>
    <row r="24" spans="1:25" x14ac:dyDescent="0.35">
      <c r="A24" s="9" t="s">
        <v>837</v>
      </c>
    </row>
    <row r="27" spans="1:25" x14ac:dyDescent="0.35">
      <c r="A27" s="10" t="s">
        <v>838</v>
      </c>
    </row>
    <row r="28" spans="1:25" ht="30" customHeight="1" x14ac:dyDescent="0.35">
      <c r="A28" s="29" t="s">
        <v>0</v>
      </c>
      <c r="B28" s="29" t="s">
        <v>371</v>
      </c>
      <c r="C28" s="29" t="s">
        <v>819</v>
      </c>
      <c r="D28" s="30"/>
      <c r="E28" s="30"/>
      <c r="F28" s="31"/>
      <c r="G28" s="29" t="s">
        <v>820</v>
      </c>
      <c r="H28" s="30"/>
      <c r="I28" s="30"/>
      <c r="J28" s="31"/>
      <c r="K28" s="29" t="s">
        <v>821</v>
      </c>
      <c r="L28" s="30"/>
      <c r="M28" s="30"/>
      <c r="N28" s="31"/>
      <c r="O28" s="29" t="s">
        <v>822</v>
      </c>
      <c r="P28" s="30"/>
      <c r="Q28" s="30"/>
      <c r="R28" s="31"/>
      <c r="S28" s="29" t="s">
        <v>823</v>
      </c>
      <c r="T28" s="30"/>
      <c r="U28" s="30"/>
      <c r="V28" s="31"/>
      <c r="W28" s="29" t="s">
        <v>839</v>
      </c>
      <c r="X28" s="30"/>
      <c r="Y28" s="31"/>
    </row>
    <row r="29" spans="1:25" ht="32" customHeight="1" x14ac:dyDescent="0.35">
      <c r="A29" s="32"/>
      <c r="B29" s="32"/>
      <c r="C29" s="19" t="s">
        <v>840</v>
      </c>
      <c r="D29" s="19" t="s">
        <v>841</v>
      </c>
      <c r="E29" s="19" t="s">
        <v>842</v>
      </c>
      <c r="F29" s="19" t="s">
        <v>843</v>
      </c>
      <c r="G29" s="19" t="s">
        <v>840</v>
      </c>
      <c r="H29" s="19" t="s">
        <v>841</v>
      </c>
      <c r="I29" s="19" t="s">
        <v>842</v>
      </c>
      <c r="J29" s="19" t="s">
        <v>843</v>
      </c>
      <c r="K29" s="19" t="s">
        <v>840</v>
      </c>
      <c r="L29" s="19" t="s">
        <v>841</v>
      </c>
      <c r="M29" s="19" t="s">
        <v>842</v>
      </c>
      <c r="N29" s="19" t="s">
        <v>843</v>
      </c>
      <c r="O29" s="19" t="s">
        <v>840</v>
      </c>
      <c r="P29" s="19" t="s">
        <v>841</v>
      </c>
      <c r="Q29" s="19" t="s">
        <v>842</v>
      </c>
      <c r="R29" s="19" t="s">
        <v>843</v>
      </c>
      <c r="S29" s="19" t="s">
        <v>840</v>
      </c>
      <c r="T29" s="19" t="s">
        <v>841</v>
      </c>
      <c r="U29" s="19" t="s">
        <v>842</v>
      </c>
      <c r="V29" s="19" t="s">
        <v>843</v>
      </c>
      <c r="W29" s="19" t="s">
        <v>843</v>
      </c>
      <c r="X29" s="19" t="s">
        <v>844</v>
      </c>
      <c r="Y29" s="19" t="s">
        <v>845</v>
      </c>
    </row>
    <row r="30" spans="1:25" x14ac:dyDescent="0.35">
      <c r="A30" s="11" t="s">
        <v>22</v>
      </c>
      <c r="B30" s="11" t="str">
        <f>INDEX(runs!$D:$D,MATCH(A30,runs!$A:$A,0))</f>
        <v>What are the remedies in merger cases in digital markets?</v>
      </c>
      <c r="C30" s="20">
        <f>COUNTIFS(answer_theoretical!$A$2:$A$486,$A30,answer_theoretical!$F$2:$F$486,"gpt-4o",answer_theoretical!$D$2:$D$486,"agent_reasoning")</f>
        <v>1</v>
      </c>
      <c r="D30" s="13">
        <f>SUMIFS(answer_theoretical!$K$2:$K$486,answer_theoretical!$A$2:$A$486,$A30,answer_theoretical!$F$2:$F$486,"gpt-4o",answer_theoretical!$D$2:$D$486,"agent_reasoning")</f>
        <v>2.14E-3</v>
      </c>
      <c r="E30" s="12">
        <f>SUMIFS(answer_theoretical!$L$2:$L$486,answer_theoretical!$A$2:$A$486,$A30,answer_theoretical!$F$2:$F$486,"gpt-4o",answer_theoretical!$D$2:$D$486,"agent_reasoning")</f>
        <v>2.550754</v>
      </c>
      <c r="F30" s="12">
        <f>SUMIFS(answer_theoretical!$T$2:$T$486,answer_theoretical!$A$2:$A$486,$A30,answer_theoretical!$F$2:$F$486,"gpt-4o",answer_theoretical!$D$2:$D$486,"agent_reasoning")</f>
        <v>2.5507537415251136</v>
      </c>
      <c r="G30" s="20">
        <f>COUNTIFS(answer_theoretical!$A$2:$A$486,$A30,answer_theoretical!$F$2:$F$486,"gpt-4o",answer_theoretical!$D$2:$D$486,"answer_theoretical/outline")</f>
        <v>2</v>
      </c>
      <c r="H30" s="13">
        <f>SUMIFS(answer_theoretical!$K$2:$K$486,answer_theoretical!$A$2:$A$486,$A30,answer_theoretical!$F$2:$F$486,"gpt-4o",answer_theoretical!$D$2:$D$486,"answer_theoretical/outline")</f>
        <v>7.7408000000000005E-2</v>
      </c>
      <c r="I30" s="12">
        <f>SUMIFS(answer_theoretical!$L$2:$L$486,answer_theoretical!$A$2:$A$486,$A30,answer_theoretical!$F$2:$F$486,"gpt-4o",answer_theoretical!$D$2:$D$486,"answer_theoretical/outline")</f>
        <v>34.764246999999997</v>
      </c>
      <c r="J30" s="12">
        <f>SUMIFS(answer_theoretical!$T$2:$T$486,answer_theoretical!$A$2:$A$486,$A30,answer_theoretical!$F$2:$F$486,"gpt-4o",answer_theoretical!$D$2:$D$486,"answer_theoretical/outline")</f>
        <v>33.887915918603539</v>
      </c>
      <c r="K30" s="20">
        <f>COUNTIFS(answer_theoretical!$A$2:$A$486,$A30,answer_theoretical!$F$2:$F$486,"gpt-4o",answer_theoretical!$D$2:$D$486,"answer_theoretical/case_examples")</f>
        <v>6</v>
      </c>
      <c r="L30" s="13">
        <f>SUMIFS(answer_theoretical!$K$2:$K$486,answer_theoretical!$A$2:$A$486,$A30,answer_theoretical!$F$2:$F$486,"gpt-4o",answer_theoretical!$D$2:$D$486,"answer_theoretical/case_examples")</f>
        <v>0.11049</v>
      </c>
      <c r="M30" s="12">
        <f>SUMIFS(answer_theoretical!$L$2:$L$486,answer_theoretical!$A$2:$A$486,$A30,answer_theoretical!$F$2:$F$486,"gpt-4o",answer_theoretical!$D$2:$D$486,"answer_theoretical/case_examples")</f>
        <v>50.663558999999999</v>
      </c>
      <c r="N30" s="12">
        <f>SUMIFS(answer_theoretical!$T$2:$T$486,answer_theoretical!$A$2:$A$486,$A30,answer_theoretical!$F$2:$F$486,"gpt-4o",answer_theoretical!$D$2:$D$486,"answer_theoretical/case_examples")</f>
        <v>35.027655260637403</v>
      </c>
      <c r="O30" s="20">
        <f>COUNTIFS(answer_theoretical!$A$2:$A$486,$A30,answer_theoretical!$F$2:$F$486,"gpt-4o",answer_theoretical!$D$2:$D$486,"answer_theoretical/composition")</f>
        <v>10</v>
      </c>
      <c r="P30" s="13">
        <f>SUMIFS(answer_theoretical!$K$2:$K$486,answer_theoretical!$A$2:$A$486,$A30,answer_theoretical!$F$2:$F$486,"gpt-4o",answer_theoretical!$D$2:$D$486,"answer_theoretical/composition")</f>
        <v>0.36264299999999999</v>
      </c>
      <c r="Q30" s="12">
        <f>SUMIFS(answer_theoretical!$L$2:$L$486,answer_theoretical!$A$2:$A$486,$A30,answer_theoretical!$F$2:$F$486,"gpt-4o",answer_theoretical!$D$2:$D$486,"answer_theoretical/composition")</f>
        <v>145.57318700000002</v>
      </c>
      <c r="R30" s="12">
        <f>SUMIFS(answer_theoretical!$T$2:$T$486,answer_theoretical!$A$2:$A$486,$A30,answer_theoretical!$F$2:$F$486,"gpt-4o",answer_theoretical!$D$2:$D$486,"answer_theoretical/composition")</f>
        <v>66.826947801746428</v>
      </c>
      <c r="S30" s="20">
        <f>COUNTIFS(answer_theoretical!$A$2:$A$486,$A30,answer_theoretical!$F$2:$F$486,"gpt-4o",answer_theoretical!$D$2:$D$486,"answer_theoretical/overview")</f>
        <v>1</v>
      </c>
      <c r="T30" s="13">
        <f>SUMIFS(answer_theoretical!$K$2:$K$486,answer_theoretical!$A$2:$A$486,$A30,answer_theoretical!$F$2:$F$486,"gpt-4o",answer_theoretical!$D$2:$D$486,"answer_theoretical/overview")</f>
        <v>1.1377999999999999E-2</v>
      </c>
      <c r="U30" s="12">
        <f>SUMIFS(answer_theoretical!$L$2:$L$486,answer_theoretical!$A$2:$A$486,$A30,answer_theoretical!$F$2:$F$486,"gpt-4o",answer_theoretical!$D$2:$D$486,"answer_theoretical/overview")</f>
        <v>6.182493</v>
      </c>
      <c r="V30" s="12">
        <f>SUMIFS(answer_theoretical!$T$2:$T$486,answer_theoretical!$A$2:$A$486,$A30,answer_theoretical!$F$2:$F$486,"gpt-4o",answer_theoretical!$D$2:$D$486,"answer_theoretical/overview")</f>
        <v>6.1824932461604476</v>
      </c>
      <c r="W30" s="12">
        <f>SUMIFS(answer_theoretical!$U$2:$U$486,answer_theoretical!$A$2:$A$486,$A30,answer_theoretical!$F$2:$F$486,"gpt-4o")</f>
        <v>144.47576596867293</v>
      </c>
      <c r="X30" s="12">
        <f>INDEX(runs!$K:$K,MATCH(A30,runs!$A:$A,0))</f>
        <v>371.113</v>
      </c>
      <c r="Y30" s="14">
        <f t="shared" ref="Y30:Y37" si="0">W30/X30</f>
        <v>0.38930397471571443</v>
      </c>
    </row>
    <row r="31" spans="1:25" x14ac:dyDescent="0.35">
      <c r="A31" s="11" t="s">
        <v>135</v>
      </c>
      <c r="B31" s="11" t="str">
        <f>INDEX(runs!$D:$D,MATCH(A31,runs!$A:$A,0))</f>
        <v>How to assess dominance in the digital market?</v>
      </c>
      <c r="C31" s="20">
        <f>COUNTIFS(answer_theoretical!$A$2:$A$486,$A31,answer_theoretical!$F$2:$F$486,"gpt-4o",answer_theoretical!$D$2:$D$486,"agent_reasoning")</f>
        <v>1</v>
      </c>
      <c r="D31" s="13">
        <f>SUMIFS(answer_theoretical!$K$2:$K$486,answer_theoretical!$A$2:$A$486,$A31,answer_theoretical!$F$2:$F$486,"gpt-4o",answer_theoretical!$D$2:$D$486,"agent_reasoning")</f>
        <v>2.1949999999999999E-3</v>
      </c>
      <c r="E31" s="12">
        <f>SUMIFS(answer_theoretical!$L$2:$L$486,answer_theoretical!$A$2:$A$486,$A31,answer_theoretical!$F$2:$F$486,"gpt-4o",answer_theoretical!$D$2:$D$486,"agent_reasoning")</f>
        <v>2.2338209999999998</v>
      </c>
      <c r="F31" s="12">
        <f>SUMIFS(answer_theoretical!$T$2:$T$486,answer_theoretical!$A$2:$A$486,$A31,answer_theoretical!$F$2:$F$486,"gpt-4o",answer_theoretical!$D$2:$D$486,"agent_reasoning")</f>
        <v>2.2338209906592965</v>
      </c>
      <c r="G31" s="20">
        <f>COUNTIFS(answer_theoretical!$A$2:$A$486,$A31,answer_theoretical!$F$2:$F$486,"gpt-4o",answer_theoretical!$D$2:$D$486,"answer_theoretical/outline")</f>
        <v>1</v>
      </c>
      <c r="H31" s="13">
        <f>SUMIFS(answer_theoretical!$K$2:$K$486,answer_theoretical!$A$2:$A$486,$A31,answer_theoretical!$F$2:$F$486,"gpt-4o",answer_theoretical!$D$2:$D$486,"answer_theoretical/outline")</f>
        <v>3.1071999999999999E-2</v>
      </c>
      <c r="I31" s="12">
        <f>SUMIFS(answer_theoretical!$L$2:$L$486,answer_theoretical!$A$2:$A$486,$A31,answer_theoretical!$F$2:$F$486,"gpt-4o",answer_theoretical!$D$2:$D$486,"answer_theoretical/outline")</f>
        <v>22.011227999999999</v>
      </c>
      <c r="J31" s="12">
        <f>SUMIFS(answer_theoretical!$T$2:$T$486,answer_theoretical!$A$2:$A$486,$A31,answer_theoretical!$F$2:$F$486,"gpt-4o",answer_theoretical!$D$2:$D$486,"answer_theoretical/outline")</f>
        <v>22.011228301562369</v>
      </c>
      <c r="K31" s="20">
        <f>COUNTIFS(answer_theoretical!$A$2:$A$486,$A31,answer_theoretical!$F$2:$F$486,"gpt-4o",answer_theoretical!$D$2:$D$486,"answer_theoretical/case_examples")</f>
        <v>7</v>
      </c>
      <c r="L31" s="13">
        <f>SUMIFS(answer_theoretical!$K$2:$K$486,answer_theoretical!$A$2:$A$486,$A31,answer_theoretical!$F$2:$F$486,"gpt-4o",answer_theoretical!$D$2:$D$486,"answer_theoretical/case_examples")</f>
        <v>0.13676199999999999</v>
      </c>
      <c r="M31" s="12">
        <f>SUMIFS(answer_theoretical!$L$2:$L$486,answer_theoretical!$A$2:$A$486,$A31,answer_theoretical!$F$2:$F$486,"gpt-4o",answer_theoretical!$D$2:$D$486,"answer_theoretical/case_examples")</f>
        <v>55.611243999999999</v>
      </c>
      <c r="N31" s="12">
        <f>SUMIFS(answer_theoretical!$T$2:$T$486,answer_theoretical!$A$2:$A$486,$A31,answer_theoretical!$F$2:$F$486,"gpt-4o",answer_theoretical!$D$2:$D$486,"answer_theoretical/case_examples")</f>
        <v>36.241001752205193</v>
      </c>
      <c r="O31" s="20">
        <f>COUNTIFS(answer_theoretical!$A$2:$A$486,$A31,answer_theoretical!$F$2:$F$486,"gpt-4o",answer_theoretical!$D$2:$D$486,"answer_theoretical/composition")</f>
        <v>9</v>
      </c>
      <c r="P31" s="13">
        <f>SUMIFS(answer_theoretical!$K$2:$K$486,answer_theoretical!$A$2:$A$486,$A31,answer_theoretical!$F$2:$F$486,"gpt-4o",answer_theoretical!$D$2:$D$486,"answer_theoretical/composition")</f>
        <v>0.30979700000000004</v>
      </c>
      <c r="Q31" s="12">
        <f>SUMIFS(answer_theoretical!$L$2:$L$486,answer_theoretical!$A$2:$A$486,$A31,answer_theoretical!$F$2:$F$486,"gpt-4o",answer_theoretical!$D$2:$D$486,"answer_theoretical/composition")</f>
        <v>121.69527599999999</v>
      </c>
      <c r="R31" s="12">
        <f>SUMIFS(answer_theoretical!$T$2:$T$486,answer_theoretical!$A$2:$A$486,$A31,answer_theoretical!$F$2:$F$486,"gpt-4o",answer_theoretical!$D$2:$D$486,"answer_theoretical/composition")</f>
        <v>57.06755721475929</v>
      </c>
      <c r="S31" s="20">
        <f>COUNTIFS(answer_theoretical!$A$2:$A$486,$A31,answer_theoretical!$F$2:$F$486,"gpt-4o",answer_theoretical!$D$2:$D$486,"answer_theoretical/overview")</f>
        <v>1</v>
      </c>
      <c r="T31" s="13">
        <f>SUMIFS(answer_theoretical!$K$2:$K$486,answer_theoretical!$A$2:$A$486,$A31,answer_theoretical!$F$2:$F$486,"gpt-4o",answer_theoretical!$D$2:$D$486,"answer_theoretical/overview")</f>
        <v>9.5949999999999994E-3</v>
      </c>
      <c r="U31" s="12">
        <f>SUMIFS(answer_theoretical!$L$2:$L$486,answer_theoretical!$A$2:$A$486,$A31,answer_theoretical!$F$2:$F$486,"gpt-4o",answer_theoretical!$D$2:$D$486,"answer_theoretical/overview")</f>
        <v>5.0279959999999999</v>
      </c>
      <c r="V31" s="12">
        <f>SUMIFS(answer_theoretical!$T$2:$T$486,answer_theoretical!$A$2:$A$486,$A31,answer_theoretical!$F$2:$F$486,"gpt-4o",answer_theoretical!$D$2:$D$486,"answer_theoretical/overview")</f>
        <v>5.0279958872124553</v>
      </c>
      <c r="W31" s="12">
        <f>SUMIFS(answer_theoretical!$U$2:$U$486,answer_theoretical!$A$2:$A$486,$A31,answer_theoretical!$F$2:$F$486,"gpt-4o")</f>
        <v>122.48605107888579</v>
      </c>
      <c r="X31" s="12">
        <f>INDEX(runs!$K:$K,MATCH(A31,runs!$A:$A,0))</f>
        <v>203.91300000000001</v>
      </c>
      <c r="Y31" s="14">
        <f t="shared" si="0"/>
        <v>0.60067799051009885</v>
      </c>
    </row>
    <row r="32" spans="1:25" x14ac:dyDescent="0.35">
      <c r="A32" s="11" t="s">
        <v>189</v>
      </c>
      <c r="B32" s="11" t="str">
        <f>INDEX(runs!$D:$D,MATCH(A32,runs!$A:$A,0))</f>
        <v>How to assess dominance in multi-sided market?</v>
      </c>
      <c r="C32" s="20">
        <f>COUNTIFS(answer_theoretical!$A$2:$A$486,$A32,answer_theoretical!$F$2:$F$486,"gpt-4o",answer_theoretical!$D$2:$D$486,"agent_reasoning")</f>
        <v>1</v>
      </c>
      <c r="D32" s="13">
        <f>SUMIFS(answer_theoretical!$K$2:$K$486,answer_theoretical!$A$2:$A$486,$A32,answer_theoretical!$F$2:$F$486,"gpt-4o",answer_theoretical!$D$2:$D$486,"agent_reasoning")</f>
        <v>2.2049999999999999E-3</v>
      </c>
      <c r="E32" s="12">
        <f>SUMIFS(answer_theoretical!$L$2:$L$486,answer_theoretical!$A$2:$A$486,$A32,answer_theoretical!$F$2:$F$486,"gpt-4o",answer_theoretical!$D$2:$D$486,"agent_reasoning")</f>
        <v>1.754993</v>
      </c>
      <c r="F32" s="12">
        <f>SUMIFS(answer_theoretical!$T$2:$T$486,answer_theoretical!$A$2:$A$486,$A32,answer_theoretical!$F$2:$F$486,"gpt-4o",answer_theoretical!$D$2:$D$486,"agent_reasoning")</f>
        <v>1.7549932468682528</v>
      </c>
      <c r="G32" s="20">
        <f>COUNTIFS(answer_theoretical!$A$2:$A$486,$A32,answer_theoretical!$F$2:$F$486,"gpt-4o",answer_theoretical!$D$2:$D$486,"answer_theoretical/outline")</f>
        <v>1</v>
      </c>
      <c r="H32" s="13">
        <f>SUMIFS(answer_theoretical!$K$2:$K$486,answer_theoretical!$A$2:$A$486,$A32,answer_theoretical!$F$2:$F$486,"gpt-4o",answer_theoretical!$D$2:$D$486,"answer_theoretical/outline")</f>
        <v>4.2735000000000002E-2</v>
      </c>
      <c r="I32" s="12">
        <f>SUMIFS(answer_theoretical!$L$2:$L$486,answer_theoretical!$A$2:$A$486,$A32,answer_theoretical!$F$2:$F$486,"gpt-4o",answer_theoretical!$D$2:$D$486,"answer_theoretical/outline")</f>
        <v>17.784887999999999</v>
      </c>
      <c r="J32" s="12">
        <f>SUMIFS(answer_theoretical!$T$2:$T$486,answer_theoretical!$A$2:$A$486,$A32,answer_theoretical!$F$2:$F$486,"gpt-4o",answer_theoretical!$D$2:$D$486,"answer_theoretical/outline")</f>
        <v>17.784887691959739</v>
      </c>
      <c r="K32" s="20">
        <f>COUNTIFS(answer_theoretical!$A$2:$A$486,$A32,answer_theoretical!$F$2:$F$486,"gpt-4o",answer_theoretical!$D$2:$D$486,"answer_theoretical/case_examples")</f>
        <v>3</v>
      </c>
      <c r="L32" s="13">
        <f>SUMIFS(answer_theoretical!$K$2:$K$486,answer_theoretical!$A$2:$A$486,$A32,answer_theoretical!$F$2:$F$486,"gpt-4o",answer_theoretical!$D$2:$D$486,"answer_theoretical/case_examples")</f>
        <v>7.0096999999999993E-2</v>
      </c>
      <c r="M32" s="12">
        <f>SUMIFS(answer_theoretical!$L$2:$L$486,answer_theoretical!$A$2:$A$486,$A32,answer_theoretical!$F$2:$F$486,"gpt-4o",answer_theoretical!$D$2:$D$486,"answer_theoretical/case_examples")</f>
        <v>18.843479000000002</v>
      </c>
      <c r="N32" s="12">
        <f>SUMIFS(answer_theoretical!$T$2:$T$486,answer_theoretical!$A$2:$A$486,$A32,answer_theoretical!$F$2:$F$486,"gpt-4o",answer_theoretical!$D$2:$D$486,"answer_theoretical/case_examples")</f>
        <v>7.3643434792757034</v>
      </c>
      <c r="O32" s="20">
        <f>COUNTIFS(answer_theoretical!$A$2:$A$486,$A32,answer_theoretical!$F$2:$F$486,"gpt-4o",answer_theoretical!$D$2:$D$486,"answer_theoretical/composition")</f>
        <v>7</v>
      </c>
      <c r="P32" s="13">
        <f>SUMIFS(answer_theoretical!$K$2:$K$486,answer_theoretical!$A$2:$A$486,$A32,answer_theoretical!$F$2:$F$486,"gpt-4o",answer_theoretical!$D$2:$D$486,"answer_theoretical/composition")</f>
        <v>0.245007</v>
      </c>
      <c r="Q32" s="12">
        <f>SUMIFS(answer_theoretical!$L$2:$L$486,answer_theoretical!$A$2:$A$486,$A32,answer_theoretical!$F$2:$F$486,"gpt-4o",answer_theoretical!$D$2:$D$486,"answer_theoretical/composition")</f>
        <v>93.161097999999996</v>
      </c>
      <c r="R32" s="12">
        <f>SUMIFS(answer_theoretical!$T$2:$T$486,answer_theoretical!$A$2:$A$486,$A32,answer_theoretical!$F$2:$F$486,"gpt-4o",answer_theoretical!$D$2:$D$486,"answer_theoretical/composition")</f>
        <v>44.619633886031806</v>
      </c>
      <c r="S32" s="20">
        <f>COUNTIFS(answer_theoretical!$A$2:$A$486,$A32,answer_theoretical!$F$2:$F$486,"gpt-4o",answer_theoretical!$D$2:$D$486,"answer_theoretical/overview")</f>
        <v>1</v>
      </c>
      <c r="T32" s="13">
        <f>SUMIFS(answer_theoretical!$K$2:$K$486,answer_theoretical!$A$2:$A$486,$A32,answer_theoretical!$F$2:$F$486,"gpt-4o",answer_theoretical!$D$2:$D$486,"answer_theoretical/overview")</f>
        <v>8.6130000000000009E-3</v>
      </c>
      <c r="U32" s="12">
        <f>SUMIFS(answer_theoretical!$L$2:$L$486,answer_theoretical!$A$2:$A$486,$A32,answer_theoretical!$F$2:$F$486,"gpt-4o",answer_theoretical!$D$2:$D$486,"answer_theoretical/overview")</f>
        <v>3.0038749999999999</v>
      </c>
      <c r="V32" s="12">
        <f>SUMIFS(answer_theoretical!$T$2:$T$486,answer_theoretical!$A$2:$A$486,$A32,answer_theoretical!$F$2:$F$486,"gpt-4o",answer_theoretical!$D$2:$D$486,"answer_theoretical/overview")</f>
        <v>3.0038750264793634</v>
      </c>
      <c r="W32" s="12">
        <f>SUMIFS(answer_theoretical!$U$2:$U$486,answer_theoretical!$A$2:$A$486,$A32,answer_theoretical!$F$2:$F$486,"gpt-4o")</f>
        <v>74.523858376778662</v>
      </c>
      <c r="X32" s="12">
        <f>INDEX(runs!$K:$K,MATCH(A32,runs!$A:$A,0))</f>
        <v>132.155</v>
      </c>
      <c r="Y32" s="14">
        <f t="shared" si="0"/>
        <v>0.56391251467427383</v>
      </c>
    </row>
    <row r="33" spans="1:25" x14ac:dyDescent="0.35">
      <c r="A33" s="11" t="s">
        <v>224</v>
      </c>
      <c r="B33" s="11" t="str">
        <f>INDEX(runs!$D:$D,MATCH(A33,runs!$A:$A,0))</f>
        <v>How to determine a price-fixing cartel?</v>
      </c>
      <c r="C33" s="20">
        <f>COUNTIFS(answer_theoretical!$A$2:$A$486,$A33,answer_theoretical!$F$2:$F$486,"gpt-4o",answer_theoretical!$D$2:$D$486,"agent_reasoning")</f>
        <v>1</v>
      </c>
      <c r="D33" s="13">
        <f>SUMIFS(answer_theoretical!$K$2:$K$486,answer_theoretical!$A$2:$A$486,$A33,answer_theoretical!$F$2:$F$486,"gpt-4o",answer_theoretical!$D$2:$D$486,"agent_reasoning")</f>
        <v>2.1949999999999999E-3</v>
      </c>
      <c r="E33" s="12">
        <f>SUMIFS(answer_theoretical!$L$2:$L$486,answer_theoretical!$A$2:$A$486,$A33,answer_theoretical!$F$2:$F$486,"gpt-4o",answer_theoretical!$D$2:$D$486,"agent_reasoning")</f>
        <v>1.653699</v>
      </c>
      <c r="F33" s="12">
        <f>SUMIFS(answer_theoretical!$T$2:$T$486,answer_theoretical!$A$2:$A$486,$A33,answer_theoretical!$F$2:$F$486,"gpt-4o",answer_theoretical!$D$2:$D$486,"agent_reasoning")</f>
        <v>1.6536987852305174</v>
      </c>
      <c r="G33" s="20">
        <f>COUNTIFS(answer_theoretical!$A$2:$A$486,$A33,answer_theoretical!$F$2:$F$486,"gpt-4o",answer_theoretical!$D$2:$D$486,"answer_theoretical/outline")</f>
        <v>1</v>
      </c>
      <c r="H33" s="13">
        <f>SUMIFS(answer_theoretical!$K$2:$K$486,answer_theoretical!$A$2:$A$486,$A33,answer_theoretical!$F$2:$F$486,"gpt-4o",answer_theoretical!$D$2:$D$486,"answer_theoretical/outline")</f>
        <v>4.156E-2</v>
      </c>
      <c r="I33" s="12">
        <f>SUMIFS(answer_theoretical!$L$2:$L$486,answer_theoretical!$A$2:$A$486,$A33,answer_theoretical!$F$2:$F$486,"gpt-4o",answer_theoretical!$D$2:$D$486,"answer_theoretical/outline")</f>
        <v>17.432186999999999</v>
      </c>
      <c r="J33" s="12">
        <f>SUMIFS(answer_theoretical!$T$2:$T$486,answer_theoretical!$A$2:$A$486,$A33,answer_theoretical!$F$2:$F$486,"gpt-4o",answer_theoretical!$D$2:$D$486,"answer_theoretical/outline")</f>
        <v>17.432187055237591</v>
      </c>
      <c r="K33" s="20">
        <f>COUNTIFS(answer_theoretical!$A$2:$A$486,$A33,answer_theoretical!$F$2:$F$486,"gpt-4o",answer_theoretical!$D$2:$D$486,"answer_theoretical/case_examples")</f>
        <v>3</v>
      </c>
      <c r="L33" s="13">
        <f>SUMIFS(answer_theoretical!$K$2:$K$486,answer_theoretical!$A$2:$A$486,$A33,answer_theoretical!$F$2:$F$486,"gpt-4o",answer_theoretical!$D$2:$D$486,"answer_theoretical/case_examples")</f>
        <v>7.785700000000001E-2</v>
      </c>
      <c r="M33" s="12">
        <f>SUMIFS(answer_theoretical!$L$2:$L$486,answer_theoretical!$A$2:$A$486,$A33,answer_theoretical!$F$2:$F$486,"gpt-4o",answer_theoretical!$D$2:$D$486,"answer_theoretical/case_examples")</f>
        <v>23.413373999999997</v>
      </c>
      <c r="N33" s="12">
        <f>SUMIFS(answer_theoretical!$T$2:$T$486,answer_theoretical!$A$2:$A$486,$A33,answer_theoretical!$F$2:$F$486,"gpt-4o",answer_theoretical!$D$2:$D$486,"answer_theoretical/case_examples")</f>
        <v>16.626984975300729</v>
      </c>
      <c r="O33" s="20">
        <f>COUNTIFS(answer_theoretical!$A$2:$A$486,$A33,answer_theoretical!$F$2:$F$486,"gpt-4o",answer_theoretical!$D$2:$D$486,"answer_theoretical/composition")</f>
        <v>6</v>
      </c>
      <c r="P33" s="13">
        <f>SUMIFS(answer_theoretical!$K$2:$K$486,answer_theoretical!$A$2:$A$486,$A33,answer_theoretical!$F$2:$F$486,"gpt-4o",answer_theoretical!$D$2:$D$486,"answer_theoretical/composition")</f>
        <v>0.172958</v>
      </c>
      <c r="Q33" s="12">
        <f>SUMIFS(answer_theoretical!$L$2:$L$486,answer_theoretical!$A$2:$A$486,$A33,answer_theoretical!$F$2:$F$486,"gpt-4o",answer_theoretical!$D$2:$D$486,"answer_theoretical/composition")</f>
        <v>70.506366</v>
      </c>
      <c r="R33" s="12">
        <f>SUMIFS(answer_theoretical!$T$2:$T$486,answer_theoretical!$A$2:$A$486,$A33,answer_theoretical!$F$2:$F$486,"gpt-4o",answer_theoretical!$D$2:$D$486,"answer_theoretical/composition")</f>
        <v>23.332661110907793</v>
      </c>
      <c r="S33" s="20">
        <f>COUNTIFS(answer_theoretical!$A$2:$A$486,$A33,answer_theoretical!$F$2:$F$486,"gpt-4o",answer_theoretical!$D$2:$D$486,"answer_theoretical/overview")</f>
        <v>1</v>
      </c>
      <c r="T33" s="13">
        <f>SUMIFS(answer_theoretical!$K$2:$K$486,answer_theoretical!$A$2:$A$486,$A33,answer_theoretical!$F$2:$F$486,"gpt-4o",answer_theoretical!$D$2:$D$486,"answer_theoretical/overview")</f>
        <v>9.3349999999999995E-3</v>
      </c>
      <c r="U33" s="12">
        <f>SUMIFS(answer_theoretical!$L$2:$L$486,answer_theoretical!$A$2:$A$486,$A33,answer_theoretical!$F$2:$F$486,"gpt-4o",answer_theoretical!$D$2:$D$486,"answer_theoretical/overview")</f>
        <v>4.4094879999999996</v>
      </c>
      <c r="V33" s="12">
        <f>SUMIFS(answer_theoretical!$T$2:$T$486,answer_theoretical!$A$2:$A$486,$A33,answer_theoretical!$F$2:$F$486,"gpt-4o",answer_theoretical!$D$2:$D$486,"answer_theoretical/overview")</f>
        <v>4.409488127566874</v>
      </c>
      <c r="W33" s="12">
        <f>SUMIFS(answer_theoretical!$U$2:$U$486,answer_theoretical!$A$2:$A$486,$A33,answer_theoretical!$F$2:$F$486,"gpt-4o")</f>
        <v>62.712870840914547</v>
      </c>
      <c r="X33" s="12">
        <f>INDEX(runs!$K:$K,MATCH(A33,runs!$A:$A,0))</f>
        <v>106.807</v>
      </c>
      <c r="Y33" s="14">
        <f t="shared" si="0"/>
        <v>0.5871606808628137</v>
      </c>
    </row>
    <row r="34" spans="1:25" x14ac:dyDescent="0.35">
      <c r="A34" s="11" t="s">
        <v>254</v>
      </c>
      <c r="B34" s="11" t="str">
        <f>INDEX(runs!$D:$D,MATCH(A34,runs!$A:$A,0))</f>
        <v>Explain resale price maintenance and why it is treated as a by-object restriction.</v>
      </c>
      <c r="C34" s="20">
        <f>COUNTIFS(answer_theoretical!$A$2:$A$486,$A34,answer_theoretical!$F$2:$F$486,"gpt-4o",answer_theoretical!$D$2:$D$486,"agent_reasoning")</f>
        <v>1</v>
      </c>
      <c r="D34" s="13">
        <f>SUMIFS(answer_theoretical!$K$2:$K$486,answer_theoretical!$A$2:$A$486,$A34,answer_theoretical!$F$2:$F$486,"gpt-4o",answer_theoretical!$D$2:$D$486,"agent_reasoning")</f>
        <v>2.2599999999999999E-3</v>
      </c>
      <c r="E34" s="12">
        <f>SUMIFS(answer_theoretical!$L$2:$L$486,answer_theoretical!$A$2:$A$486,$A34,answer_theoretical!$F$2:$F$486,"gpt-4o",answer_theoretical!$D$2:$D$486,"agent_reasoning")</f>
        <v>1.989169</v>
      </c>
      <c r="F34" s="12">
        <f>SUMIFS(answer_theoretical!$T$2:$T$486,answer_theoretical!$A$2:$A$486,$A34,answer_theoretical!$F$2:$F$486,"gpt-4o",answer_theoretical!$D$2:$D$486,"agent_reasoning")</f>
        <v>1.9891689531505108</v>
      </c>
      <c r="G34" s="20">
        <f>COUNTIFS(answer_theoretical!$A$2:$A$486,$A34,answer_theoretical!$F$2:$F$486,"gpt-4o",answer_theoretical!$D$2:$D$486,"answer_theoretical/outline")</f>
        <v>1</v>
      </c>
      <c r="H34" s="13">
        <f>SUMIFS(answer_theoretical!$K$2:$K$486,answer_theoretical!$A$2:$A$486,$A34,answer_theoretical!$F$2:$F$486,"gpt-4o",answer_theoretical!$D$2:$D$486,"answer_theoretical/outline")</f>
        <v>4.539E-2</v>
      </c>
      <c r="I34" s="12">
        <f>SUMIFS(answer_theoretical!$L$2:$L$486,answer_theoretical!$A$2:$A$486,$A34,answer_theoretical!$F$2:$F$486,"gpt-4o",answer_theoretical!$D$2:$D$486,"answer_theoretical/outline")</f>
        <v>23.771246999999999</v>
      </c>
      <c r="J34" s="12">
        <f>SUMIFS(answer_theoretical!$T$2:$T$486,answer_theoretical!$A$2:$A$486,$A34,answer_theoretical!$F$2:$F$486,"gpt-4o",answer_theoretical!$D$2:$D$486,"answer_theoretical/outline")</f>
        <v>23.771246918477118</v>
      </c>
      <c r="K34" s="20">
        <f>COUNTIFS(answer_theoretical!$A$2:$A$486,$A34,answer_theoretical!$F$2:$F$486,"gpt-4o",answer_theoretical!$D$2:$D$486,"answer_theoretical/case_examples")</f>
        <v>3</v>
      </c>
      <c r="L34" s="13">
        <f>SUMIFS(answer_theoretical!$K$2:$K$486,answer_theoretical!$A$2:$A$486,$A34,answer_theoretical!$F$2:$F$486,"gpt-4o",answer_theoretical!$D$2:$D$486,"answer_theoretical/case_examples")</f>
        <v>7.0127999999999996E-2</v>
      </c>
      <c r="M34" s="12">
        <f>SUMIFS(answer_theoretical!$L$2:$L$486,answer_theoretical!$A$2:$A$486,$A34,answer_theoretical!$F$2:$F$486,"gpt-4o",answer_theoretical!$D$2:$D$486,"answer_theoretical/case_examples")</f>
        <v>35.077983000000003</v>
      </c>
      <c r="N34" s="12">
        <f>SUMIFS(answer_theoretical!$T$2:$T$486,answer_theoretical!$A$2:$A$486,$A34,answer_theoretical!$F$2:$F$486,"gpt-4o",answer_theoretical!$D$2:$D$486,"answer_theoretical/case_examples")</f>
        <v>18.18103005643934</v>
      </c>
      <c r="O34" s="20">
        <f>COUNTIFS(answer_theoretical!$A$2:$A$486,$A34,answer_theoretical!$F$2:$F$486,"gpt-4o",answer_theoretical!$D$2:$D$486,"answer_theoretical/composition")</f>
        <v>8</v>
      </c>
      <c r="P34" s="13">
        <f>SUMIFS(answer_theoretical!$K$2:$K$486,answer_theoretical!$A$2:$A$486,$A34,answer_theoretical!$F$2:$F$486,"gpt-4o",answer_theoretical!$D$2:$D$486,"answer_theoretical/composition")</f>
        <v>0.25728699999999999</v>
      </c>
      <c r="Q34" s="12">
        <f>SUMIFS(answer_theoretical!$L$2:$L$486,answer_theoretical!$A$2:$A$486,$A34,answer_theoretical!$F$2:$F$486,"gpt-4o",answer_theoretical!$D$2:$D$486,"answer_theoretical/composition")</f>
        <v>126.665299</v>
      </c>
      <c r="R34" s="12">
        <f>SUMIFS(answer_theoretical!$T$2:$T$486,answer_theoretical!$A$2:$A$486,$A34,answer_theoretical!$F$2:$F$486,"gpt-4o",answer_theoretical!$D$2:$D$486,"answer_theoretical/composition")</f>
        <v>57.561730756424367</v>
      </c>
      <c r="S34" s="20">
        <f>COUNTIFS(answer_theoretical!$A$2:$A$486,$A34,answer_theoretical!$F$2:$F$486,"gpt-4o",answer_theoretical!$D$2:$D$486,"answer_theoretical/overview")</f>
        <v>1</v>
      </c>
      <c r="T34" s="13">
        <f>SUMIFS(answer_theoretical!$K$2:$K$486,answer_theoretical!$A$2:$A$486,$A34,answer_theoretical!$F$2:$F$486,"gpt-4o",answer_theoretical!$D$2:$D$486,"answer_theoretical/overview")</f>
        <v>1.1505E-2</v>
      </c>
      <c r="U34" s="12">
        <f>SUMIFS(answer_theoretical!$L$2:$L$486,answer_theoretical!$A$2:$A$486,$A34,answer_theoretical!$F$2:$F$486,"gpt-4o",answer_theoretical!$D$2:$D$486,"answer_theoretical/overview")</f>
        <v>4.747007</v>
      </c>
      <c r="V34" s="12">
        <f>SUMIFS(answer_theoretical!$T$2:$T$486,answer_theoretical!$A$2:$A$486,$A34,answer_theoretical!$F$2:$F$486,"gpt-4o",answer_theoretical!$D$2:$D$486,"answer_theoretical/overview")</f>
        <v>4.7470070421695709</v>
      </c>
      <c r="W34" s="12">
        <f>SUMIFS(answer_theoretical!$U$2:$U$486,answer_theoretical!$A$2:$A$486,$A34,answer_theoretical!$F$2:$F$486,"gpt-4o")</f>
        <v>105.50317636225373</v>
      </c>
      <c r="X34" s="12">
        <f>INDEX(runs!$K:$K,MATCH(A34,runs!$A:$A,0))</f>
        <v>144.572</v>
      </c>
      <c r="Y34" s="14">
        <f t="shared" si="0"/>
        <v>0.72976216945365435</v>
      </c>
    </row>
    <row r="35" spans="1:25" x14ac:dyDescent="0.35">
      <c r="A35" s="11" t="s">
        <v>286</v>
      </c>
      <c r="B35" s="11" t="str">
        <f>INDEX(runs!$D:$D,MATCH(A35,runs!$A:$A,0))</f>
        <v>What are the most important indicators used in merger assessment?</v>
      </c>
      <c r="C35" s="20">
        <f>COUNTIFS(answer_theoretical!$A$2:$A$486,$A35,answer_theoretical!$F$2:$F$486,"gpt-4o",answer_theoretical!$D$2:$D$486,"agent_reasoning")</f>
        <v>1</v>
      </c>
      <c r="D35" s="13">
        <f>SUMIFS(answer_theoretical!$K$2:$K$486,answer_theoretical!$A$2:$A$486,$A35,answer_theoretical!$F$2:$F$486,"gpt-4o",answer_theoretical!$D$2:$D$486,"agent_reasoning")</f>
        <v>4.8799999999999998E-3</v>
      </c>
      <c r="E35" s="12">
        <f>SUMIFS(answer_theoretical!$L$2:$L$486,answer_theoretical!$A$2:$A$486,$A35,answer_theoretical!$F$2:$F$486,"gpt-4o",answer_theoretical!$D$2:$D$486,"agent_reasoning")</f>
        <v>5.1643280000000003</v>
      </c>
      <c r="F35" s="12">
        <f>SUMIFS(answer_theoretical!$T$2:$T$486,answer_theoretical!$A$2:$A$486,$A35,answer_theoretical!$F$2:$F$486,"gpt-4o",answer_theoretical!$D$2:$D$486,"agent_reasoning")</f>
        <v>5.1643277518451214</v>
      </c>
      <c r="G35" s="20">
        <f>COUNTIFS(answer_theoretical!$A$2:$A$486,$A35,answer_theoretical!$F$2:$F$486,"gpt-4o",answer_theoretical!$D$2:$D$486,"answer_theoretical/outline")</f>
        <v>2</v>
      </c>
      <c r="H35" s="13">
        <f>SUMIFS(answer_theoretical!$K$2:$K$486,answer_theoretical!$A$2:$A$486,$A35,answer_theoretical!$F$2:$F$486,"gpt-4o",answer_theoretical!$D$2:$D$486,"answer_theoretical/outline")</f>
        <v>7.5225E-2</v>
      </c>
      <c r="I35" s="12">
        <f>SUMIFS(answer_theoretical!$L$2:$L$486,answer_theoretical!$A$2:$A$486,$A35,answer_theoretical!$F$2:$F$486,"gpt-4o",answer_theoretical!$D$2:$D$486,"answer_theoretical/outline")</f>
        <v>36.421605999999997</v>
      </c>
      <c r="J35" s="12">
        <f>SUMIFS(answer_theoretical!$T$2:$T$486,answer_theoretical!$A$2:$A$486,$A35,answer_theoretical!$F$2:$F$486,"gpt-4o",answer_theoretical!$D$2:$D$486,"answer_theoretical/outline")</f>
        <v>36.421606410294771</v>
      </c>
      <c r="K35" s="20">
        <f>COUNTIFS(answer_theoretical!$A$2:$A$486,$A35,answer_theoretical!$F$2:$F$486,"gpt-4o",answer_theoretical!$D$2:$D$486,"answer_theoretical/case_examples")</f>
        <v>1</v>
      </c>
      <c r="L35" s="13">
        <f>SUMIFS(answer_theoretical!$K$2:$K$486,answer_theoretical!$A$2:$A$486,$A35,answer_theoretical!$F$2:$F$486,"gpt-4o",answer_theoretical!$D$2:$D$486,"answer_theoretical/case_examples")</f>
        <v>1.6841999999999999E-2</v>
      </c>
      <c r="M35" s="12">
        <f>SUMIFS(answer_theoretical!$L$2:$L$486,answer_theoretical!$A$2:$A$486,$A35,answer_theoretical!$F$2:$F$486,"gpt-4o",answer_theoretical!$D$2:$D$486,"answer_theoretical/case_examples")</f>
        <v>6.3431709999999999</v>
      </c>
      <c r="N35" s="12">
        <f>SUMIFS(answer_theoretical!$T$2:$T$486,answer_theoretical!$A$2:$A$486,$A35,answer_theoretical!$F$2:$F$486,"gpt-4o",answer_theoretical!$D$2:$D$486,"answer_theoretical/case_examples")</f>
        <v>6.3431711867451668</v>
      </c>
      <c r="O35" s="20">
        <f>COUNTIFS(answer_theoretical!$A$2:$A$486,$A35,answer_theoretical!$F$2:$F$486,"gpt-4o",answer_theoretical!$D$2:$D$486,"answer_theoretical/composition")</f>
        <v>9</v>
      </c>
      <c r="P35" s="13">
        <f>SUMIFS(answer_theoretical!$K$2:$K$486,answer_theoretical!$A$2:$A$486,$A35,answer_theoretical!$F$2:$F$486,"gpt-4o",answer_theoretical!$D$2:$D$486,"answer_theoretical/composition")</f>
        <v>0.29476899999999995</v>
      </c>
      <c r="Q35" s="12">
        <f>SUMIFS(answer_theoretical!$L$2:$L$486,answer_theoretical!$A$2:$A$486,$A35,answer_theoretical!$F$2:$F$486,"gpt-4o",answer_theoretical!$D$2:$D$486,"answer_theoretical/composition")</f>
        <v>146.38980700000002</v>
      </c>
      <c r="R35" s="12">
        <f>SUMIFS(answer_theoretical!$T$2:$T$486,answer_theoretical!$A$2:$A$486,$A35,answer_theoretical!$F$2:$F$486,"gpt-4o",answer_theoretical!$D$2:$D$486,"answer_theoretical/composition")</f>
        <v>65.965375956147909</v>
      </c>
      <c r="S35" s="20">
        <f>COUNTIFS(answer_theoretical!$A$2:$A$486,$A35,answer_theoretical!$F$2:$F$486,"gpt-4o",answer_theoretical!$D$2:$D$486,"answer_theoretical/overview")</f>
        <v>1</v>
      </c>
      <c r="T35" s="13">
        <f>SUMIFS(answer_theoretical!$K$2:$K$486,answer_theoretical!$A$2:$A$486,$A35,answer_theoretical!$F$2:$F$486,"gpt-4o",answer_theoretical!$D$2:$D$486,"answer_theoretical/overview")</f>
        <v>1.0448000000000001E-2</v>
      </c>
      <c r="U35" s="12">
        <f>SUMIFS(answer_theoretical!$L$2:$L$486,answer_theoretical!$A$2:$A$486,$A35,answer_theoretical!$F$2:$F$486,"gpt-4o",answer_theoretical!$D$2:$D$486,"answer_theoretical/overview")</f>
        <v>4.4342180000000004</v>
      </c>
      <c r="V35" s="12">
        <f>SUMIFS(answer_theoretical!$T$2:$T$486,answer_theoretical!$A$2:$A$486,$A35,answer_theoretical!$F$2:$F$486,"gpt-4o",answer_theoretical!$D$2:$D$486,"answer_theoretical/overview")</f>
        <v>4.4342183042317629</v>
      </c>
      <c r="W35" s="12">
        <f>SUMIFS(answer_theoretical!$U$2:$U$486,answer_theoretical!$A$2:$A$486,$A35,answer_theoretical!$F$2:$F$486,"gpt-4o")</f>
        <v>117.89448098279536</v>
      </c>
      <c r="X35" s="12">
        <f>INDEX(runs!$K:$K,MATCH(A35,runs!$A:$A,0))</f>
        <v>166.11799999999999</v>
      </c>
      <c r="Y35" s="14">
        <f t="shared" si="0"/>
        <v>0.70970322892639792</v>
      </c>
    </row>
    <row r="36" spans="1:25" x14ac:dyDescent="0.35">
      <c r="A36" s="11" t="s">
        <v>326</v>
      </c>
      <c r="B36" s="11" t="str">
        <f>INDEX(runs!$D:$D,MATCH(A36,runs!$A:$A,0))</f>
        <v>What are the theories of harm in merger cases in digital market?</v>
      </c>
      <c r="C36" s="20">
        <f>COUNTIFS(answer_theoretical!$A$2:$A$486,$A36,answer_theoretical!$F$2:$F$486,"gpt-4o",answer_theoretical!$D$2:$D$486,"agent_reasoning")</f>
        <v>1</v>
      </c>
      <c r="D36" s="13">
        <f>SUMIFS(answer_theoretical!$K$2:$K$486,answer_theoretical!$A$2:$A$486,$A36,answer_theoretical!$F$2:$F$486,"gpt-4o",answer_theoretical!$D$2:$D$486,"agent_reasoning")</f>
        <v>2.1949999999999999E-3</v>
      </c>
      <c r="E36" s="12">
        <f>SUMIFS(answer_theoretical!$L$2:$L$486,answer_theoretical!$A$2:$A$486,$A36,answer_theoretical!$F$2:$F$486,"gpt-4o",answer_theoretical!$D$2:$D$486,"agent_reasoning")</f>
        <v>1.9296599999999999</v>
      </c>
      <c r="F36" s="12">
        <f>SUMIFS(answer_theoretical!$T$2:$T$486,answer_theoretical!$A$2:$A$486,$A36,answer_theoretical!$F$2:$F$486,"gpt-4o",answer_theoretical!$D$2:$D$486,"agent_reasoning")</f>
        <v>1.9296597456559539</v>
      </c>
      <c r="G36" s="20">
        <f>COUNTIFS(answer_theoretical!$A$2:$A$486,$A36,answer_theoretical!$F$2:$F$486,"gpt-4o",answer_theoretical!$D$2:$D$486,"answer_theoretical/outline")</f>
        <v>2</v>
      </c>
      <c r="H36" s="13">
        <f>SUMIFS(answer_theoretical!$K$2:$K$486,answer_theoretical!$A$2:$A$486,$A36,answer_theoretical!$F$2:$F$486,"gpt-4o",answer_theoretical!$D$2:$D$486,"answer_theoretical/outline")</f>
        <v>7.8311999999999993E-2</v>
      </c>
      <c r="I36" s="12">
        <f>SUMIFS(answer_theoretical!$L$2:$L$486,answer_theoretical!$A$2:$A$486,$A36,answer_theoretical!$F$2:$F$486,"gpt-4o",answer_theoretical!$D$2:$D$486,"answer_theoretical/outline")</f>
        <v>46.409722000000002</v>
      </c>
      <c r="J36" s="12">
        <f>SUMIFS(answer_theoretical!$T$2:$T$486,answer_theoretical!$A$2:$A$486,$A36,answer_theoretical!$F$2:$F$486,"gpt-4o",answer_theoretical!$D$2:$D$486,"answer_theoretical/outline")</f>
        <v>46.307886647991836</v>
      </c>
      <c r="K36" s="20">
        <f>COUNTIFS(answer_theoretical!$A$2:$A$486,$A36,answer_theoretical!$F$2:$F$486,"gpt-4o",answer_theoretical!$D$2:$D$486,"answer_theoretical/case_examples")</f>
        <v>4</v>
      </c>
      <c r="L36" s="13">
        <f>SUMIFS(answer_theoretical!$K$2:$K$486,answer_theoretical!$A$2:$A$486,$A36,answer_theoretical!$F$2:$F$486,"gpt-4o",answer_theoretical!$D$2:$D$486,"answer_theoretical/case_examples")</f>
        <v>8.5299E-2</v>
      </c>
      <c r="M36" s="12">
        <f>SUMIFS(answer_theoretical!$L$2:$L$486,answer_theoretical!$A$2:$A$486,$A36,answer_theoretical!$F$2:$F$486,"gpt-4o",answer_theoretical!$D$2:$D$486,"answer_theoretical/case_examples")</f>
        <v>51.861810000000006</v>
      </c>
      <c r="N36" s="12">
        <f>SUMIFS(answer_theoretical!$T$2:$T$486,answer_theoretical!$A$2:$A$486,$A36,answer_theoretical!$F$2:$F$486,"gpt-4o",answer_theoretical!$D$2:$D$486,"answer_theoretical/case_examples")</f>
        <v>24.417045316658914</v>
      </c>
      <c r="O36" s="20">
        <f>COUNTIFS(answer_theoretical!$A$2:$A$486,$A36,answer_theoretical!$F$2:$F$486,"gpt-4o",answer_theoretical!$D$2:$D$486,"answer_theoretical/composition")</f>
        <v>9</v>
      </c>
      <c r="P36" s="13">
        <f>SUMIFS(answer_theoretical!$K$2:$K$486,answer_theoretical!$A$2:$A$486,$A36,answer_theoretical!$F$2:$F$486,"gpt-4o",answer_theoretical!$D$2:$D$486,"answer_theoretical/composition")</f>
        <v>0.33862799999999998</v>
      </c>
      <c r="Q36" s="12">
        <f>SUMIFS(answer_theoretical!$L$2:$L$486,answer_theoretical!$A$2:$A$486,$A36,answer_theoretical!$F$2:$F$486,"gpt-4o",answer_theoretical!$D$2:$D$486,"answer_theoretical/composition")</f>
        <v>170.52121600000001</v>
      </c>
      <c r="R36" s="12">
        <f>SUMIFS(answer_theoretical!$T$2:$T$486,answer_theoretical!$A$2:$A$486,$A36,answer_theoretical!$F$2:$F$486,"gpt-4o",answer_theoretical!$D$2:$D$486,"answer_theoretical/composition")</f>
        <v>57.708729431033134</v>
      </c>
      <c r="S36" s="20">
        <f>COUNTIFS(answer_theoretical!$A$2:$A$486,$A36,answer_theoretical!$F$2:$F$486,"gpt-4o",answer_theoretical!$D$2:$D$486,"answer_theoretical/overview")</f>
        <v>1</v>
      </c>
      <c r="T36" s="13">
        <f>SUMIFS(answer_theoretical!$K$2:$K$486,answer_theoretical!$A$2:$A$486,$A36,answer_theoretical!$F$2:$F$486,"gpt-4o",answer_theoretical!$D$2:$D$486,"answer_theoretical/overview")</f>
        <v>1.1651999999999999E-2</v>
      </c>
      <c r="U36" s="12">
        <f>SUMIFS(answer_theoretical!$L$2:$L$486,answer_theoretical!$A$2:$A$486,$A36,answer_theoretical!$F$2:$F$486,"gpt-4o",answer_theoretical!$D$2:$D$486,"answer_theoretical/overview")</f>
        <v>4.8874890000000004</v>
      </c>
      <c r="V36" s="12">
        <f>SUMIFS(answer_theoretical!$T$2:$T$486,answer_theoretical!$A$2:$A$486,$A36,answer_theoretical!$F$2:$F$486,"gpt-4o",answer_theoretical!$D$2:$D$486,"answer_theoretical/overview")</f>
        <v>4.8874892061576247</v>
      </c>
      <c r="W36" s="12">
        <f>SUMIFS(answer_theoretical!$U$2:$U$486,answer_theoretical!$A$2:$A$486,$A36,answer_theoretical!$F$2:$F$486,"gpt-4o")</f>
        <v>135.25081034749746</v>
      </c>
      <c r="X36" s="12">
        <f>INDEX(runs!$K:$K,MATCH(A36,runs!$A:$A,0))</f>
        <v>198.072</v>
      </c>
      <c r="Y36" s="14">
        <f t="shared" si="0"/>
        <v>0.68283659652801743</v>
      </c>
    </row>
    <row r="37" spans="1:25" x14ac:dyDescent="0.35">
      <c r="A37" s="15"/>
      <c r="B37" s="15" t="s">
        <v>846</v>
      </c>
      <c r="C37" s="16">
        <f t="shared" ref="C37:X37" si="1">AVERAGE(C30:C36)</f>
        <v>1</v>
      </c>
      <c r="D37" s="17">
        <f t="shared" si="1"/>
        <v>2.5814285714285713E-3</v>
      </c>
      <c r="E37" s="16">
        <f t="shared" si="1"/>
        <v>2.468060571428571</v>
      </c>
      <c r="F37" s="16">
        <f t="shared" si="1"/>
        <v>2.4680604592763951</v>
      </c>
      <c r="G37" s="16">
        <f t="shared" si="1"/>
        <v>1.4285714285714286</v>
      </c>
      <c r="H37" s="17">
        <f t="shared" si="1"/>
        <v>5.5957428571428568E-2</v>
      </c>
      <c r="I37" s="16">
        <f t="shared" si="1"/>
        <v>28.370732142857143</v>
      </c>
      <c r="J37" s="16">
        <f t="shared" si="1"/>
        <v>28.230994134875282</v>
      </c>
      <c r="K37" s="16">
        <f t="shared" si="1"/>
        <v>3.8571428571428572</v>
      </c>
      <c r="L37" s="17">
        <f t="shared" si="1"/>
        <v>8.106785714285715E-2</v>
      </c>
      <c r="M37" s="16">
        <f t="shared" si="1"/>
        <v>34.544945714285724</v>
      </c>
      <c r="N37" s="16">
        <f t="shared" si="1"/>
        <v>20.600176003894635</v>
      </c>
      <c r="O37" s="16">
        <f t="shared" si="1"/>
        <v>8.2857142857142865</v>
      </c>
      <c r="P37" s="17">
        <f t="shared" si="1"/>
        <v>0.28301271428571428</v>
      </c>
      <c r="Q37" s="16">
        <f t="shared" si="1"/>
        <v>124.93032128571429</v>
      </c>
      <c r="R37" s="16">
        <f t="shared" si="1"/>
        <v>53.297519451007247</v>
      </c>
      <c r="S37" s="16">
        <f t="shared" si="1"/>
        <v>1</v>
      </c>
      <c r="T37" s="17">
        <f t="shared" si="1"/>
        <v>1.0360857142857142E-2</v>
      </c>
      <c r="U37" s="16">
        <f t="shared" si="1"/>
        <v>4.6703665714285716</v>
      </c>
      <c r="V37" s="16">
        <f t="shared" si="1"/>
        <v>4.6703666914254427</v>
      </c>
      <c r="W37" s="16">
        <f t="shared" si="1"/>
        <v>108.97814485111407</v>
      </c>
      <c r="X37" s="16">
        <f t="shared" si="1"/>
        <v>188.96428571428572</v>
      </c>
      <c r="Y37" s="18">
        <f t="shared" si="0"/>
        <v>0.57671291926501489</v>
      </c>
    </row>
    <row r="38" spans="1:25" x14ac:dyDescent="0.35">
      <c r="A38" s="15"/>
      <c r="B38" s="15" t="s">
        <v>847</v>
      </c>
      <c r="C38" s="16">
        <f t="shared" ref="C38:Y38" si="2">MEDIAN(C30:C36)</f>
        <v>1</v>
      </c>
      <c r="D38" s="17">
        <f t="shared" si="2"/>
        <v>2.1949999999999999E-3</v>
      </c>
      <c r="E38" s="16">
        <f t="shared" si="2"/>
        <v>1.989169</v>
      </c>
      <c r="F38" s="16">
        <f t="shared" si="2"/>
        <v>1.9891689531505108</v>
      </c>
      <c r="G38" s="16">
        <f t="shared" si="2"/>
        <v>1</v>
      </c>
      <c r="H38" s="17">
        <f t="shared" si="2"/>
        <v>4.539E-2</v>
      </c>
      <c r="I38" s="16">
        <f t="shared" si="2"/>
        <v>23.771246999999999</v>
      </c>
      <c r="J38" s="16">
        <f t="shared" si="2"/>
        <v>23.771246918477118</v>
      </c>
      <c r="K38" s="16">
        <f t="shared" si="2"/>
        <v>3</v>
      </c>
      <c r="L38" s="17">
        <f t="shared" si="2"/>
        <v>7.785700000000001E-2</v>
      </c>
      <c r="M38" s="16">
        <f t="shared" si="2"/>
        <v>35.077983000000003</v>
      </c>
      <c r="N38" s="16">
        <f t="shared" si="2"/>
        <v>18.18103005643934</v>
      </c>
      <c r="O38" s="16">
        <f t="shared" si="2"/>
        <v>9</v>
      </c>
      <c r="P38" s="17">
        <f t="shared" si="2"/>
        <v>0.29476899999999995</v>
      </c>
      <c r="Q38" s="16">
        <f t="shared" si="2"/>
        <v>126.665299</v>
      </c>
      <c r="R38" s="16">
        <f t="shared" si="2"/>
        <v>57.561730756424367</v>
      </c>
      <c r="S38" s="16">
        <f t="shared" si="2"/>
        <v>1</v>
      </c>
      <c r="T38" s="17">
        <f t="shared" si="2"/>
        <v>1.0448000000000001E-2</v>
      </c>
      <c r="U38" s="16">
        <f t="shared" si="2"/>
        <v>4.747007</v>
      </c>
      <c r="V38" s="16">
        <f t="shared" si="2"/>
        <v>4.7470070421695709</v>
      </c>
      <c r="W38" s="16">
        <f t="shared" si="2"/>
        <v>117.89448098279536</v>
      </c>
      <c r="X38" s="16">
        <f t="shared" si="2"/>
        <v>166.11799999999999</v>
      </c>
      <c r="Y38" s="18">
        <f t="shared" si="2"/>
        <v>0.60067799051009885</v>
      </c>
    </row>
    <row r="39" spans="1:25" x14ac:dyDescent="0.35">
      <c r="A39" s="15"/>
      <c r="B39" s="15" t="s">
        <v>848</v>
      </c>
      <c r="C39" s="21">
        <f t="shared" ref="C39:X39" si="3">SUM(C30:C36)</f>
        <v>7</v>
      </c>
      <c r="D39" s="17">
        <f t="shared" si="3"/>
        <v>1.8069999999999999E-2</v>
      </c>
      <c r="E39" s="16">
        <f t="shared" si="3"/>
        <v>17.276423999999999</v>
      </c>
      <c r="F39" s="16">
        <f t="shared" si="3"/>
        <v>17.276423214934766</v>
      </c>
      <c r="G39" s="21">
        <f t="shared" si="3"/>
        <v>10</v>
      </c>
      <c r="H39" s="17">
        <f t="shared" si="3"/>
        <v>0.39170199999999999</v>
      </c>
      <c r="I39" s="16">
        <f t="shared" si="3"/>
        <v>198.595125</v>
      </c>
      <c r="J39" s="16">
        <f t="shared" si="3"/>
        <v>197.61695894412696</v>
      </c>
      <c r="K39" s="21">
        <f t="shared" si="3"/>
        <v>27</v>
      </c>
      <c r="L39" s="17">
        <f t="shared" si="3"/>
        <v>0.56747500000000006</v>
      </c>
      <c r="M39" s="16">
        <f t="shared" si="3"/>
        <v>241.81462000000005</v>
      </c>
      <c r="N39" s="16">
        <f t="shared" si="3"/>
        <v>144.20123202726245</v>
      </c>
      <c r="O39" s="21">
        <f t="shared" si="3"/>
        <v>58</v>
      </c>
      <c r="P39" s="17">
        <f t="shared" si="3"/>
        <v>1.9810889999999999</v>
      </c>
      <c r="Q39" s="16">
        <f t="shared" si="3"/>
        <v>874.512249</v>
      </c>
      <c r="R39" s="16">
        <f t="shared" si="3"/>
        <v>373.08263615705073</v>
      </c>
      <c r="S39" s="21">
        <f t="shared" si="3"/>
        <v>7</v>
      </c>
      <c r="T39" s="17">
        <f t="shared" si="3"/>
        <v>7.2525999999999993E-2</v>
      </c>
      <c r="U39" s="16">
        <f t="shared" si="3"/>
        <v>32.692565999999999</v>
      </c>
      <c r="V39" s="16">
        <f t="shared" si="3"/>
        <v>32.692566839978099</v>
      </c>
      <c r="W39" s="16">
        <f t="shared" si="3"/>
        <v>762.84701395779848</v>
      </c>
      <c r="X39" s="16">
        <f t="shared" si="3"/>
        <v>1322.75</v>
      </c>
      <c r="Y39" s="18">
        <f>W39/X39</f>
        <v>0.57671291926501489</v>
      </c>
    </row>
  </sheetData>
  <mergeCells count="8">
    <mergeCell ref="K28:N28"/>
    <mergeCell ref="S28:V28"/>
    <mergeCell ref="A28:A29"/>
    <mergeCell ref="W28:Y28"/>
    <mergeCell ref="O28:R28"/>
    <mergeCell ref="B28:B29"/>
    <mergeCell ref="C28:F28"/>
    <mergeCell ref="G28:J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Y308"/>
  <sheetViews>
    <sheetView zoomScaleNormal="100" workbookViewId="0">
      <pane xSplit="2" ySplit="1" topLeftCell="AS292" activePane="bottomRight" state="frozen"/>
      <selection pane="topRight" activeCell="C1" sqref="C1"/>
      <selection pane="bottomLeft" activeCell="A2" sqref="A2"/>
      <selection pane="bottomRight" activeCell="AS300" sqref="AS300:AY300"/>
    </sheetView>
  </sheetViews>
  <sheetFormatPr defaultColWidth="8.6328125" defaultRowHeight="14.5" x14ac:dyDescent="0.35"/>
  <cols>
    <col min="1" max="1" width="24" customWidth="1"/>
    <col min="2" max="2" width="40" customWidth="1"/>
    <col min="3" max="51" width="13" customWidth="1"/>
  </cols>
  <sheetData>
    <row r="1" spans="1:17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 customHeight="1" x14ac:dyDescent="0.35">
      <c r="A2" t="s">
        <v>418</v>
      </c>
      <c r="B2">
        <v>1</v>
      </c>
      <c r="C2" t="s">
        <v>461</v>
      </c>
      <c r="D2" t="s">
        <v>24</v>
      </c>
      <c r="E2" t="s">
        <v>25</v>
      </c>
      <c r="F2" t="s">
        <v>26</v>
      </c>
      <c r="G2">
        <v>1173</v>
      </c>
      <c r="H2">
        <v>1024</v>
      </c>
      <c r="I2">
        <v>43</v>
      </c>
      <c r="J2">
        <v>0</v>
      </c>
      <c r="K2">
        <v>2.0830000000000002E-3</v>
      </c>
      <c r="L2">
        <v>1.5855779999999999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ht="15" customHeight="1" x14ac:dyDescent="0.35">
      <c r="A3" t="s">
        <v>418</v>
      </c>
      <c r="B3">
        <v>2</v>
      </c>
      <c r="C3" t="s">
        <v>462</v>
      </c>
      <c r="D3" t="s">
        <v>421</v>
      </c>
      <c r="E3" t="s">
        <v>25</v>
      </c>
      <c r="F3" t="s">
        <v>34</v>
      </c>
      <c r="G3">
        <v>1579</v>
      </c>
      <c r="H3">
        <v>0</v>
      </c>
      <c r="I3">
        <v>44</v>
      </c>
      <c r="J3">
        <v>0</v>
      </c>
      <c r="K3">
        <v>2.63E-4</v>
      </c>
      <c r="L3">
        <v>1.5458689999999999</v>
      </c>
      <c r="M3" t="s">
        <v>27</v>
      </c>
      <c r="N3" t="s">
        <v>28</v>
      </c>
      <c r="O3" t="s">
        <v>463</v>
      </c>
      <c r="P3" t="s">
        <v>464</v>
      </c>
      <c r="Q3" t="s">
        <v>465</v>
      </c>
    </row>
    <row r="4" spans="1:17" ht="15" customHeight="1" x14ac:dyDescent="0.35">
      <c r="A4" t="s">
        <v>418</v>
      </c>
      <c r="B4">
        <v>3</v>
      </c>
      <c r="C4" t="s">
        <v>466</v>
      </c>
      <c r="D4" t="s">
        <v>421</v>
      </c>
      <c r="E4" t="s">
        <v>25</v>
      </c>
      <c r="F4" t="s">
        <v>26</v>
      </c>
      <c r="G4">
        <v>514</v>
      </c>
      <c r="H4">
        <v>0</v>
      </c>
      <c r="I4">
        <v>40</v>
      </c>
      <c r="J4">
        <v>0</v>
      </c>
      <c r="K4">
        <v>1.6850000000000001E-3</v>
      </c>
      <c r="L4">
        <v>1.532583</v>
      </c>
      <c r="M4" t="s">
        <v>27</v>
      </c>
      <c r="N4" t="s">
        <v>28</v>
      </c>
      <c r="O4" t="s">
        <v>467</v>
      </c>
      <c r="P4" t="s">
        <v>468</v>
      </c>
      <c r="Q4" t="s">
        <v>469</v>
      </c>
    </row>
    <row r="5" spans="1:17" ht="15" customHeight="1" x14ac:dyDescent="0.35">
      <c r="A5" t="s">
        <v>418</v>
      </c>
      <c r="B5">
        <v>4</v>
      </c>
      <c r="C5" t="s">
        <v>470</v>
      </c>
      <c r="D5" t="s">
        <v>421</v>
      </c>
      <c r="E5" t="s">
        <v>25</v>
      </c>
      <c r="F5" t="s">
        <v>62</v>
      </c>
      <c r="G5">
        <v>36</v>
      </c>
      <c r="H5">
        <v>0</v>
      </c>
      <c r="I5">
        <v>0</v>
      </c>
      <c r="J5">
        <v>0</v>
      </c>
      <c r="K5">
        <v>9.9999999999999995E-7</v>
      </c>
      <c r="L5">
        <v>0.53591699999999998</v>
      </c>
      <c r="M5" t="s">
        <v>27</v>
      </c>
      <c r="N5" t="s">
        <v>63</v>
      </c>
      <c r="O5" t="s">
        <v>471</v>
      </c>
      <c r="P5" t="s">
        <v>472</v>
      </c>
      <c r="Q5" t="s">
        <v>473</v>
      </c>
    </row>
    <row r="6" spans="1:17" ht="15" customHeight="1" x14ac:dyDescent="0.35">
      <c r="A6" t="s">
        <v>418</v>
      </c>
      <c r="B6">
        <v>5</v>
      </c>
      <c r="C6" t="s">
        <v>474</v>
      </c>
      <c r="D6" t="s">
        <v>421</v>
      </c>
      <c r="E6" t="s">
        <v>25</v>
      </c>
      <c r="F6" t="s">
        <v>34</v>
      </c>
      <c r="G6">
        <v>622</v>
      </c>
      <c r="H6">
        <v>0</v>
      </c>
      <c r="I6">
        <v>31</v>
      </c>
      <c r="J6">
        <v>0</v>
      </c>
      <c r="K6">
        <v>1.12E-4</v>
      </c>
      <c r="L6">
        <v>1.235538</v>
      </c>
      <c r="M6" t="s">
        <v>27</v>
      </c>
      <c r="N6" t="s">
        <v>28</v>
      </c>
      <c r="O6" t="s">
        <v>471</v>
      </c>
      <c r="P6" t="s">
        <v>472</v>
      </c>
      <c r="Q6" t="s">
        <v>473</v>
      </c>
    </row>
    <row r="7" spans="1:17" ht="15" customHeight="1" x14ac:dyDescent="0.35">
      <c r="A7" t="s">
        <v>418</v>
      </c>
      <c r="B7">
        <v>6</v>
      </c>
      <c r="C7" t="s">
        <v>474</v>
      </c>
      <c r="D7" t="s">
        <v>421</v>
      </c>
      <c r="E7" t="s">
        <v>25</v>
      </c>
      <c r="F7" t="s">
        <v>62</v>
      </c>
      <c r="G7">
        <v>99</v>
      </c>
      <c r="H7">
        <v>0</v>
      </c>
      <c r="I7">
        <v>0</v>
      </c>
      <c r="J7">
        <v>0</v>
      </c>
      <c r="K7">
        <v>1.9999999999999999E-6</v>
      </c>
      <c r="L7">
        <v>0.29211300000000001</v>
      </c>
      <c r="M7" t="s">
        <v>27</v>
      </c>
      <c r="N7" t="s">
        <v>63</v>
      </c>
      <c r="O7" t="s">
        <v>471</v>
      </c>
      <c r="P7" t="s">
        <v>472</v>
      </c>
      <c r="Q7" t="s">
        <v>473</v>
      </c>
    </row>
    <row r="8" spans="1:17" ht="15" customHeight="1" x14ac:dyDescent="0.35">
      <c r="A8" t="s">
        <v>418</v>
      </c>
      <c r="B8">
        <v>7</v>
      </c>
      <c r="C8" t="s">
        <v>475</v>
      </c>
      <c r="D8" t="s">
        <v>421</v>
      </c>
      <c r="E8" t="s">
        <v>25</v>
      </c>
      <c r="F8" t="s">
        <v>34</v>
      </c>
      <c r="G8">
        <v>685</v>
      </c>
      <c r="H8">
        <v>0</v>
      </c>
      <c r="I8">
        <v>172</v>
      </c>
      <c r="J8">
        <v>0</v>
      </c>
      <c r="K8">
        <v>2.0599999999999999E-4</v>
      </c>
      <c r="L8">
        <v>2.5960139999999998</v>
      </c>
      <c r="M8" t="s">
        <v>27</v>
      </c>
      <c r="N8" t="s">
        <v>28</v>
      </c>
      <c r="O8" t="s">
        <v>471</v>
      </c>
      <c r="P8" t="s">
        <v>472</v>
      </c>
      <c r="Q8" t="s">
        <v>473</v>
      </c>
    </row>
    <row r="9" spans="1:17" ht="15" customHeight="1" x14ac:dyDescent="0.35">
      <c r="A9" t="s">
        <v>418</v>
      </c>
      <c r="B9">
        <v>8</v>
      </c>
      <c r="C9" t="s">
        <v>475</v>
      </c>
      <c r="D9" t="s">
        <v>421</v>
      </c>
      <c r="E9" t="s">
        <v>25</v>
      </c>
      <c r="F9" t="s">
        <v>62</v>
      </c>
      <c r="G9">
        <v>442</v>
      </c>
      <c r="H9">
        <v>0</v>
      </c>
      <c r="I9">
        <v>0</v>
      </c>
      <c r="J9">
        <v>0</v>
      </c>
      <c r="K9">
        <v>9.0000000000000002E-6</v>
      </c>
      <c r="L9">
        <v>0.30654900000000002</v>
      </c>
      <c r="M9" t="s">
        <v>27</v>
      </c>
      <c r="N9" t="s">
        <v>63</v>
      </c>
      <c r="O9" t="s">
        <v>471</v>
      </c>
      <c r="P9" t="s">
        <v>472</v>
      </c>
      <c r="Q9" t="s">
        <v>473</v>
      </c>
    </row>
    <row r="10" spans="1:17" ht="15" customHeight="1" x14ac:dyDescent="0.35">
      <c r="A10" t="s">
        <v>418</v>
      </c>
      <c r="B10">
        <v>9</v>
      </c>
      <c r="C10" t="s">
        <v>476</v>
      </c>
      <c r="D10" t="s">
        <v>421</v>
      </c>
      <c r="E10" t="s">
        <v>25</v>
      </c>
      <c r="F10" t="s">
        <v>34</v>
      </c>
      <c r="G10">
        <v>1065</v>
      </c>
      <c r="H10">
        <v>0</v>
      </c>
      <c r="I10">
        <v>338</v>
      </c>
      <c r="J10">
        <v>0</v>
      </c>
      <c r="K10">
        <v>3.6299999999999999E-4</v>
      </c>
      <c r="L10">
        <v>3.8029030000000001</v>
      </c>
      <c r="M10" t="s">
        <v>27</v>
      </c>
      <c r="N10" t="s">
        <v>28</v>
      </c>
      <c r="O10" t="s">
        <v>471</v>
      </c>
      <c r="P10" t="s">
        <v>472</v>
      </c>
      <c r="Q10" t="s">
        <v>473</v>
      </c>
    </row>
    <row r="11" spans="1:17" ht="15" customHeight="1" x14ac:dyDescent="0.35">
      <c r="A11" t="s">
        <v>418</v>
      </c>
      <c r="B11">
        <v>10</v>
      </c>
      <c r="C11" t="s">
        <v>477</v>
      </c>
      <c r="D11" t="s">
        <v>421</v>
      </c>
      <c r="E11" t="s">
        <v>25</v>
      </c>
      <c r="F11" t="s">
        <v>62</v>
      </c>
      <c r="G11">
        <v>74</v>
      </c>
      <c r="H11">
        <v>0</v>
      </c>
      <c r="I11">
        <v>0</v>
      </c>
      <c r="J11">
        <v>0</v>
      </c>
      <c r="K11">
        <v>9.9999999999999995E-7</v>
      </c>
      <c r="L11">
        <v>0.19391900000000001</v>
      </c>
      <c r="M11" t="s">
        <v>27</v>
      </c>
      <c r="N11" t="s">
        <v>63</v>
      </c>
      <c r="O11" t="s">
        <v>471</v>
      </c>
      <c r="P11" t="s">
        <v>472</v>
      </c>
      <c r="Q11" t="s">
        <v>473</v>
      </c>
    </row>
    <row r="12" spans="1:17" ht="15" customHeight="1" x14ac:dyDescent="0.35">
      <c r="A12" t="s">
        <v>418</v>
      </c>
      <c r="B12">
        <v>11</v>
      </c>
      <c r="C12" t="s">
        <v>478</v>
      </c>
      <c r="D12" t="s">
        <v>421</v>
      </c>
      <c r="E12" t="s">
        <v>25</v>
      </c>
      <c r="F12" t="s">
        <v>34</v>
      </c>
      <c r="G12">
        <v>660</v>
      </c>
      <c r="H12">
        <v>0</v>
      </c>
      <c r="I12">
        <v>261</v>
      </c>
      <c r="J12">
        <v>0</v>
      </c>
      <c r="K12">
        <v>2.5599999999999999E-4</v>
      </c>
      <c r="L12">
        <v>3.698413</v>
      </c>
      <c r="M12" t="s">
        <v>27</v>
      </c>
      <c r="N12" t="s">
        <v>28</v>
      </c>
      <c r="O12" t="s">
        <v>471</v>
      </c>
      <c r="P12" t="s">
        <v>472</v>
      </c>
      <c r="Q12" t="s">
        <v>473</v>
      </c>
    </row>
    <row r="13" spans="1:17" ht="15" customHeight="1" x14ac:dyDescent="0.35">
      <c r="A13" t="s">
        <v>418</v>
      </c>
      <c r="B13">
        <v>12</v>
      </c>
      <c r="C13" t="s">
        <v>478</v>
      </c>
      <c r="D13" t="s">
        <v>421</v>
      </c>
      <c r="E13" t="s">
        <v>25</v>
      </c>
      <c r="F13" t="s">
        <v>62</v>
      </c>
      <c r="G13">
        <v>83</v>
      </c>
      <c r="H13">
        <v>0</v>
      </c>
      <c r="I13">
        <v>0</v>
      </c>
      <c r="J13">
        <v>0</v>
      </c>
      <c r="K13">
        <v>1.9999999999999999E-6</v>
      </c>
      <c r="L13">
        <v>0.29440499999999997</v>
      </c>
      <c r="M13" t="s">
        <v>27</v>
      </c>
      <c r="N13" t="s">
        <v>63</v>
      </c>
      <c r="O13" t="s">
        <v>471</v>
      </c>
      <c r="P13" t="s">
        <v>472</v>
      </c>
      <c r="Q13" t="s">
        <v>473</v>
      </c>
    </row>
    <row r="14" spans="1:17" ht="15" customHeight="1" x14ac:dyDescent="0.35">
      <c r="A14" t="s">
        <v>418</v>
      </c>
      <c r="B14">
        <v>13</v>
      </c>
      <c r="C14" t="s">
        <v>479</v>
      </c>
      <c r="D14" t="s">
        <v>421</v>
      </c>
      <c r="E14" t="s">
        <v>25</v>
      </c>
      <c r="F14" t="s">
        <v>34</v>
      </c>
      <c r="G14">
        <v>670</v>
      </c>
      <c r="H14">
        <v>0</v>
      </c>
      <c r="I14">
        <v>252</v>
      </c>
      <c r="J14">
        <v>0</v>
      </c>
      <c r="K14">
        <v>2.52E-4</v>
      </c>
      <c r="L14">
        <v>2.643548</v>
      </c>
      <c r="M14" t="s">
        <v>27</v>
      </c>
      <c r="N14" t="s">
        <v>28</v>
      </c>
      <c r="O14" t="s">
        <v>471</v>
      </c>
      <c r="P14" t="s">
        <v>472</v>
      </c>
      <c r="Q14" t="s">
        <v>473</v>
      </c>
    </row>
    <row r="15" spans="1:17" ht="15" customHeight="1" x14ac:dyDescent="0.35">
      <c r="A15" t="s">
        <v>418</v>
      </c>
      <c r="B15">
        <v>14</v>
      </c>
      <c r="C15" t="s">
        <v>479</v>
      </c>
      <c r="D15" t="s">
        <v>421</v>
      </c>
      <c r="E15" t="s">
        <v>25</v>
      </c>
      <c r="F15" t="s">
        <v>62</v>
      </c>
      <c r="G15">
        <v>74</v>
      </c>
      <c r="H15">
        <v>0</v>
      </c>
      <c r="I15">
        <v>0</v>
      </c>
      <c r="J15">
        <v>0</v>
      </c>
      <c r="K15">
        <v>9.9999999999999995E-7</v>
      </c>
      <c r="L15">
        <v>0.29615999999999998</v>
      </c>
      <c r="M15" t="s">
        <v>27</v>
      </c>
      <c r="N15" t="s">
        <v>63</v>
      </c>
      <c r="O15" t="s">
        <v>471</v>
      </c>
      <c r="P15" t="s">
        <v>472</v>
      </c>
      <c r="Q15" t="s">
        <v>473</v>
      </c>
    </row>
    <row r="16" spans="1:17" ht="15" customHeight="1" x14ac:dyDescent="0.35">
      <c r="A16" t="s">
        <v>418</v>
      </c>
      <c r="B16">
        <v>15</v>
      </c>
      <c r="C16" t="s">
        <v>480</v>
      </c>
      <c r="D16" t="s">
        <v>421</v>
      </c>
      <c r="E16" t="s">
        <v>25</v>
      </c>
      <c r="F16" t="s">
        <v>34</v>
      </c>
      <c r="G16">
        <v>660</v>
      </c>
      <c r="H16">
        <v>0</v>
      </c>
      <c r="I16">
        <v>244</v>
      </c>
      <c r="J16">
        <v>0</v>
      </c>
      <c r="K16">
        <v>2.4499999999999999E-4</v>
      </c>
      <c r="L16">
        <v>2.6954639999999999</v>
      </c>
      <c r="M16" t="s">
        <v>27</v>
      </c>
      <c r="N16" t="s">
        <v>28</v>
      </c>
      <c r="O16" t="s">
        <v>471</v>
      </c>
      <c r="P16" t="s">
        <v>472</v>
      </c>
      <c r="Q16" t="s">
        <v>473</v>
      </c>
    </row>
    <row r="17" spans="1:17" ht="15" customHeight="1" x14ac:dyDescent="0.35">
      <c r="A17" t="s">
        <v>418</v>
      </c>
      <c r="B17">
        <v>16</v>
      </c>
      <c r="C17" t="s">
        <v>481</v>
      </c>
      <c r="D17" t="s">
        <v>421</v>
      </c>
      <c r="E17" t="s">
        <v>25</v>
      </c>
      <c r="F17" t="s">
        <v>62</v>
      </c>
      <c r="G17">
        <v>36</v>
      </c>
      <c r="H17">
        <v>0</v>
      </c>
      <c r="I17">
        <v>0</v>
      </c>
      <c r="J17">
        <v>0</v>
      </c>
      <c r="K17">
        <v>9.9999999999999995E-7</v>
      </c>
      <c r="L17">
        <v>0.48021799999999998</v>
      </c>
      <c r="M17" t="s">
        <v>27</v>
      </c>
      <c r="N17" t="s">
        <v>63</v>
      </c>
      <c r="O17" t="s">
        <v>471</v>
      </c>
      <c r="P17" t="s">
        <v>472</v>
      </c>
      <c r="Q17" t="s">
        <v>473</v>
      </c>
    </row>
    <row r="18" spans="1:17" ht="15" customHeight="1" x14ac:dyDescent="0.35">
      <c r="A18" t="s">
        <v>418</v>
      </c>
      <c r="B18">
        <v>17</v>
      </c>
      <c r="C18" t="s">
        <v>482</v>
      </c>
      <c r="D18" t="s">
        <v>421</v>
      </c>
      <c r="E18" t="s">
        <v>25</v>
      </c>
      <c r="F18" t="s">
        <v>34</v>
      </c>
      <c r="G18">
        <v>626</v>
      </c>
      <c r="H18">
        <v>0</v>
      </c>
      <c r="I18">
        <v>25</v>
      </c>
      <c r="J18">
        <v>0</v>
      </c>
      <c r="K18">
        <v>1.0900000000000001E-4</v>
      </c>
      <c r="L18">
        <v>1.106697</v>
      </c>
      <c r="M18" t="s">
        <v>27</v>
      </c>
      <c r="N18" t="s">
        <v>28</v>
      </c>
      <c r="O18" t="s">
        <v>471</v>
      </c>
      <c r="P18" t="s">
        <v>472</v>
      </c>
      <c r="Q18" t="s">
        <v>473</v>
      </c>
    </row>
    <row r="19" spans="1:17" ht="15" customHeight="1" x14ac:dyDescent="0.35">
      <c r="A19" t="s">
        <v>418</v>
      </c>
      <c r="B19">
        <v>18</v>
      </c>
      <c r="C19" t="s">
        <v>482</v>
      </c>
      <c r="D19" t="s">
        <v>421</v>
      </c>
      <c r="E19" t="s">
        <v>25</v>
      </c>
      <c r="F19" t="s">
        <v>62</v>
      </c>
      <c r="G19">
        <v>99</v>
      </c>
      <c r="H19">
        <v>0</v>
      </c>
      <c r="I19">
        <v>0</v>
      </c>
      <c r="J19">
        <v>0</v>
      </c>
      <c r="K19">
        <v>1.9999999999999999E-6</v>
      </c>
      <c r="L19">
        <v>0.210003</v>
      </c>
      <c r="M19" t="s">
        <v>27</v>
      </c>
      <c r="N19" t="s">
        <v>63</v>
      </c>
      <c r="O19" t="s">
        <v>471</v>
      </c>
      <c r="P19" t="s">
        <v>472</v>
      </c>
      <c r="Q19" t="s">
        <v>473</v>
      </c>
    </row>
    <row r="20" spans="1:17" ht="15" customHeight="1" x14ac:dyDescent="0.35">
      <c r="A20" t="s">
        <v>418</v>
      </c>
      <c r="B20">
        <v>19</v>
      </c>
      <c r="C20" t="s">
        <v>483</v>
      </c>
      <c r="D20" t="s">
        <v>421</v>
      </c>
      <c r="E20" t="s">
        <v>25</v>
      </c>
      <c r="F20" t="s">
        <v>34</v>
      </c>
      <c r="G20">
        <v>689</v>
      </c>
      <c r="H20">
        <v>0</v>
      </c>
      <c r="I20">
        <v>165</v>
      </c>
      <c r="J20">
        <v>0</v>
      </c>
      <c r="K20">
        <v>2.02E-4</v>
      </c>
      <c r="L20">
        <v>2.260605</v>
      </c>
      <c r="M20" t="s">
        <v>27</v>
      </c>
      <c r="N20" t="s">
        <v>28</v>
      </c>
      <c r="O20" t="s">
        <v>471</v>
      </c>
      <c r="P20" t="s">
        <v>472</v>
      </c>
      <c r="Q20" t="s">
        <v>473</v>
      </c>
    </row>
    <row r="21" spans="1:17" ht="15" customHeight="1" x14ac:dyDescent="0.35">
      <c r="A21" t="s">
        <v>418</v>
      </c>
      <c r="B21">
        <v>20</v>
      </c>
      <c r="C21" t="s">
        <v>483</v>
      </c>
      <c r="D21" t="s">
        <v>421</v>
      </c>
      <c r="E21" t="s">
        <v>25</v>
      </c>
      <c r="F21" t="s">
        <v>62</v>
      </c>
      <c r="G21">
        <v>442</v>
      </c>
      <c r="H21">
        <v>0</v>
      </c>
      <c r="I21">
        <v>0</v>
      </c>
      <c r="J21">
        <v>0</v>
      </c>
      <c r="K21">
        <v>9.0000000000000002E-6</v>
      </c>
      <c r="L21">
        <v>0.28576200000000002</v>
      </c>
      <c r="M21" t="s">
        <v>27</v>
      </c>
      <c r="N21" t="s">
        <v>63</v>
      </c>
      <c r="O21" t="s">
        <v>471</v>
      </c>
      <c r="P21" t="s">
        <v>472</v>
      </c>
      <c r="Q21" t="s">
        <v>473</v>
      </c>
    </row>
    <row r="22" spans="1:17" ht="15" customHeight="1" x14ac:dyDescent="0.35">
      <c r="A22" t="s">
        <v>418</v>
      </c>
      <c r="B22">
        <v>21</v>
      </c>
      <c r="C22" t="s">
        <v>484</v>
      </c>
      <c r="D22" t="s">
        <v>421</v>
      </c>
      <c r="E22" t="s">
        <v>25</v>
      </c>
      <c r="F22" t="s">
        <v>34</v>
      </c>
      <c r="G22">
        <v>1069</v>
      </c>
      <c r="H22">
        <v>0</v>
      </c>
      <c r="I22">
        <v>311</v>
      </c>
      <c r="J22">
        <v>0</v>
      </c>
      <c r="K22">
        <v>3.4699999999999998E-4</v>
      </c>
      <c r="L22">
        <v>3.4940600000000002</v>
      </c>
      <c r="M22" t="s">
        <v>27</v>
      </c>
      <c r="N22" t="s">
        <v>28</v>
      </c>
      <c r="O22" t="s">
        <v>471</v>
      </c>
      <c r="P22" t="s">
        <v>472</v>
      </c>
      <c r="Q22" t="s">
        <v>473</v>
      </c>
    </row>
    <row r="23" spans="1:17" ht="15" customHeight="1" x14ac:dyDescent="0.35">
      <c r="A23" t="s">
        <v>418</v>
      </c>
      <c r="B23">
        <v>22</v>
      </c>
      <c r="C23" t="s">
        <v>485</v>
      </c>
      <c r="D23" t="s">
        <v>421</v>
      </c>
      <c r="E23" t="s">
        <v>25</v>
      </c>
      <c r="F23" t="s">
        <v>62</v>
      </c>
      <c r="G23">
        <v>74</v>
      </c>
      <c r="H23">
        <v>0</v>
      </c>
      <c r="I23">
        <v>0</v>
      </c>
      <c r="J23">
        <v>0</v>
      </c>
      <c r="K23">
        <v>9.9999999999999995E-7</v>
      </c>
      <c r="L23">
        <v>0.31713599999999997</v>
      </c>
      <c r="M23" t="s">
        <v>27</v>
      </c>
      <c r="N23" t="s">
        <v>63</v>
      </c>
      <c r="O23" t="s">
        <v>471</v>
      </c>
      <c r="P23" t="s">
        <v>472</v>
      </c>
      <c r="Q23" t="s">
        <v>473</v>
      </c>
    </row>
    <row r="24" spans="1:17" ht="15" customHeight="1" x14ac:dyDescent="0.35">
      <c r="A24" t="s">
        <v>418</v>
      </c>
      <c r="B24">
        <v>23</v>
      </c>
      <c r="C24" t="s">
        <v>486</v>
      </c>
      <c r="D24" t="s">
        <v>421</v>
      </c>
      <c r="E24" t="s">
        <v>25</v>
      </c>
      <c r="F24" t="s">
        <v>34</v>
      </c>
      <c r="G24">
        <v>664</v>
      </c>
      <c r="H24">
        <v>0</v>
      </c>
      <c r="I24">
        <v>238</v>
      </c>
      <c r="J24">
        <v>0</v>
      </c>
      <c r="K24">
        <v>2.42E-4</v>
      </c>
      <c r="L24">
        <v>2.675608</v>
      </c>
      <c r="M24" t="s">
        <v>27</v>
      </c>
      <c r="N24" t="s">
        <v>28</v>
      </c>
      <c r="O24" t="s">
        <v>471</v>
      </c>
      <c r="P24" t="s">
        <v>472</v>
      </c>
      <c r="Q24" t="s">
        <v>473</v>
      </c>
    </row>
    <row r="25" spans="1:17" ht="15" customHeight="1" x14ac:dyDescent="0.35">
      <c r="A25" t="s">
        <v>418</v>
      </c>
      <c r="B25">
        <v>24</v>
      </c>
      <c r="C25" t="s">
        <v>486</v>
      </c>
      <c r="D25" t="s">
        <v>421</v>
      </c>
      <c r="E25" t="s">
        <v>25</v>
      </c>
      <c r="F25" t="s">
        <v>62</v>
      </c>
      <c r="G25">
        <v>83</v>
      </c>
      <c r="H25">
        <v>0</v>
      </c>
      <c r="I25">
        <v>0</v>
      </c>
      <c r="J25">
        <v>0</v>
      </c>
      <c r="K25">
        <v>1.9999999999999999E-6</v>
      </c>
      <c r="L25">
        <v>0.30195899999999998</v>
      </c>
      <c r="M25" t="s">
        <v>27</v>
      </c>
      <c r="N25" t="s">
        <v>63</v>
      </c>
      <c r="O25" t="s">
        <v>471</v>
      </c>
      <c r="P25" t="s">
        <v>472</v>
      </c>
      <c r="Q25" t="s">
        <v>473</v>
      </c>
    </row>
    <row r="26" spans="1:17" ht="15" customHeight="1" x14ac:dyDescent="0.35">
      <c r="A26" t="s">
        <v>418</v>
      </c>
      <c r="B26">
        <v>25</v>
      </c>
      <c r="C26" t="s">
        <v>487</v>
      </c>
      <c r="D26" t="s">
        <v>421</v>
      </c>
      <c r="E26" t="s">
        <v>25</v>
      </c>
      <c r="F26" t="s">
        <v>34</v>
      </c>
      <c r="G26">
        <v>674</v>
      </c>
      <c r="H26">
        <v>0</v>
      </c>
      <c r="I26">
        <v>228</v>
      </c>
      <c r="J26">
        <v>0</v>
      </c>
      <c r="K26">
        <v>2.3800000000000001E-4</v>
      </c>
      <c r="L26">
        <v>2.855839</v>
      </c>
      <c r="M26" t="s">
        <v>27</v>
      </c>
      <c r="N26" t="s">
        <v>28</v>
      </c>
      <c r="O26" t="s">
        <v>471</v>
      </c>
      <c r="P26" t="s">
        <v>472</v>
      </c>
      <c r="Q26" t="s">
        <v>473</v>
      </c>
    </row>
    <row r="27" spans="1:17" ht="15" customHeight="1" x14ac:dyDescent="0.35">
      <c r="A27" t="s">
        <v>418</v>
      </c>
      <c r="B27">
        <v>26</v>
      </c>
      <c r="C27" t="s">
        <v>487</v>
      </c>
      <c r="D27" t="s">
        <v>421</v>
      </c>
      <c r="E27" t="s">
        <v>25</v>
      </c>
      <c r="F27" t="s">
        <v>62</v>
      </c>
      <c r="G27">
        <v>74</v>
      </c>
      <c r="H27">
        <v>0</v>
      </c>
      <c r="I27">
        <v>0</v>
      </c>
      <c r="J27">
        <v>0</v>
      </c>
      <c r="K27">
        <v>9.9999999999999995E-7</v>
      </c>
      <c r="L27">
        <v>0.30740800000000001</v>
      </c>
      <c r="M27" t="s">
        <v>27</v>
      </c>
      <c r="N27" t="s">
        <v>63</v>
      </c>
      <c r="O27" t="s">
        <v>471</v>
      </c>
      <c r="P27" t="s">
        <v>472</v>
      </c>
      <c r="Q27" t="s">
        <v>473</v>
      </c>
    </row>
    <row r="28" spans="1:17" ht="15" customHeight="1" x14ac:dyDescent="0.35">
      <c r="A28" t="s">
        <v>418</v>
      </c>
      <c r="B28">
        <v>27</v>
      </c>
      <c r="C28" t="s">
        <v>488</v>
      </c>
      <c r="D28" t="s">
        <v>421</v>
      </c>
      <c r="E28" t="s">
        <v>25</v>
      </c>
      <c r="F28" t="s">
        <v>34</v>
      </c>
      <c r="G28">
        <v>664</v>
      </c>
      <c r="H28">
        <v>0</v>
      </c>
      <c r="I28">
        <v>155</v>
      </c>
      <c r="J28">
        <v>0</v>
      </c>
      <c r="K28">
        <v>1.93E-4</v>
      </c>
      <c r="L28">
        <v>2.4725350000000001</v>
      </c>
      <c r="M28" t="s">
        <v>27</v>
      </c>
      <c r="N28" t="s">
        <v>28</v>
      </c>
      <c r="O28" t="s">
        <v>471</v>
      </c>
      <c r="P28" t="s">
        <v>472</v>
      </c>
      <c r="Q28" t="s">
        <v>473</v>
      </c>
    </row>
    <row r="29" spans="1:17" ht="15" customHeight="1" x14ac:dyDescent="0.35">
      <c r="A29" t="s">
        <v>418</v>
      </c>
      <c r="B29">
        <v>28</v>
      </c>
      <c r="C29" t="s">
        <v>489</v>
      </c>
      <c r="D29" t="s">
        <v>421</v>
      </c>
      <c r="E29" t="s">
        <v>25</v>
      </c>
      <c r="F29" t="s">
        <v>62</v>
      </c>
      <c r="G29">
        <v>36</v>
      </c>
      <c r="H29">
        <v>0</v>
      </c>
      <c r="I29">
        <v>0</v>
      </c>
      <c r="J29">
        <v>0</v>
      </c>
      <c r="K29">
        <v>9.9999999999999995E-7</v>
      </c>
      <c r="L29">
        <v>1.1833629999999999</v>
      </c>
      <c r="M29" t="s">
        <v>27</v>
      </c>
      <c r="N29" t="s">
        <v>63</v>
      </c>
      <c r="O29" t="s">
        <v>471</v>
      </c>
      <c r="P29" t="s">
        <v>472</v>
      </c>
      <c r="Q29" t="s">
        <v>473</v>
      </c>
    </row>
    <row r="30" spans="1:17" ht="15" customHeight="1" x14ac:dyDescent="0.35">
      <c r="A30" t="s">
        <v>418</v>
      </c>
      <c r="B30">
        <v>29</v>
      </c>
      <c r="C30" t="s">
        <v>490</v>
      </c>
      <c r="D30" t="s">
        <v>421</v>
      </c>
      <c r="E30" t="s">
        <v>25</v>
      </c>
      <c r="F30" t="s">
        <v>34</v>
      </c>
      <c r="G30">
        <v>669</v>
      </c>
      <c r="H30">
        <v>0</v>
      </c>
      <c r="I30">
        <v>27</v>
      </c>
      <c r="J30">
        <v>0</v>
      </c>
      <c r="K30">
        <v>1.17E-4</v>
      </c>
      <c r="L30">
        <v>1.5371680000000001</v>
      </c>
      <c r="M30" t="s">
        <v>27</v>
      </c>
      <c r="N30" t="s">
        <v>28</v>
      </c>
      <c r="O30" t="s">
        <v>471</v>
      </c>
      <c r="P30" t="s">
        <v>472</v>
      </c>
      <c r="Q30" t="s">
        <v>473</v>
      </c>
    </row>
    <row r="31" spans="1:17" ht="15" customHeight="1" x14ac:dyDescent="0.35">
      <c r="A31" t="s">
        <v>418</v>
      </c>
      <c r="B31">
        <v>30</v>
      </c>
      <c r="C31" t="s">
        <v>490</v>
      </c>
      <c r="D31" t="s">
        <v>421</v>
      </c>
      <c r="E31" t="s">
        <v>25</v>
      </c>
      <c r="F31" t="s">
        <v>62</v>
      </c>
      <c r="G31">
        <v>99</v>
      </c>
      <c r="H31">
        <v>0</v>
      </c>
      <c r="I31">
        <v>0</v>
      </c>
      <c r="J31">
        <v>0</v>
      </c>
      <c r="K31">
        <v>1.9999999999999999E-6</v>
      </c>
      <c r="L31">
        <v>0.29923300000000003</v>
      </c>
      <c r="M31" t="s">
        <v>27</v>
      </c>
      <c r="N31" t="s">
        <v>63</v>
      </c>
      <c r="O31" t="s">
        <v>471</v>
      </c>
      <c r="P31" t="s">
        <v>472</v>
      </c>
      <c r="Q31" t="s">
        <v>473</v>
      </c>
    </row>
    <row r="32" spans="1:17" ht="15" customHeight="1" x14ac:dyDescent="0.35">
      <c r="A32" t="s">
        <v>418</v>
      </c>
      <c r="B32">
        <v>31</v>
      </c>
      <c r="C32" t="s">
        <v>491</v>
      </c>
      <c r="D32" t="s">
        <v>421</v>
      </c>
      <c r="E32" t="s">
        <v>25</v>
      </c>
      <c r="F32" t="s">
        <v>34</v>
      </c>
      <c r="G32">
        <v>732</v>
      </c>
      <c r="H32">
        <v>0</v>
      </c>
      <c r="I32">
        <v>177</v>
      </c>
      <c r="J32">
        <v>0</v>
      </c>
      <c r="K32">
        <v>2.1599999999999999E-4</v>
      </c>
      <c r="L32">
        <v>2.1311550000000001</v>
      </c>
      <c r="M32" t="s">
        <v>27</v>
      </c>
      <c r="N32" t="s">
        <v>28</v>
      </c>
      <c r="O32" t="s">
        <v>471</v>
      </c>
      <c r="P32" t="s">
        <v>472</v>
      </c>
      <c r="Q32" t="s">
        <v>473</v>
      </c>
    </row>
    <row r="33" spans="1:17" ht="15" customHeight="1" x14ac:dyDescent="0.35">
      <c r="A33" t="s">
        <v>418</v>
      </c>
      <c r="B33">
        <v>32</v>
      </c>
      <c r="C33" t="s">
        <v>491</v>
      </c>
      <c r="D33" t="s">
        <v>421</v>
      </c>
      <c r="E33" t="s">
        <v>25</v>
      </c>
      <c r="F33" t="s">
        <v>62</v>
      </c>
      <c r="G33">
        <v>442</v>
      </c>
      <c r="H33">
        <v>0</v>
      </c>
      <c r="I33">
        <v>0</v>
      </c>
      <c r="J33">
        <v>0</v>
      </c>
      <c r="K33">
        <v>9.0000000000000002E-6</v>
      </c>
      <c r="L33">
        <v>0.312859</v>
      </c>
      <c r="M33" t="s">
        <v>27</v>
      </c>
      <c r="N33" t="s">
        <v>63</v>
      </c>
      <c r="O33" t="s">
        <v>471</v>
      </c>
      <c r="P33" t="s">
        <v>472</v>
      </c>
      <c r="Q33" t="s">
        <v>473</v>
      </c>
    </row>
    <row r="34" spans="1:17" ht="15" customHeight="1" x14ac:dyDescent="0.35">
      <c r="A34" t="s">
        <v>418</v>
      </c>
      <c r="B34">
        <v>33</v>
      </c>
      <c r="C34" t="s">
        <v>492</v>
      </c>
      <c r="D34" t="s">
        <v>421</v>
      </c>
      <c r="E34" t="s">
        <v>25</v>
      </c>
      <c r="F34" t="s">
        <v>34</v>
      </c>
      <c r="G34">
        <v>1112</v>
      </c>
      <c r="H34">
        <v>0</v>
      </c>
      <c r="I34">
        <v>239</v>
      </c>
      <c r="J34">
        <v>0</v>
      </c>
      <c r="K34">
        <v>3.1E-4</v>
      </c>
      <c r="L34">
        <v>2.8890229999999999</v>
      </c>
      <c r="M34" t="s">
        <v>27</v>
      </c>
      <c r="N34" t="s">
        <v>28</v>
      </c>
      <c r="O34" t="s">
        <v>471</v>
      </c>
      <c r="P34" t="s">
        <v>472</v>
      </c>
      <c r="Q34" t="s">
        <v>473</v>
      </c>
    </row>
    <row r="35" spans="1:17" ht="15" customHeight="1" x14ac:dyDescent="0.35">
      <c r="A35" t="s">
        <v>418</v>
      </c>
      <c r="B35">
        <v>34</v>
      </c>
      <c r="C35" t="s">
        <v>492</v>
      </c>
      <c r="D35" t="s">
        <v>421</v>
      </c>
      <c r="E35" t="s">
        <v>25</v>
      </c>
      <c r="F35" t="s">
        <v>62</v>
      </c>
      <c r="G35">
        <v>74</v>
      </c>
      <c r="H35">
        <v>0</v>
      </c>
      <c r="I35">
        <v>0</v>
      </c>
      <c r="J35">
        <v>0</v>
      </c>
      <c r="K35">
        <v>9.9999999999999995E-7</v>
      </c>
      <c r="L35">
        <v>0.31003199999999997</v>
      </c>
      <c r="M35" t="s">
        <v>27</v>
      </c>
      <c r="N35" t="s">
        <v>63</v>
      </c>
      <c r="O35" t="s">
        <v>471</v>
      </c>
      <c r="P35" t="s">
        <v>472</v>
      </c>
      <c r="Q35" t="s">
        <v>473</v>
      </c>
    </row>
    <row r="36" spans="1:17" ht="15" customHeight="1" x14ac:dyDescent="0.35">
      <c r="A36" t="s">
        <v>418</v>
      </c>
      <c r="B36">
        <v>35</v>
      </c>
      <c r="C36" t="s">
        <v>493</v>
      </c>
      <c r="D36" t="s">
        <v>421</v>
      </c>
      <c r="E36" t="s">
        <v>25</v>
      </c>
      <c r="F36" t="s">
        <v>34</v>
      </c>
      <c r="G36">
        <v>707</v>
      </c>
      <c r="H36">
        <v>0</v>
      </c>
      <c r="I36">
        <v>238</v>
      </c>
      <c r="J36">
        <v>0</v>
      </c>
      <c r="K36">
        <v>2.4899999999999998E-4</v>
      </c>
      <c r="L36">
        <v>2.9102549999999998</v>
      </c>
      <c r="M36" t="s">
        <v>27</v>
      </c>
      <c r="N36" t="s">
        <v>28</v>
      </c>
      <c r="O36" t="s">
        <v>471</v>
      </c>
      <c r="P36" t="s">
        <v>472</v>
      </c>
      <c r="Q36" t="s">
        <v>473</v>
      </c>
    </row>
    <row r="37" spans="1:17" ht="15" customHeight="1" x14ac:dyDescent="0.35">
      <c r="A37" t="s">
        <v>418</v>
      </c>
      <c r="B37">
        <v>36</v>
      </c>
      <c r="C37" t="s">
        <v>493</v>
      </c>
      <c r="D37" t="s">
        <v>421</v>
      </c>
      <c r="E37" t="s">
        <v>25</v>
      </c>
      <c r="F37" t="s">
        <v>62</v>
      </c>
      <c r="G37">
        <v>83</v>
      </c>
      <c r="H37">
        <v>0</v>
      </c>
      <c r="I37">
        <v>0</v>
      </c>
      <c r="J37">
        <v>0</v>
      </c>
      <c r="K37">
        <v>1.9999999999999999E-6</v>
      </c>
      <c r="L37">
        <v>0.30204300000000001</v>
      </c>
      <c r="M37" t="s">
        <v>27</v>
      </c>
      <c r="N37" t="s">
        <v>63</v>
      </c>
      <c r="O37" t="s">
        <v>471</v>
      </c>
      <c r="P37" t="s">
        <v>472</v>
      </c>
      <c r="Q37" t="s">
        <v>473</v>
      </c>
    </row>
    <row r="38" spans="1:17" ht="15" customHeight="1" x14ac:dyDescent="0.35">
      <c r="A38" t="s">
        <v>418</v>
      </c>
      <c r="B38">
        <v>37</v>
      </c>
      <c r="C38" t="s">
        <v>494</v>
      </c>
      <c r="D38" t="s">
        <v>421</v>
      </c>
      <c r="E38" t="s">
        <v>25</v>
      </c>
      <c r="F38" t="s">
        <v>34</v>
      </c>
      <c r="G38">
        <v>717</v>
      </c>
      <c r="H38">
        <v>0</v>
      </c>
      <c r="I38">
        <v>262</v>
      </c>
      <c r="J38">
        <v>0</v>
      </c>
      <c r="K38">
        <v>2.6499999999999999E-4</v>
      </c>
      <c r="L38">
        <v>2.8915069999999998</v>
      </c>
      <c r="M38" t="s">
        <v>27</v>
      </c>
      <c r="N38" t="s">
        <v>28</v>
      </c>
      <c r="O38" t="s">
        <v>471</v>
      </c>
      <c r="P38" t="s">
        <v>472</v>
      </c>
      <c r="Q38" t="s">
        <v>473</v>
      </c>
    </row>
    <row r="39" spans="1:17" ht="15" customHeight="1" x14ac:dyDescent="0.35">
      <c r="A39" t="s">
        <v>418</v>
      </c>
      <c r="B39">
        <v>38</v>
      </c>
      <c r="C39" t="s">
        <v>495</v>
      </c>
      <c r="D39" t="s">
        <v>421</v>
      </c>
      <c r="E39" t="s">
        <v>25</v>
      </c>
      <c r="F39" t="s">
        <v>62</v>
      </c>
      <c r="G39">
        <v>74</v>
      </c>
      <c r="H39">
        <v>0</v>
      </c>
      <c r="I39">
        <v>0</v>
      </c>
      <c r="J39">
        <v>0</v>
      </c>
      <c r="K39">
        <v>9.9999999999999995E-7</v>
      </c>
      <c r="L39">
        <v>0.43176900000000001</v>
      </c>
      <c r="M39" t="s">
        <v>27</v>
      </c>
      <c r="N39" t="s">
        <v>63</v>
      </c>
      <c r="O39" t="s">
        <v>471</v>
      </c>
      <c r="P39" t="s">
        <v>472</v>
      </c>
      <c r="Q39" t="s">
        <v>473</v>
      </c>
    </row>
    <row r="40" spans="1:17" ht="15" customHeight="1" x14ac:dyDescent="0.35">
      <c r="A40" t="s">
        <v>418</v>
      </c>
      <c r="B40">
        <v>39</v>
      </c>
      <c r="C40" t="s">
        <v>496</v>
      </c>
      <c r="D40" t="s">
        <v>421</v>
      </c>
      <c r="E40" t="s">
        <v>25</v>
      </c>
      <c r="F40" t="s">
        <v>34</v>
      </c>
      <c r="G40">
        <v>707</v>
      </c>
      <c r="H40">
        <v>0</v>
      </c>
      <c r="I40">
        <v>245</v>
      </c>
      <c r="J40">
        <v>0</v>
      </c>
      <c r="K40">
        <v>2.5300000000000002E-4</v>
      </c>
      <c r="L40">
        <v>3.6923370000000002</v>
      </c>
      <c r="M40" t="s">
        <v>27</v>
      </c>
      <c r="N40" t="s">
        <v>28</v>
      </c>
      <c r="O40" t="s">
        <v>471</v>
      </c>
      <c r="P40" t="s">
        <v>472</v>
      </c>
      <c r="Q40" t="s">
        <v>473</v>
      </c>
    </row>
    <row r="41" spans="1:17" ht="15" customHeight="1" x14ac:dyDescent="0.35">
      <c r="A41" t="s">
        <v>418</v>
      </c>
      <c r="B41">
        <v>40</v>
      </c>
      <c r="C41" t="s">
        <v>497</v>
      </c>
      <c r="D41" t="s">
        <v>421</v>
      </c>
      <c r="E41" t="s">
        <v>25</v>
      </c>
      <c r="F41" t="s">
        <v>62</v>
      </c>
      <c r="G41">
        <v>36</v>
      </c>
      <c r="H41">
        <v>0</v>
      </c>
      <c r="I41">
        <v>0</v>
      </c>
      <c r="J41">
        <v>0</v>
      </c>
      <c r="K41">
        <v>9.9999999999999995E-7</v>
      </c>
      <c r="L41">
        <v>0.56291500000000005</v>
      </c>
      <c r="M41" t="s">
        <v>27</v>
      </c>
      <c r="N41" t="s">
        <v>63</v>
      </c>
      <c r="O41" t="s">
        <v>471</v>
      </c>
      <c r="P41" t="s">
        <v>472</v>
      </c>
      <c r="Q41" t="s">
        <v>473</v>
      </c>
    </row>
    <row r="42" spans="1:17" ht="15" customHeight="1" x14ac:dyDescent="0.35">
      <c r="A42" t="s">
        <v>418</v>
      </c>
      <c r="B42">
        <v>41</v>
      </c>
      <c r="C42" t="s">
        <v>498</v>
      </c>
      <c r="D42" t="s">
        <v>421</v>
      </c>
      <c r="E42" t="s">
        <v>25</v>
      </c>
      <c r="F42" t="s">
        <v>34</v>
      </c>
      <c r="G42">
        <v>675</v>
      </c>
      <c r="H42">
        <v>0</v>
      </c>
      <c r="I42">
        <v>28</v>
      </c>
      <c r="J42">
        <v>0</v>
      </c>
      <c r="K42">
        <v>1.18E-4</v>
      </c>
      <c r="L42">
        <v>1.262086</v>
      </c>
      <c r="M42" t="s">
        <v>27</v>
      </c>
      <c r="N42" t="s">
        <v>28</v>
      </c>
      <c r="O42" t="s">
        <v>471</v>
      </c>
      <c r="P42" t="s">
        <v>472</v>
      </c>
      <c r="Q42" t="s">
        <v>473</v>
      </c>
    </row>
    <row r="43" spans="1:17" ht="15" customHeight="1" x14ac:dyDescent="0.35">
      <c r="A43" t="s">
        <v>418</v>
      </c>
      <c r="B43">
        <v>42</v>
      </c>
      <c r="C43" t="s">
        <v>499</v>
      </c>
      <c r="D43" t="s">
        <v>421</v>
      </c>
      <c r="E43" t="s">
        <v>25</v>
      </c>
      <c r="F43" t="s">
        <v>62</v>
      </c>
      <c r="G43">
        <v>99</v>
      </c>
      <c r="H43">
        <v>0</v>
      </c>
      <c r="I43">
        <v>0</v>
      </c>
      <c r="J43">
        <v>0</v>
      </c>
      <c r="K43">
        <v>1.9999999999999999E-6</v>
      </c>
      <c r="L43">
        <v>0.30251299999999998</v>
      </c>
      <c r="M43" t="s">
        <v>27</v>
      </c>
      <c r="N43" t="s">
        <v>63</v>
      </c>
      <c r="O43" t="s">
        <v>471</v>
      </c>
      <c r="P43" t="s">
        <v>472</v>
      </c>
      <c r="Q43" t="s">
        <v>473</v>
      </c>
    </row>
    <row r="44" spans="1:17" ht="15" customHeight="1" x14ac:dyDescent="0.35">
      <c r="A44" t="s">
        <v>418</v>
      </c>
      <c r="B44">
        <v>43</v>
      </c>
      <c r="C44" t="s">
        <v>500</v>
      </c>
      <c r="D44" t="s">
        <v>421</v>
      </c>
      <c r="E44" t="s">
        <v>25</v>
      </c>
      <c r="F44" t="s">
        <v>34</v>
      </c>
      <c r="G44">
        <v>738</v>
      </c>
      <c r="H44">
        <v>0</v>
      </c>
      <c r="I44">
        <v>169</v>
      </c>
      <c r="J44">
        <v>0</v>
      </c>
      <c r="K44">
        <v>2.12E-4</v>
      </c>
      <c r="L44">
        <v>2.0611820000000001</v>
      </c>
      <c r="M44" t="s">
        <v>27</v>
      </c>
      <c r="N44" t="s">
        <v>28</v>
      </c>
      <c r="O44" t="s">
        <v>471</v>
      </c>
      <c r="P44" t="s">
        <v>472</v>
      </c>
      <c r="Q44" t="s">
        <v>473</v>
      </c>
    </row>
    <row r="45" spans="1:17" ht="15" customHeight="1" x14ac:dyDescent="0.35">
      <c r="A45" t="s">
        <v>418</v>
      </c>
      <c r="B45">
        <v>44</v>
      </c>
      <c r="C45" t="s">
        <v>500</v>
      </c>
      <c r="D45" t="s">
        <v>421</v>
      </c>
      <c r="E45" t="s">
        <v>25</v>
      </c>
      <c r="F45" t="s">
        <v>62</v>
      </c>
      <c r="G45">
        <v>442</v>
      </c>
      <c r="H45">
        <v>0</v>
      </c>
      <c r="I45">
        <v>0</v>
      </c>
      <c r="J45">
        <v>0</v>
      </c>
      <c r="K45">
        <v>9.0000000000000002E-6</v>
      </c>
      <c r="L45">
        <v>0.26025100000000001</v>
      </c>
      <c r="M45" t="s">
        <v>27</v>
      </c>
      <c r="N45" t="s">
        <v>63</v>
      </c>
      <c r="O45" t="s">
        <v>471</v>
      </c>
      <c r="P45" t="s">
        <v>472</v>
      </c>
      <c r="Q45" t="s">
        <v>473</v>
      </c>
    </row>
    <row r="46" spans="1:17" ht="15" customHeight="1" x14ac:dyDescent="0.35">
      <c r="A46" t="s">
        <v>418</v>
      </c>
      <c r="B46">
        <v>45</v>
      </c>
      <c r="C46" t="s">
        <v>501</v>
      </c>
      <c r="D46" t="s">
        <v>421</v>
      </c>
      <c r="E46" t="s">
        <v>25</v>
      </c>
      <c r="F46" t="s">
        <v>34</v>
      </c>
      <c r="G46">
        <v>1118</v>
      </c>
      <c r="H46">
        <v>0</v>
      </c>
      <c r="I46">
        <v>312</v>
      </c>
      <c r="J46">
        <v>0</v>
      </c>
      <c r="K46">
        <v>3.5500000000000001E-4</v>
      </c>
      <c r="L46">
        <v>3.430752</v>
      </c>
      <c r="M46" t="s">
        <v>27</v>
      </c>
      <c r="N46" t="s">
        <v>28</v>
      </c>
      <c r="O46" t="s">
        <v>471</v>
      </c>
      <c r="P46" t="s">
        <v>472</v>
      </c>
      <c r="Q46" t="s">
        <v>473</v>
      </c>
    </row>
    <row r="47" spans="1:17" ht="15" customHeight="1" x14ac:dyDescent="0.35">
      <c r="A47" t="s">
        <v>418</v>
      </c>
      <c r="B47">
        <v>46</v>
      </c>
      <c r="C47" t="s">
        <v>501</v>
      </c>
      <c r="D47" t="s">
        <v>421</v>
      </c>
      <c r="E47" t="s">
        <v>25</v>
      </c>
      <c r="F47" t="s">
        <v>62</v>
      </c>
      <c r="G47">
        <v>74</v>
      </c>
      <c r="H47">
        <v>0</v>
      </c>
      <c r="I47">
        <v>0</v>
      </c>
      <c r="J47">
        <v>0</v>
      </c>
      <c r="K47">
        <v>9.9999999999999995E-7</v>
      </c>
      <c r="L47">
        <v>0.27382600000000001</v>
      </c>
      <c r="M47" t="s">
        <v>27</v>
      </c>
      <c r="N47" t="s">
        <v>63</v>
      </c>
      <c r="O47" t="s">
        <v>471</v>
      </c>
      <c r="P47" t="s">
        <v>472</v>
      </c>
      <c r="Q47" t="s">
        <v>473</v>
      </c>
    </row>
    <row r="48" spans="1:17" ht="15" customHeight="1" x14ac:dyDescent="0.35">
      <c r="A48" t="s">
        <v>418</v>
      </c>
      <c r="B48">
        <v>47</v>
      </c>
      <c r="C48" t="s">
        <v>502</v>
      </c>
      <c r="D48" t="s">
        <v>421</v>
      </c>
      <c r="E48" t="s">
        <v>25</v>
      </c>
      <c r="F48" t="s">
        <v>34</v>
      </c>
      <c r="G48">
        <v>713</v>
      </c>
      <c r="H48">
        <v>0</v>
      </c>
      <c r="I48">
        <v>259</v>
      </c>
      <c r="J48">
        <v>0</v>
      </c>
      <c r="K48">
        <v>2.6200000000000003E-4</v>
      </c>
      <c r="L48">
        <v>2.580667</v>
      </c>
      <c r="M48" t="s">
        <v>27</v>
      </c>
      <c r="N48" t="s">
        <v>28</v>
      </c>
      <c r="O48" t="s">
        <v>471</v>
      </c>
      <c r="P48" t="s">
        <v>472</v>
      </c>
      <c r="Q48" t="s">
        <v>473</v>
      </c>
    </row>
    <row r="49" spans="1:17" ht="15" customHeight="1" x14ac:dyDescent="0.35">
      <c r="A49" t="s">
        <v>418</v>
      </c>
      <c r="B49">
        <v>48</v>
      </c>
      <c r="C49" t="s">
        <v>503</v>
      </c>
      <c r="D49" t="s">
        <v>421</v>
      </c>
      <c r="E49" t="s">
        <v>25</v>
      </c>
      <c r="F49" t="s">
        <v>62</v>
      </c>
      <c r="G49">
        <v>83</v>
      </c>
      <c r="H49">
        <v>0</v>
      </c>
      <c r="I49">
        <v>0</v>
      </c>
      <c r="J49">
        <v>0</v>
      </c>
      <c r="K49">
        <v>1.9999999999999999E-6</v>
      </c>
      <c r="L49">
        <v>0.29790699999999998</v>
      </c>
      <c r="M49" t="s">
        <v>27</v>
      </c>
      <c r="N49" t="s">
        <v>63</v>
      </c>
      <c r="O49" t="s">
        <v>471</v>
      </c>
      <c r="P49" t="s">
        <v>472</v>
      </c>
      <c r="Q49" t="s">
        <v>473</v>
      </c>
    </row>
    <row r="50" spans="1:17" ht="15" customHeight="1" x14ac:dyDescent="0.35">
      <c r="A50" t="s">
        <v>418</v>
      </c>
      <c r="B50">
        <v>49</v>
      </c>
      <c r="C50" t="s">
        <v>504</v>
      </c>
      <c r="D50" t="s">
        <v>421</v>
      </c>
      <c r="E50" t="s">
        <v>25</v>
      </c>
      <c r="F50" t="s">
        <v>34</v>
      </c>
      <c r="G50">
        <v>723</v>
      </c>
      <c r="H50">
        <v>0</v>
      </c>
      <c r="I50">
        <v>219</v>
      </c>
      <c r="J50">
        <v>0</v>
      </c>
      <c r="K50">
        <v>2.4000000000000001E-4</v>
      </c>
      <c r="L50">
        <v>2.846088</v>
      </c>
      <c r="M50" t="s">
        <v>27</v>
      </c>
      <c r="N50" t="s">
        <v>28</v>
      </c>
      <c r="O50" t="s">
        <v>471</v>
      </c>
      <c r="P50" t="s">
        <v>472</v>
      </c>
      <c r="Q50" t="s">
        <v>473</v>
      </c>
    </row>
    <row r="51" spans="1:17" ht="15" customHeight="1" x14ac:dyDescent="0.35">
      <c r="A51" t="s">
        <v>418</v>
      </c>
      <c r="B51">
        <v>50</v>
      </c>
      <c r="C51" t="s">
        <v>505</v>
      </c>
      <c r="D51" t="s">
        <v>421</v>
      </c>
      <c r="E51" t="s">
        <v>25</v>
      </c>
      <c r="F51" t="s">
        <v>62</v>
      </c>
      <c r="G51">
        <v>74</v>
      </c>
      <c r="H51">
        <v>0</v>
      </c>
      <c r="I51">
        <v>0</v>
      </c>
      <c r="J51">
        <v>0</v>
      </c>
      <c r="K51">
        <v>9.9999999999999995E-7</v>
      </c>
      <c r="L51">
        <v>0.36378100000000002</v>
      </c>
      <c r="M51" t="s">
        <v>27</v>
      </c>
      <c r="N51" t="s">
        <v>63</v>
      </c>
      <c r="O51" t="s">
        <v>471</v>
      </c>
      <c r="P51" t="s">
        <v>472</v>
      </c>
      <c r="Q51" t="s">
        <v>473</v>
      </c>
    </row>
    <row r="52" spans="1:17" ht="15" customHeight="1" x14ac:dyDescent="0.35">
      <c r="A52" t="s">
        <v>418</v>
      </c>
      <c r="B52">
        <v>51</v>
      </c>
      <c r="C52" t="s">
        <v>506</v>
      </c>
      <c r="D52" t="s">
        <v>421</v>
      </c>
      <c r="E52" t="s">
        <v>25</v>
      </c>
      <c r="F52" t="s">
        <v>34</v>
      </c>
      <c r="G52">
        <v>713</v>
      </c>
      <c r="H52">
        <v>0</v>
      </c>
      <c r="I52">
        <v>228</v>
      </c>
      <c r="J52">
        <v>0</v>
      </c>
      <c r="K52">
        <v>2.4399999999999999E-4</v>
      </c>
      <c r="L52">
        <v>2.6405479999999999</v>
      </c>
      <c r="M52" t="s">
        <v>27</v>
      </c>
      <c r="N52" t="s">
        <v>28</v>
      </c>
      <c r="O52" t="s">
        <v>471</v>
      </c>
      <c r="P52" t="s">
        <v>472</v>
      </c>
      <c r="Q52" t="s">
        <v>473</v>
      </c>
    </row>
    <row r="53" spans="1:17" ht="15" customHeight="1" x14ac:dyDescent="0.35">
      <c r="A53" t="s">
        <v>418</v>
      </c>
      <c r="B53">
        <v>52</v>
      </c>
      <c r="C53" t="s">
        <v>507</v>
      </c>
      <c r="D53" t="s">
        <v>421</v>
      </c>
      <c r="E53" t="s">
        <v>25</v>
      </c>
      <c r="F53" t="s">
        <v>62</v>
      </c>
      <c r="G53">
        <v>36</v>
      </c>
      <c r="H53">
        <v>0</v>
      </c>
      <c r="I53">
        <v>0</v>
      </c>
      <c r="J53">
        <v>0</v>
      </c>
      <c r="K53">
        <v>9.9999999999999995E-7</v>
      </c>
      <c r="L53">
        <v>0.53688899999999995</v>
      </c>
      <c r="M53" t="s">
        <v>27</v>
      </c>
      <c r="N53" t="s">
        <v>63</v>
      </c>
      <c r="O53" t="s">
        <v>471</v>
      </c>
      <c r="P53" t="s">
        <v>472</v>
      </c>
      <c r="Q53" t="s">
        <v>473</v>
      </c>
    </row>
    <row r="54" spans="1:17" ht="15" customHeight="1" x14ac:dyDescent="0.35">
      <c r="A54" t="s">
        <v>418</v>
      </c>
      <c r="B54">
        <v>53</v>
      </c>
      <c r="C54" t="s">
        <v>508</v>
      </c>
      <c r="D54" t="s">
        <v>421</v>
      </c>
      <c r="E54" t="s">
        <v>25</v>
      </c>
      <c r="F54" t="s">
        <v>34</v>
      </c>
      <c r="G54">
        <v>615</v>
      </c>
      <c r="H54">
        <v>0</v>
      </c>
      <c r="I54">
        <v>25</v>
      </c>
      <c r="J54">
        <v>0</v>
      </c>
      <c r="K54">
        <v>1.07E-4</v>
      </c>
      <c r="L54">
        <v>0.99692999999999998</v>
      </c>
      <c r="M54" t="s">
        <v>27</v>
      </c>
      <c r="N54" t="s">
        <v>28</v>
      </c>
      <c r="O54" t="s">
        <v>471</v>
      </c>
      <c r="P54" t="s">
        <v>472</v>
      </c>
      <c r="Q54" t="s">
        <v>473</v>
      </c>
    </row>
    <row r="55" spans="1:17" ht="15" customHeight="1" x14ac:dyDescent="0.35">
      <c r="A55" t="s">
        <v>418</v>
      </c>
      <c r="B55">
        <v>54</v>
      </c>
      <c r="C55" t="s">
        <v>508</v>
      </c>
      <c r="D55" t="s">
        <v>421</v>
      </c>
      <c r="E55" t="s">
        <v>25</v>
      </c>
      <c r="F55" t="s">
        <v>62</v>
      </c>
      <c r="G55">
        <v>99</v>
      </c>
      <c r="H55">
        <v>0</v>
      </c>
      <c r="I55">
        <v>0</v>
      </c>
      <c r="J55">
        <v>0</v>
      </c>
      <c r="K55">
        <v>1.9999999999999999E-6</v>
      </c>
      <c r="L55">
        <v>0.200458</v>
      </c>
      <c r="M55" t="s">
        <v>27</v>
      </c>
      <c r="N55" t="s">
        <v>63</v>
      </c>
      <c r="O55" t="s">
        <v>471</v>
      </c>
      <c r="P55" t="s">
        <v>472</v>
      </c>
      <c r="Q55" t="s">
        <v>473</v>
      </c>
    </row>
    <row r="56" spans="1:17" ht="15" customHeight="1" x14ac:dyDescent="0.35">
      <c r="A56" t="s">
        <v>418</v>
      </c>
      <c r="B56">
        <v>55</v>
      </c>
      <c r="C56" t="s">
        <v>509</v>
      </c>
      <c r="D56" t="s">
        <v>421</v>
      </c>
      <c r="E56" t="s">
        <v>25</v>
      </c>
      <c r="F56" t="s">
        <v>34</v>
      </c>
      <c r="G56">
        <v>678</v>
      </c>
      <c r="H56">
        <v>0</v>
      </c>
      <c r="I56">
        <v>152</v>
      </c>
      <c r="J56">
        <v>0</v>
      </c>
      <c r="K56">
        <v>1.93E-4</v>
      </c>
      <c r="L56">
        <v>2.0988820000000001</v>
      </c>
      <c r="M56" t="s">
        <v>27</v>
      </c>
      <c r="N56" t="s">
        <v>28</v>
      </c>
      <c r="O56" t="s">
        <v>471</v>
      </c>
      <c r="P56" t="s">
        <v>472</v>
      </c>
      <c r="Q56" t="s">
        <v>473</v>
      </c>
    </row>
    <row r="57" spans="1:17" ht="15" customHeight="1" x14ac:dyDescent="0.35">
      <c r="A57" t="s">
        <v>418</v>
      </c>
      <c r="B57">
        <v>56</v>
      </c>
      <c r="C57" t="s">
        <v>509</v>
      </c>
      <c r="D57" t="s">
        <v>421</v>
      </c>
      <c r="E57" t="s">
        <v>25</v>
      </c>
      <c r="F57" t="s">
        <v>62</v>
      </c>
      <c r="G57">
        <v>442</v>
      </c>
      <c r="H57">
        <v>0</v>
      </c>
      <c r="I57">
        <v>0</v>
      </c>
      <c r="J57">
        <v>0</v>
      </c>
      <c r="K57">
        <v>9.0000000000000002E-6</v>
      </c>
      <c r="L57">
        <v>0.300958</v>
      </c>
      <c r="M57" t="s">
        <v>27</v>
      </c>
      <c r="N57" t="s">
        <v>63</v>
      </c>
      <c r="O57" t="s">
        <v>471</v>
      </c>
      <c r="P57" t="s">
        <v>472</v>
      </c>
      <c r="Q57" t="s">
        <v>473</v>
      </c>
    </row>
    <row r="58" spans="1:17" ht="15" customHeight="1" x14ac:dyDescent="0.35">
      <c r="A58" t="s">
        <v>418</v>
      </c>
      <c r="B58">
        <v>57</v>
      </c>
      <c r="C58" t="s">
        <v>510</v>
      </c>
      <c r="D58" t="s">
        <v>421</v>
      </c>
      <c r="E58" t="s">
        <v>25</v>
      </c>
      <c r="F58" t="s">
        <v>34</v>
      </c>
      <c r="G58">
        <v>1058</v>
      </c>
      <c r="H58">
        <v>0</v>
      </c>
      <c r="I58">
        <v>293</v>
      </c>
      <c r="J58">
        <v>0</v>
      </c>
      <c r="K58">
        <v>3.3399999999999999E-4</v>
      </c>
      <c r="L58">
        <v>2.8712279999999999</v>
      </c>
      <c r="M58" t="s">
        <v>27</v>
      </c>
      <c r="N58" t="s">
        <v>28</v>
      </c>
      <c r="O58" t="s">
        <v>471</v>
      </c>
      <c r="P58" t="s">
        <v>472</v>
      </c>
      <c r="Q58" t="s">
        <v>473</v>
      </c>
    </row>
    <row r="59" spans="1:17" ht="15" customHeight="1" x14ac:dyDescent="0.35">
      <c r="A59" t="s">
        <v>418</v>
      </c>
      <c r="B59">
        <v>58</v>
      </c>
      <c r="C59" t="s">
        <v>510</v>
      </c>
      <c r="D59" t="s">
        <v>421</v>
      </c>
      <c r="E59" t="s">
        <v>25</v>
      </c>
      <c r="F59" t="s">
        <v>62</v>
      </c>
      <c r="G59">
        <v>74</v>
      </c>
      <c r="H59">
        <v>0</v>
      </c>
      <c r="I59">
        <v>0</v>
      </c>
      <c r="J59">
        <v>0</v>
      </c>
      <c r="K59">
        <v>9.9999999999999995E-7</v>
      </c>
      <c r="L59">
        <v>0.321272</v>
      </c>
      <c r="M59" t="s">
        <v>27</v>
      </c>
      <c r="N59" t="s">
        <v>63</v>
      </c>
      <c r="O59" t="s">
        <v>471</v>
      </c>
      <c r="P59" t="s">
        <v>472</v>
      </c>
      <c r="Q59" t="s">
        <v>473</v>
      </c>
    </row>
    <row r="60" spans="1:17" ht="15" customHeight="1" x14ac:dyDescent="0.35">
      <c r="A60" t="s">
        <v>418</v>
      </c>
      <c r="B60">
        <v>59</v>
      </c>
      <c r="C60" t="s">
        <v>511</v>
      </c>
      <c r="D60" t="s">
        <v>421</v>
      </c>
      <c r="E60" t="s">
        <v>25</v>
      </c>
      <c r="F60" t="s">
        <v>34</v>
      </c>
      <c r="G60">
        <v>653</v>
      </c>
      <c r="H60">
        <v>0</v>
      </c>
      <c r="I60">
        <v>243</v>
      </c>
      <c r="J60">
        <v>0</v>
      </c>
      <c r="K60">
        <v>2.4399999999999999E-4</v>
      </c>
      <c r="L60">
        <v>2.539183</v>
      </c>
      <c r="M60" t="s">
        <v>27</v>
      </c>
      <c r="N60" t="s">
        <v>28</v>
      </c>
      <c r="O60" t="s">
        <v>471</v>
      </c>
      <c r="P60" t="s">
        <v>472</v>
      </c>
      <c r="Q60" t="s">
        <v>473</v>
      </c>
    </row>
    <row r="61" spans="1:17" ht="15" customHeight="1" x14ac:dyDescent="0.35">
      <c r="A61" t="s">
        <v>418</v>
      </c>
      <c r="B61">
        <v>60</v>
      </c>
      <c r="C61" t="s">
        <v>512</v>
      </c>
      <c r="D61" t="s">
        <v>421</v>
      </c>
      <c r="E61" t="s">
        <v>25</v>
      </c>
      <c r="F61" t="s">
        <v>62</v>
      </c>
      <c r="G61">
        <v>83</v>
      </c>
      <c r="H61">
        <v>0</v>
      </c>
      <c r="I61">
        <v>0</v>
      </c>
      <c r="J61">
        <v>0</v>
      </c>
      <c r="K61">
        <v>1.9999999999999999E-6</v>
      </c>
      <c r="L61">
        <v>0.196493</v>
      </c>
      <c r="M61" t="s">
        <v>27</v>
      </c>
      <c r="N61" t="s">
        <v>63</v>
      </c>
      <c r="O61" t="s">
        <v>471</v>
      </c>
      <c r="P61" t="s">
        <v>472</v>
      </c>
      <c r="Q61" t="s">
        <v>473</v>
      </c>
    </row>
    <row r="62" spans="1:17" ht="15" customHeight="1" x14ac:dyDescent="0.35">
      <c r="A62" t="s">
        <v>418</v>
      </c>
      <c r="B62">
        <v>61</v>
      </c>
      <c r="C62" t="s">
        <v>513</v>
      </c>
      <c r="D62" t="s">
        <v>421</v>
      </c>
      <c r="E62" t="s">
        <v>25</v>
      </c>
      <c r="F62" t="s">
        <v>34</v>
      </c>
      <c r="G62">
        <v>663</v>
      </c>
      <c r="H62">
        <v>0</v>
      </c>
      <c r="I62">
        <v>259</v>
      </c>
      <c r="J62">
        <v>0</v>
      </c>
      <c r="K62">
        <v>2.5500000000000002E-4</v>
      </c>
      <c r="L62">
        <v>2.5847349999999998</v>
      </c>
      <c r="M62" t="s">
        <v>27</v>
      </c>
      <c r="N62" t="s">
        <v>28</v>
      </c>
      <c r="O62" t="s">
        <v>471</v>
      </c>
      <c r="P62" t="s">
        <v>472</v>
      </c>
      <c r="Q62" t="s">
        <v>473</v>
      </c>
    </row>
    <row r="63" spans="1:17" ht="15" customHeight="1" x14ac:dyDescent="0.35">
      <c r="A63" t="s">
        <v>418</v>
      </c>
      <c r="B63">
        <v>62</v>
      </c>
      <c r="C63" t="s">
        <v>513</v>
      </c>
      <c r="D63" t="s">
        <v>421</v>
      </c>
      <c r="E63" t="s">
        <v>25</v>
      </c>
      <c r="F63" t="s">
        <v>62</v>
      </c>
      <c r="G63">
        <v>74</v>
      </c>
      <c r="H63">
        <v>0</v>
      </c>
      <c r="I63">
        <v>0</v>
      </c>
      <c r="J63">
        <v>0</v>
      </c>
      <c r="K63">
        <v>9.9999999999999995E-7</v>
      </c>
      <c r="L63">
        <v>0.205675</v>
      </c>
      <c r="M63" t="s">
        <v>27</v>
      </c>
      <c r="N63" t="s">
        <v>63</v>
      </c>
      <c r="O63" t="s">
        <v>471</v>
      </c>
      <c r="P63" t="s">
        <v>472</v>
      </c>
      <c r="Q63" t="s">
        <v>473</v>
      </c>
    </row>
    <row r="64" spans="1:17" ht="15" customHeight="1" x14ac:dyDescent="0.35">
      <c r="A64" t="s">
        <v>418</v>
      </c>
      <c r="B64">
        <v>63</v>
      </c>
      <c r="C64" t="s">
        <v>514</v>
      </c>
      <c r="D64" t="s">
        <v>421</v>
      </c>
      <c r="E64" t="s">
        <v>25</v>
      </c>
      <c r="F64" t="s">
        <v>34</v>
      </c>
      <c r="G64">
        <v>653</v>
      </c>
      <c r="H64">
        <v>0</v>
      </c>
      <c r="I64">
        <v>169</v>
      </c>
      <c r="J64">
        <v>0</v>
      </c>
      <c r="K64">
        <v>1.9900000000000001E-4</v>
      </c>
      <c r="L64">
        <v>2.0683669999999998</v>
      </c>
      <c r="M64" t="s">
        <v>27</v>
      </c>
      <c r="N64" t="s">
        <v>28</v>
      </c>
      <c r="O64" t="s">
        <v>471</v>
      </c>
      <c r="P64" t="s">
        <v>472</v>
      </c>
      <c r="Q64" t="s">
        <v>473</v>
      </c>
    </row>
    <row r="65" spans="1:17" ht="15" customHeight="1" x14ac:dyDescent="0.35">
      <c r="A65" t="s">
        <v>422</v>
      </c>
      <c r="B65">
        <v>1</v>
      </c>
      <c r="C65" t="s">
        <v>515</v>
      </c>
      <c r="D65" t="s">
        <v>24</v>
      </c>
      <c r="E65" t="s">
        <v>25</v>
      </c>
      <c r="F65" t="s">
        <v>26</v>
      </c>
      <c r="G65">
        <v>1172</v>
      </c>
      <c r="H65">
        <v>1024</v>
      </c>
      <c r="I65">
        <v>50</v>
      </c>
      <c r="J65">
        <v>0</v>
      </c>
      <c r="K65">
        <v>2.15E-3</v>
      </c>
      <c r="L65">
        <v>2.028594</v>
      </c>
      <c r="M65" t="s">
        <v>27</v>
      </c>
      <c r="N65" t="s">
        <v>28</v>
      </c>
      <c r="O65" t="s">
        <v>29</v>
      </c>
      <c r="P65" t="s">
        <v>30</v>
      </c>
      <c r="Q65" t="s">
        <v>31</v>
      </c>
    </row>
    <row r="66" spans="1:17" ht="15" customHeight="1" x14ac:dyDescent="0.35">
      <c r="A66" t="s">
        <v>422</v>
      </c>
      <c r="B66">
        <v>2</v>
      </c>
      <c r="C66" t="s">
        <v>516</v>
      </c>
      <c r="D66" t="s">
        <v>421</v>
      </c>
      <c r="E66" t="s">
        <v>25</v>
      </c>
      <c r="F66" t="s">
        <v>34</v>
      </c>
      <c r="G66">
        <v>1581</v>
      </c>
      <c r="H66">
        <v>0</v>
      </c>
      <c r="I66">
        <v>49</v>
      </c>
      <c r="J66">
        <v>0</v>
      </c>
      <c r="K66">
        <v>2.6699999999999998E-4</v>
      </c>
      <c r="L66">
        <v>2.8116400000000001</v>
      </c>
      <c r="M66" t="s">
        <v>27</v>
      </c>
      <c r="N66" t="s">
        <v>28</v>
      </c>
      <c r="O66" t="s">
        <v>463</v>
      </c>
      <c r="P66" t="s">
        <v>464</v>
      </c>
      <c r="Q66" t="s">
        <v>465</v>
      </c>
    </row>
    <row r="67" spans="1:17" ht="15" customHeight="1" x14ac:dyDescent="0.35">
      <c r="A67" t="s">
        <v>422</v>
      </c>
      <c r="B67">
        <v>3</v>
      </c>
      <c r="C67" t="s">
        <v>517</v>
      </c>
      <c r="D67" t="s">
        <v>421</v>
      </c>
      <c r="E67" t="s">
        <v>25</v>
      </c>
      <c r="F67" t="s">
        <v>26</v>
      </c>
      <c r="G67">
        <v>516</v>
      </c>
      <c r="H67">
        <v>0</v>
      </c>
      <c r="I67">
        <v>33</v>
      </c>
      <c r="J67">
        <v>0</v>
      </c>
      <c r="K67">
        <v>1.6199999999999999E-3</v>
      </c>
      <c r="L67">
        <v>1.6063750000000001</v>
      </c>
      <c r="M67" t="s">
        <v>27</v>
      </c>
      <c r="N67" t="s">
        <v>28</v>
      </c>
      <c r="O67" t="s">
        <v>467</v>
      </c>
      <c r="P67" t="s">
        <v>468</v>
      </c>
      <c r="Q67" t="s">
        <v>469</v>
      </c>
    </row>
    <row r="68" spans="1:17" ht="15" customHeight="1" x14ac:dyDescent="0.35">
      <c r="A68" t="s">
        <v>422</v>
      </c>
      <c r="B68">
        <v>4</v>
      </c>
      <c r="C68" t="s">
        <v>518</v>
      </c>
      <c r="D68" t="s">
        <v>421</v>
      </c>
      <c r="E68" t="s">
        <v>25</v>
      </c>
      <c r="F68" t="s">
        <v>62</v>
      </c>
      <c r="G68">
        <v>36</v>
      </c>
      <c r="H68">
        <v>0</v>
      </c>
      <c r="I68">
        <v>0</v>
      </c>
      <c r="J68">
        <v>0</v>
      </c>
      <c r="K68">
        <v>9.9999999999999995E-7</v>
      </c>
      <c r="L68">
        <v>0.52644400000000002</v>
      </c>
      <c r="M68" t="s">
        <v>27</v>
      </c>
      <c r="N68" t="s">
        <v>63</v>
      </c>
      <c r="O68" t="s">
        <v>471</v>
      </c>
      <c r="P68" t="s">
        <v>472</v>
      </c>
      <c r="Q68" t="s">
        <v>473</v>
      </c>
    </row>
    <row r="69" spans="1:17" ht="15" customHeight="1" x14ac:dyDescent="0.35">
      <c r="A69" t="s">
        <v>422</v>
      </c>
      <c r="B69">
        <v>5</v>
      </c>
      <c r="C69" t="s">
        <v>519</v>
      </c>
      <c r="D69" t="s">
        <v>421</v>
      </c>
      <c r="E69" t="s">
        <v>25</v>
      </c>
      <c r="F69" t="s">
        <v>34</v>
      </c>
      <c r="G69">
        <v>5045</v>
      </c>
      <c r="H69">
        <v>0</v>
      </c>
      <c r="I69">
        <v>14</v>
      </c>
      <c r="J69">
        <v>0</v>
      </c>
      <c r="K69">
        <v>7.6499999999999995E-4</v>
      </c>
      <c r="L69">
        <v>1.1146020000000001</v>
      </c>
      <c r="M69" t="s">
        <v>27</v>
      </c>
      <c r="N69" t="s">
        <v>28</v>
      </c>
      <c r="O69" t="s">
        <v>471</v>
      </c>
      <c r="P69" t="s">
        <v>472</v>
      </c>
      <c r="Q69" t="s">
        <v>473</v>
      </c>
    </row>
    <row r="70" spans="1:17" ht="15" customHeight="1" x14ac:dyDescent="0.35">
      <c r="A70" t="s">
        <v>422</v>
      </c>
      <c r="B70">
        <v>6</v>
      </c>
      <c r="C70" t="s">
        <v>520</v>
      </c>
      <c r="D70" t="s">
        <v>421</v>
      </c>
      <c r="E70" t="s">
        <v>25</v>
      </c>
      <c r="F70" t="s">
        <v>62</v>
      </c>
      <c r="G70">
        <v>99</v>
      </c>
      <c r="H70">
        <v>0</v>
      </c>
      <c r="I70">
        <v>0</v>
      </c>
      <c r="J70">
        <v>0</v>
      </c>
      <c r="K70">
        <v>1.9999999999999999E-6</v>
      </c>
      <c r="L70">
        <v>0.29446600000000001</v>
      </c>
      <c r="M70" t="s">
        <v>27</v>
      </c>
      <c r="N70" t="s">
        <v>63</v>
      </c>
      <c r="O70" t="s">
        <v>471</v>
      </c>
      <c r="P70" t="s">
        <v>472</v>
      </c>
      <c r="Q70" t="s">
        <v>473</v>
      </c>
    </row>
    <row r="71" spans="1:17" ht="15" customHeight="1" x14ac:dyDescent="0.35">
      <c r="A71" t="s">
        <v>422</v>
      </c>
      <c r="B71">
        <v>7</v>
      </c>
      <c r="C71" t="s">
        <v>521</v>
      </c>
      <c r="D71" t="s">
        <v>421</v>
      </c>
      <c r="E71" t="s">
        <v>25</v>
      </c>
      <c r="F71" t="s">
        <v>34</v>
      </c>
      <c r="G71">
        <v>5090</v>
      </c>
      <c r="H71">
        <v>0</v>
      </c>
      <c r="I71">
        <v>182</v>
      </c>
      <c r="J71">
        <v>0</v>
      </c>
      <c r="K71">
        <v>8.7299999999999997E-4</v>
      </c>
      <c r="L71">
        <v>2.7520289999999998</v>
      </c>
      <c r="M71" t="s">
        <v>27</v>
      </c>
      <c r="N71" t="s">
        <v>28</v>
      </c>
      <c r="O71" t="s">
        <v>471</v>
      </c>
      <c r="P71" t="s">
        <v>472</v>
      </c>
      <c r="Q71" t="s">
        <v>473</v>
      </c>
    </row>
    <row r="72" spans="1:17" ht="15" customHeight="1" x14ac:dyDescent="0.35">
      <c r="A72" t="s">
        <v>422</v>
      </c>
      <c r="B72">
        <v>8</v>
      </c>
      <c r="C72" t="s">
        <v>521</v>
      </c>
      <c r="D72" t="s">
        <v>421</v>
      </c>
      <c r="E72" t="s">
        <v>25</v>
      </c>
      <c r="F72" t="s">
        <v>62</v>
      </c>
      <c r="G72">
        <v>442</v>
      </c>
      <c r="H72">
        <v>0</v>
      </c>
      <c r="I72">
        <v>0</v>
      </c>
      <c r="J72">
        <v>0</v>
      </c>
      <c r="K72">
        <v>9.0000000000000002E-6</v>
      </c>
      <c r="L72">
        <v>0.30556</v>
      </c>
      <c r="M72" t="s">
        <v>27</v>
      </c>
      <c r="N72" t="s">
        <v>63</v>
      </c>
      <c r="O72" t="s">
        <v>471</v>
      </c>
      <c r="P72" t="s">
        <v>472</v>
      </c>
      <c r="Q72" t="s">
        <v>473</v>
      </c>
    </row>
    <row r="73" spans="1:17" ht="15" customHeight="1" x14ac:dyDescent="0.35">
      <c r="A73" t="s">
        <v>422</v>
      </c>
      <c r="B73">
        <v>9</v>
      </c>
      <c r="C73" t="s">
        <v>522</v>
      </c>
      <c r="D73" t="s">
        <v>421</v>
      </c>
      <c r="E73" t="s">
        <v>25</v>
      </c>
      <c r="F73" t="s">
        <v>34</v>
      </c>
      <c r="G73">
        <v>5488</v>
      </c>
      <c r="H73">
        <v>0</v>
      </c>
      <c r="I73">
        <v>360</v>
      </c>
      <c r="J73">
        <v>0</v>
      </c>
      <c r="K73">
        <v>1.039E-3</v>
      </c>
      <c r="L73">
        <v>4.4998009999999997</v>
      </c>
      <c r="M73" t="s">
        <v>27</v>
      </c>
      <c r="N73" t="s">
        <v>28</v>
      </c>
      <c r="O73" t="s">
        <v>471</v>
      </c>
      <c r="P73" t="s">
        <v>472</v>
      </c>
      <c r="Q73" t="s">
        <v>473</v>
      </c>
    </row>
    <row r="74" spans="1:17" ht="15" customHeight="1" x14ac:dyDescent="0.35">
      <c r="A74" t="s">
        <v>422</v>
      </c>
      <c r="B74">
        <v>10</v>
      </c>
      <c r="C74" t="s">
        <v>522</v>
      </c>
      <c r="D74" t="s">
        <v>421</v>
      </c>
      <c r="E74" t="s">
        <v>25</v>
      </c>
      <c r="F74" t="s">
        <v>62</v>
      </c>
      <c r="G74">
        <v>74</v>
      </c>
      <c r="H74">
        <v>0</v>
      </c>
      <c r="I74">
        <v>0</v>
      </c>
      <c r="J74">
        <v>0</v>
      </c>
      <c r="K74">
        <v>9.9999999999999995E-7</v>
      </c>
      <c r="L74">
        <v>0.41478300000000001</v>
      </c>
      <c r="M74" t="s">
        <v>27</v>
      </c>
      <c r="N74" t="s">
        <v>63</v>
      </c>
      <c r="O74" t="s">
        <v>471</v>
      </c>
      <c r="P74" t="s">
        <v>472</v>
      </c>
      <c r="Q74" t="s">
        <v>473</v>
      </c>
    </row>
    <row r="75" spans="1:17" ht="15" customHeight="1" x14ac:dyDescent="0.35">
      <c r="A75" t="s">
        <v>422</v>
      </c>
      <c r="B75">
        <v>11</v>
      </c>
      <c r="C75" t="s">
        <v>523</v>
      </c>
      <c r="D75" t="s">
        <v>421</v>
      </c>
      <c r="E75" t="s">
        <v>25</v>
      </c>
      <c r="F75" t="s">
        <v>34</v>
      </c>
      <c r="G75">
        <v>5114</v>
      </c>
      <c r="H75">
        <v>1024</v>
      </c>
      <c r="I75">
        <v>263</v>
      </c>
      <c r="J75">
        <v>0</v>
      </c>
      <c r="K75">
        <v>8.4800000000000001E-4</v>
      </c>
      <c r="L75">
        <v>3.7666970000000002</v>
      </c>
      <c r="M75" t="s">
        <v>27</v>
      </c>
      <c r="N75" t="s">
        <v>28</v>
      </c>
      <c r="O75" t="s">
        <v>471</v>
      </c>
      <c r="P75" t="s">
        <v>472</v>
      </c>
      <c r="Q75" t="s">
        <v>473</v>
      </c>
    </row>
    <row r="76" spans="1:17" ht="15" customHeight="1" x14ac:dyDescent="0.35">
      <c r="A76" t="s">
        <v>422</v>
      </c>
      <c r="B76">
        <v>12</v>
      </c>
      <c r="C76" t="s">
        <v>523</v>
      </c>
      <c r="D76" t="s">
        <v>421</v>
      </c>
      <c r="E76" t="s">
        <v>25</v>
      </c>
      <c r="F76" t="s">
        <v>62</v>
      </c>
      <c r="G76">
        <v>83</v>
      </c>
      <c r="H76">
        <v>0</v>
      </c>
      <c r="I76">
        <v>0</v>
      </c>
      <c r="J76">
        <v>0</v>
      </c>
      <c r="K76">
        <v>1.9999999999999999E-6</v>
      </c>
      <c r="L76">
        <v>0.81311699999999998</v>
      </c>
      <c r="M76" t="s">
        <v>27</v>
      </c>
      <c r="N76" t="s">
        <v>63</v>
      </c>
      <c r="O76" t="s">
        <v>471</v>
      </c>
      <c r="P76" t="s">
        <v>472</v>
      </c>
      <c r="Q76" t="s">
        <v>473</v>
      </c>
    </row>
    <row r="77" spans="1:17" ht="15" customHeight="1" x14ac:dyDescent="0.35">
      <c r="A77" t="s">
        <v>422</v>
      </c>
      <c r="B77">
        <v>13</v>
      </c>
      <c r="C77" t="s">
        <v>524</v>
      </c>
      <c r="D77" t="s">
        <v>421</v>
      </c>
      <c r="E77" t="s">
        <v>25</v>
      </c>
      <c r="F77" t="s">
        <v>34</v>
      </c>
      <c r="G77">
        <v>5124</v>
      </c>
      <c r="H77">
        <v>1920</v>
      </c>
      <c r="I77">
        <v>270</v>
      </c>
      <c r="J77">
        <v>0</v>
      </c>
      <c r="K77">
        <v>7.8700000000000005E-4</v>
      </c>
      <c r="L77">
        <v>2.9631349999999999</v>
      </c>
      <c r="M77" t="s">
        <v>27</v>
      </c>
      <c r="N77" t="s">
        <v>28</v>
      </c>
      <c r="O77" t="s">
        <v>471</v>
      </c>
      <c r="P77" t="s">
        <v>472</v>
      </c>
      <c r="Q77" t="s">
        <v>473</v>
      </c>
    </row>
    <row r="78" spans="1:17" ht="15" customHeight="1" x14ac:dyDescent="0.35">
      <c r="A78" t="s">
        <v>422</v>
      </c>
      <c r="B78">
        <v>14</v>
      </c>
      <c r="C78" t="s">
        <v>524</v>
      </c>
      <c r="D78" t="s">
        <v>421</v>
      </c>
      <c r="E78" t="s">
        <v>25</v>
      </c>
      <c r="F78" t="s">
        <v>62</v>
      </c>
      <c r="G78">
        <v>74</v>
      </c>
      <c r="H78">
        <v>0</v>
      </c>
      <c r="I78">
        <v>0</v>
      </c>
      <c r="J78">
        <v>0</v>
      </c>
      <c r="K78">
        <v>9.9999999999999995E-7</v>
      </c>
      <c r="L78">
        <v>0.18566199999999999</v>
      </c>
      <c r="M78" t="s">
        <v>27</v>
      </c>
      <c r="N78" t="s">
        <v>63</v>
      </c>
      <c r="O78" t="s">
        <v>471</v>
      </c>
      <c r="P78" t="s">
        <v>472</v>
      </c>
      <c r="Q78" t="s">
        <v>473</v>
      </c>
    </row>
    <row r="79" spans="1:17" ht="15" customHeight="1" x14ac:dyDescent="0.35">
      <c r="A79" t="s">
        <v>422</v>
      </c>
      <c r="B79">
        <v>15</v>
      </c>
      <c r="C79" t="s">
        <v>525</v>
      </c>
      <c r="D79" t="s">
        <v>421</v>
      </c>
      <c r="E79" t="s">
        <v>25</v>
      </c>
      <c r="F79" t="s">
        <v>34</v>
      </c>
      <c r="G79">
        <v>5083</v>
      </c>
      <c r="H79">
        <v>1920</v>
      </c>
      <c r="I79">
        <v>294</v>
      </c>
      <c r="J79">
        <v>0</v>
      </c>
      <c r="K79">
        <v>7.9500000000000003E-4</v>
      </c>
      <c r="L79">
        <v>3.0246089999999999</v>
      </c>
      <c r="M79" t="s">
        <v>27</v>
      </c>
      <c r="N79" t="s">
        <v>28</v>
      </c>
      <c r="O79" t="s">
        <v>471</v>
      </c>
      <c r="P79" t="s">
        <v>472</v>
      </c>
      <c r="Q79" t="s">
        <v>473</v>
      </c>
    </row>
    <row r="80" spans="1:17" ht="15" customHeight="1" x14ac:dyDescent="0.35">
      <c r="A80" t="s">
        <v>422</v>
      </c>
      <c r="B80">
        <v>16</v>
      </c>
      <c r="C80" t="s">
        <v>526</v>
      </c>
      <c r="D80" t="s">
        <v>421</v>
      </c>
      <c r="E80" t="s">
        <v>25</v>
      </c>
      <c r="F80" t="s">
        <v>62</v>
      </c>
      <c r="G80">
        <v>36</v>
      </c>
      <c r="H80">
        <v>0</v>
      </c>
      <c r="I80">
        <v>0</v>
      </c>
      <c r="J80">
        <v>0</v>
      </c>
      <c r="K80">
        <v>9.9999999999999995E-7</v>
      </c>
      <c r="L80">
        <v>0.37292900000000001</v>
      </c>
      <c r="M80" t="s">
        <v>27</v>
      </c>
      <c r="N80" t="s">
        <v>63</v>
      </c>
      <c r="O80" t="s">
        <v>471</v>
      </c>
      <c r="P80" t="s">
        <v>472</v>
      </c>
      <c r="Q80" t="s">
        <v>473</v>
      </c>
    </row>
    <row r="81" spans="1:17" ht="15" customHeight="1" x14ac:dyDescent="0.35">
      <c r="A81" t="s">
        <v>422</v>
      </c>
      <c r="B81">
        <v>17</v>
      </c>
      <c r="C81" t="s">
        <v>527</v>
      </c>
      <c r="D81" t="s">
        <v>421</v>
      </c>
      <c r="E81" t="s">
        <v>25</v>
      </c>
      <c r="F81" t="s">
        <v>34</v>
      </c>
      <c r="G81">
        <v>4286</v>
      </c>
      <c r="H81">
        <v>0</v>
      </c>
      <c r="I81">
        <v>20</v>
      </c>
      <c r="J81">
        <v>0</v>
      </c>
      <c r="K81">
        <v>6.5499999999999998E-4</v>
      </c>
      <c r="L81">
        <v>1.0343500000000001</v>
      </c>
      <c r="M81" t="s">
        <v>27</v>
      </c>
      <c r="N81" t="s">
        <v>28</v>
      </c>
      <c r="O81" t="s">
        <v>471</v>
      </c>
      <c r="P81" t="s">
        <v>472</v>
      </c>
      <c r="Q81" t="s">
        <v>473</v>
      </c>
    </row>
    <row r="82" spans="1:17" ht="15" customHeight="1" x14ac:dyDescent="0.35">
      <c r="A82" t="s">
        <v>422</v>
      </c>
      <c r="B82">
        <v>18</v>
      </c>
      <c r="C82" t="s">
        <v>527</v>
      </c>
      <c r="D82" t="s">
        <v>421</v>
      </c>
      <c r="E82" t="s">
        <v>25</v>
      </c>
      <c r="F82" t="s">
        <v>62</v>
      </c>
      <c r="G82">
        <v>99</v>
      </c>
      <c r="H82">
        <v>0</v>
      </c>
      <c r="I82">
        <v>0</v>
      </c>
      <c r="J82">
        <v>0</v>
      </c>
      <c r="K82">
        <v>1.9999999999999999E-6</v>
      </c>
      <c r="L82">
        <v>0.33381100000000002</v>
      </c>
      <c r="M82" t="s">
        <v>27</v>
      </c>
      <c r="N82" t="s">
        <v>63</v>
      </c>
      <c r="O82" t="s">
        <v>471</v>
      </c>
      <c r="P82" t="s">
        <v>472</v>
      </c>
      <c r="Q82" t="s">
        <v>473</v>
      </c>
    </row>
    <row r="83" spans="1:17" ht="15" customHeight="1" x14ac:dyDescent="0.35">
      <c r="A83" t="s">
        <v>422</v>
      </c>
      <c r="B83">
        <v>19</v>
      </c>
      <c r="C83" t="s">
        <v>528</v>
      </c>
      <c r="D83" t="s">
        <v>421</v>
      </c>
      <c r="E83" t="s">
        <v>25</v>
      </c>
      <c r="F83" t="s">
        <v>34</v>
      </c>
      <c r="G83">
        <v>5111</v>
      </c>
      <c r="H83">
        <v>1024</v>
      </c>
      <c r="I83">
        <v>234</v>
      </c>
      <c r="J83">
        <v>0</v>
      </c>
      <c r="K83">
        <v>8.3000000000000001E-4</v>
      </c>
      <c r="L83">
        <v>2.7761070000000001</v>
      </c>
      <c r="M83" t="s">
        <v>27</v>
      </c>
      <c r="N83" t="s">
        <v>28</v>
      </c>
      <c r="O83" t="s">
        <v>471</v>
      </c>
      <c r="P83" t="s">
        <v>472</v>
      </c>
      <c r="Q83" t="s">
        <v>473</v>
      </c>
    </row>
    <row r="84" spans="1:17" ht="15" customHeight="1" x14ac:dyDescent="0.35">
      <c r="A84" t="s">
        <v>422</v>
      </c>
      <c r="B84">
        <v>20</v>
      </c>
      <c r="C84" t="s">
        <v>528</v>
      </c>
      <c r="D84" t="s">
        <v>421</v>
      </c>
      <c r="E84" t="s">
        <v>25</v>
      </c>
      <c r="F84" t="s">
        <v>62</v>
      </c>
      <c r="G84">
        <v>442</v>
      </c>
      <c r="H84">
        <v>0</v>
      </c>
      <c r="I84">
        <v>0</v>
      </c>
      <c r="J84">
        <v>0</v>
      </c>
      <c r="K84">
        <v>9.0000000000000002E-6</v>
      </c>
      <c r="L84">
        <v>0.30334299999999997</v>
      </c>
      <c r="M84" t="s">
        <v>27</v>
      </c>
      <c r="N84" t="s">
        <v>63</v>
      </c>
      <c r="O84" t="s">
        <v>471</v>
      </c>
      <c r="P84" t="s">
        <v>472</v>
      </c>
      <c r="Q84" t="s">
        <v>473</v>
      </c>
    </row>
    <row r="85" spans="1:17" ht="15" customHeight="1" x14ac:dyDescent="0.35">
      <c r="A85" t="s">
        <v>422</v>
      </c>
      <c r="B85">
        <v>21</v>
      </c>
      <c r="C85" t="s">
        <v>529</v>
      </c>
      <c r="D85" t="s">
        <v>421</v>
      </c>
      <c r="E85" t="s">
        <v>25</v>
      </c>
      <c r="F85" t="s">
        <v>34</v>
      </c>
      <c r="G85">
        <v>5486</v>
      </c>
      <c r="H85">
        <v>0</v>
      </c>
      <c r="I85">
        <v>402</v>
      </c>
      <c r="J85">
        <v>0</v>
      </c>
      <c r="K85">
        <v>1.0640000000000001E-3</v>
      </c>
      <c r="L85">
        <v>5.8836630000000003</v>
      </c>
      <c r="M85" t="s">
        <v>27</v>
      </c>
      <c r="N85" t="s">
        <v>28</v>
      </c>
      <c r="O85" t="s">
        <v>471</v>
      </c>
      <c r="P85" t="s">
        <v>472</v>
      </c>
      <c r="Q85" t="s">
        <v>473</v>
      </c>
    </row>
    <row r="86" spans="1:17" ht="15" customHeight="1" x14ac:dyDescent="0.35">
      <c r="A86" t="s">
        <v>422</v>
      </c>
      <c r="B86">
        <v>22</v>
      </c>
      <c r="C86" t="s">
        <v>529</v>
      </c>
      <c r="D86" t="s">
        <v>421</v>
      </c>
      <c r="E86" t="s">
        <v>25</v>
      </c>
      <c r="F86" t="s">
        <v>62</v>
      </c>
      <c r="G86">
        <v>74</v>
      </c>
      <c r="H86">
        <v>0</v>
      </c>
      <c r="I86">
        <v>0</v>
      </c>
      <c r="J86">
        <v>0</v>
      </c>
      <c r="K86">
        <v>9.9999999999999995E-7</v>
      </c>
      <c r="L86">
        <v>0.39619300000000002</v>
      </c>
      <c r="M86" t="s">
        <v>27</v>
      </c>
      <c r="N86" t="s">
        <v>63</v>
      </c>
      <c r="O86" t="s">
        <v>471</v>
      </c>
      <c r="P86" t="s">
        <v>472</v>
      </c>
      <c r="Q86" t="s">
        <v>473</v>
      </c>
    </row>
    <row r="87" spans="1:17" ht="15" customHeight="1" x14ac:dyDescent="0.35">
      <c r="A87" t="s">
        <v>422</v>
      </c>
      <c r="B87">
        <v>23</v>
      </c>
      <c r="C87" t="s">
        <v>530</v>
      </c>
      <c r="D87" t="s">
        <v>421</v>
      </c>
      <c r="E87" t="s">
        <v>25</v>
      </c>
      <c r="F87" t="s">
        <v>34</v>
      </c>
      <c r="G87">
        <v>5110</v>
      </c>
      <c r="H87">
        <v>0</v>
      </c>
      <c r="I87">
        <v>266</v>
      </c>
      <c r="J87">
        <v>0</v>
      </c>
      <c r="K87">
        <v>9.2599999999999996E-4</v>
      </c>
      <c r="L87">
        <v>3.4909189999999999</v>
      </c>
      <c r="M87" t="s">
        <v>27</v>
      </c>
      <c r="N87" t="s">
        <v>28</v>
      </c>
      <c r="O87" t="s">
        <v>471</v>
      </c>
      <c r="P87" t="s">
        <v>472</v>
      </c>
      <c r="Q87" t="s">
        <v>473</v>
      </c>
    </row>
    <row r="88" spans="1:17" ht="15" customHeight="1" x14ac:dyDescent="0.35">
      <c r="A88" t="s">
        <v>422</v>
      </c>
      <c r="B88">
        <v>24</v>
      </c>
      <c r="C88" t="s">
        <v>531</v>
      </c>
      <c r="D88" t="s">
        <v>421</v>
      </c>
      <c r="E88" t="s">
        <v>25</v>
      </c>
      <c r="F88" t="s">
        <v>62</v>
      </c>
      <c r="G88">
        <v>83</v>
      </c>
      <c r="H88">
        <v>0</v>
      </c>
      <c r="I88">
        <v>0</v>
      </c>
      <c r="J88">
        <v>0</v>
      </c>
      <c r="K88">
        <v>1.9999999999999999E-6</v>
      </c>
      <c r="L88">
        <v>0.28826099999999999</v>
      </c>
      <c r="M88" t="s">
        <v>27</v>
      </c>
      <c r="N88" t="s">
        <v>63</v>
      </c>
      <c r="O88" t="s">
        <v>471</v>
      </c>
      <c r="P88" t="s">
        <v>472</v>
      </c>
      <c r="Q88" t="s">
        <v>473</v>
      </c>
    </row>
    <row r="89" spans="1:17" ht="15" customHeight="1" x14ac:dyDescent="0.35">
      <c r="A89" t="s">
        <v>422</v>
      </c>
      <c r="B89">
        <v>25</v>
      </c>
      <c r="C89" t="s">
        <v>532</v>
      </c>
      <c r="D89" t="s">
        <v>421</v>
      </c>
      <c r="E89" t="s">
        <v>25</v>
      </c>
      <c r="F89" t="s">
        <v>34</v>
      </c>
      <c r="G89">
        <v>5133</v>
      </c>
      <c r="H89">
        <v>1024</v>
      </c>
      <c r="I89">
        <v>314</v>
      </c>
      <c r="J89">
        <v>0</v>
      </c>
      <c r="K89">
        <v>8.8199999999999997E-4</v>
      </c>
      <c r="L89">
        <v>4.3021349999999998</v>
      </c>
      <c r="M89" t="s">
        <v>27</v>
      </c>
      <c r="N89" t="s">
        <v>28</v>
      </c>
      <c r="O89" t="s">
        <v>471</v>
      </c>
      <c r="P89" t="s">
        <v>472</v>
      </c>
      <c r="Q89" t="s">
        <v>473</v>
      </c>
    </row>
    <row r="90" spans="1:17" ht="15" customHeight="1" x14ac:dyDescent="0.35">
      <c r="A90" t="s">
        <v>422</v>
      </c>
      <c r="B90">
        <v>26</v>
      </c>
      <c r="C90" t="s">
        <v>532</v>
      </c>
      <c r="D90" t="s">
        <v>421</v>
      </c>
      <c r="E90" t="s">
        <v>25</v>
      </c>
      <c r="F90" t="s">
        <v>62</v>
      </c>
      <c r="G90">
        <v>74</v>
      </c>
      <c r="H90">
        <v>0</v>
      </c>
      <c r="I90">
        <v>0</v>
      </c>
      <c r="J90">
        <v>0</v>
      </c>
      <c r="K90">
        <v>9.9999999999999995E-7</v>
      </c>
      <c r="L90">
        <v>0.62929199999999996</v>
      </c>
      <c r="M90" t="s">
        <v>27</v>
      </c>
      <c r="N90" t="s">
        <v>63</v>
      </c>
      <c r="O90" t="s">
        <v>471</v>
      </c>
      <c r="P90" t="s">
        <v>472</v>
      </c>
      <c r="Q90" t="s">
        <v>473</v>
      </c>
    </row>
    <row r="91" spans="1:17" ht="15" customHeight="1" x14ac:dyDescent="0.35">
      <c r="A91" t="s">
        <v>422</v>
      </c>
      <c r="B91">
        <v>27</v>
      </c>
      <c r="C91" t="s">
        <v>533</v>
      </c>
      <c r="D91" t="s">
        <v>421</v>
      </c>
      <c r="E91" t="s">
        <v>25</v>
      </c>
      <c r="F91" t="s">
        <v>34</v>
      </c>
      <c r="G91">
        <v>5081</v>
      </c>
      <c r="H91">
        <v>1920</v>
      </c>
      <c r="I91">
        <v>325</v>
      </c>
      <c r="J91">
        <v>0</v>
      </c>
      <c r="K91">
        <v>8.1300000000000003E-4</v>
      </c>
      <c r="L91">
        <v>5.6964490000000003</v>
      </c>
      <c r="M91" t="s">
        <v>27</v>
      </c>
      <c r="N91" t="s">
        <v>28</v>
      </c>
      <c r="O91" t="s">
        <v>471</v>
      </c>
      <c r="P91" t="s">
        <v>472</v>
      </c>
      <c r="Q91" t="s">
        <v>473</v>
      </c>
    </row>
    <row r="92" spans="1:17" ht="15" customHeight="1" x14ac:dyDescent="0.35">
      <c r="A92" t="s">
        <v>422</v>
      </c>
      <c r="B92">
        <v>28</v>
      </c>
      <c r="C92" t="s">
        <v>534</v>
      </c>
      <c r="D92" t="s">
        <v>421</v>
      </c>
      <c r="E92" t="s">
        <v>25</v>
      </c>
      <c r="F92" t="s">
        <v>62</v>
      </c>
      <c r="G92">
        <v>36</v>
      </c>
      <c r="H92">
        <v>0</v>
      </c>
      <c r="I92">
        <v>0</v>
      </c>
      <c r="J92">
        <v>0</v>
      </c>
      <c r="K92">
        <v>9.9999999999999995E-7</v>
      </c>
      <c r="L92">
        <v>0.44204900000000003</v>
      </c>
      <c r="M92" t="s">
        <v>27</v>
      </c>
      <c r="N92" t="s">
        <v>63</v>
      </c>
      <c r="O92" t="s">
        <v>471</v>
      </c>
      <c r="P92" t="s">
        <v>472</v>
      </c>
      <c r="Q92" t="s">
        <v>473</v>
      </c>
    </row>
    <row r="93" spans="1:17" ht="15" customHeight="1" x14ac:dyDescent="0.35">
      <c r="A93" t="s">
        <v>422</v>
      </c>
      <c r="B93">
        <v>29</v>
      </c>
      <c r="C93" t="s">
        <v>535</v>
      </c>
      <c r="D93" t="s">
        <v>421</v>
      </c>
      <c r="E93" t="s">
        <v>25</v>
      </c>
      <c r="F93" t="s">
        <v>34</v>
      </c>
      <c r="G93">
        <v>4527</v>
      </c>
      <c r="H93">
        <v>0</v>
      </c>
      <c r="I93">
        <v>29</v>
      </c>
      <c r="J93">
        <v>0</v>
      </c>
      <c r="K93">
        <v>6.96E-4</v>
      </c>
      <c r="L93">
        <v>2.1892140000000002</v>
      </c>
      <c r="M93" t="s">
        <v>27</v>
      </c>
      <c r="N93" t="s">
        <v>28</v>
      </c>
      <c r="O93" t="s">
        <v>471</v>
      </c>
      <c r="P93" t="s">
        <v>472</v>
      </c>
      <c r="Q93" t="s">
        <v>473</v>
      </c>
    </row>
    <row r="94" spans="1:17" ht="15" customHeight="1" x14ac:dyDescent="0.35">
      <c r="A94" t="s">
        <v>422</v>
      </c>
      <c r="B94">
        <v>30</v>
      </c>
      <c r="C94" t="s">
        <v>535</v>
      </c>
      <c r="D94" t="s">
        <v>421</v>
      </c>
      <c r="E94" t="s">
        <v>25</v>
      </c>
      <c r="F94" t="s">
        <v>62</v>
      </c>
      <c r="G94">
        <v>99</v>
      </c>
      <c r="H94">
        <v>0</v>
      </c>
      <c r="I94">
        <v>0</v>
      </c>
      <c r="J94">
        <v>0</v>
      </c>
      <c r="K94">
        <v>1.9999999999999999E-6</v>
      </c>
      <c r="L94">
        <v>0.208235</v>
      </c>
      <c r="M94" t="s">
        <v>27</v>
      </c>
      <c r="N94" t="s">
        <v>63</v>
      </c>
      <c r="O94" t="s">
        <v>471</v>
      </c>
      <c r="P94" t="s">
        <v>472</v>
      </c>
      <c r="Q94" t="s">
        <v>473</v>
      </c>
    </row>
    <row r="95" spans="1:17" ht="15" customHeight="1" x14ac:dyDescent="0.35">
      <c r="A95" t="s">
        <v>422</v>
      </c>
      <c r="B95">
        <v>31</v>
      </c>
      <c r="C95" t="s">
        <v>536</v>
      </c>
      <c r="D95" t="s">
        <v>421</v>
      </c>
      <c r="E95" t="s">
        <v>25</v>
      </c>
      <c r="F95" t="s">
        <v>34</v>
      </c>
      <c r="G95">
        <v>5099</v>
      </c>
      <c r="H95">
        <v>0</v>
      </c>
      <c r="I95">
        <v>246</v>
      </c>
      <c r="J95">
        <v>0</v>
      </c>
      <c r="K95">
        <v>9.1200000000000005E-4</v>
      </c>
      <c r="L95">
        <v>2.949039</v>
      </c>
      <c r="M95" t="s">
        <v>27</v>
      </c>
      <c r="N95" t="s">
        <v>28</v>
      </c>
      <c r="O95" t="s">
        <v>471</v>
      </c>
      <c r="P95" t="s">
        <v>472</v>
      </c>
      <c r="Q95" t="s">
        <v>473</v>
      </c>
    </row>
    <row r="96" spans="1:17" ht="15" customHeight="1" x14ac:dyDescent="0.35">
      <c r="A96" t="s">
        <v>422</v>
      </c>
      <c r="B96">
        <v>32</v>
      </c>
      <c r="C96" t="s">
        <v>537</v>
      </c>
      <c r="D96" t="s">
        <v>421</v>
      </c>
      <c r="E96" t="s">
        <v>25</v>
      </c>
      <c r="F96" t="s">
        <v>62</v>
      </c>
      <c r="G96">
        <v>442</v>
      </c>
      <c r="H96">
        <v>0</v>
      </c>
      <c r="I96">
        <v>0</v>
      </c>
      <c r="J96">
        <v>0</v>
      </c>
      <c r="K96">
        <v>9.0000000000000002E-6</v>
      </c>
      <c r="L96">
        <v>0.29558600000000002</v>
      </c>
      <c r="M96" t="s">
        <v>27</v>
      </c>
      <c r="N96" t="s">
        <v>63</v>
      </c>
      <c r="O96" t="s">
        <v>471</v>
      </c>
      <c r="P96" t="s">
        <v>472</v>
      </c>
      <c r="Q96" t="s">
        <v>473</v>
      </c>
    </row>
    <row r="97" spans="1:17" ht="15" customHeight="1" x14ac:dyDescent="0.35">
      <c r="A97" t="s">
        <v>422</v>
      </c>
      <c r="B97">
        <v>33</v>
      </c>
      <c r="C97" t="s">
        <v>538</v>
      </c>
      <c r="D97" t="s">
        <v>421</v>
      </c>
      <c r="E97" t="s">
        <v>25</v>
      </c>
      <c r="F97" t="s">
        <v>34</v>
      </c>
      <c r="G97">
        <v>4970</v>
      </c>
      <c r="H97">
        <v>1024</v>
      </c>
      <c r="I97">
        <v>334</v>
      </c>
      <c r="J97">
        <v>0</v>
      </c>
      <c r="K97">
        <v>8.6899999999999998E-4</v>
      </c>
      <c r="L97">
        <v>3.5127350000000002</v>
      </c>
      <c r="M97" t="s">
        <v>27</v>
      </c>
      <c r="N97" t="s">
        <v>28</v>
      </c>
      <c r="O97" t="s">
        <v>471</v>
      </c>
      <c r="P97" t="s">
        <v>472</v>
      </c>
      <c r="Q97" t="s">
        <v>473</v>
      </c>
    </row>
    <row r="98" spans="1:17" ht="15" customHeight="1" x14ac:dyDescent="0.35">
      <c r="A98" t="s">
        <v>422</v>
      </c>
      <c r="B98">
        <v>34</v>
      </c>
      <c r="C98" t="s">
        <v>538</v>
      </c>
      <c r="D98" t="s">
        <v>421</v>
      </c>
      <c r="E98" t="s">
        <v>25</v>
      </c>
      <c r="F98" t="s">
        <v>62</v>
      </c>
      <c r="G98">
        <v>74</v>
      </c>
      <c r="H98">
        <v>0</v>
      </c>
      <c r="I98">
        <v>0</v>
      </c>
      <c r="J98">
        <v>0</v>
      </c>
      <c r="K98">
        <v>9.9999999999999995E-7</v>
      </c>
      <c r="L98">
        <v>0.38927699999999998</v>
      </c>
      <c r="M98" t="s">
        <v>27</v>
      </c>
      <c r="N98" t="s">
        <v>63</v>
      </c>
      <c r="O98" t="s">
        <v>471</v>
      </c>
      <c r="P98" t="s">
        <v>472</v>
      </c>
      <c r="Q98" t="s">
        <v>473</v>
      </c>
    </row>
    <row r="99" spans="1:17" ht="15" customHeight="1" x14ac:dyDescent="0.35">
      <c r="A99" t="s">
        <v>422</v>
      </c>
      <c r="B99">
        <v>35</v>
      </c>
      <c r="C99" t="s">
        <v>539</v>
      </c>
      <c r="D99" t="s">
        <v>421</v>
      </c>
      <c r="E99" t="s">
        <v>25</v>
      </c>
      <c r="F99" t="s">
        <v>34</v>
      </c>
      <c r="G99">
        <v>4550</v>
      </c>
      <c r="H99">
        <v>3072</v>
      </c>
      <c r="I99">
        <v>258</v>
      </c>
      <c r="J99">
        <v>0</v>
      </c>
      <c r="K99">
        <v>6.0700000000000001E-4</v>
      </c>
      <c r="L99">
        <v>2.454183</v>
      </c>
      <c r="M99" t="s">
        <v>27</v>
      </c>
      <c r="N99" t="s">
        <v>28</v>
      </c>
      <c r="O99" t="s">
        <v>471</v>
      </c>
      <c r="P99" t="s">
        <v>472</v>
      </c>
      <c r="Q99" t="s">
        <v>473</v>
      </c>
    </row>
    <row r="100" spans="1:17" ht="15" customHeight="1" x14ac:dyDescent="0.35">
      <c r="A100" t="s">
        <v>422</v>
      </c>
      <c r="B100">
        <v>36</v>
      </c>
      <c r="C100" t="s">
        <v>539</v>
      </c>
      <c r="D100" t="s">
        <v>421</v>
      </c>
      <c r="E100" t="s">
        <v>25</v>
      </c>
      <c r="F100" t="s">
        <v>62</v>
      </c>
      <c r="G100">
        <v>83</v>
      </c>
      <c r="H100">
        <v>0</v>
      </c>
      <c r="I100">
        <v>0</v>
      </c>
      <c r="J100">
        <v>0</v>
      </c>
      <c r="K100">
        <v>1.9999999999999999E-6</v>
      </c>
      <c r="L100">
        <v>0.257079</v>
      </c>
      <c r="M100" t="s">
        <v>27</v>
      </c>
      <c r="N100" t="s">
        <v>63</v>
      </c>
      <c r="O100" t="s">
        <v>471</v>
      </c>
      <c r="P100" t="s">
        <v>472</v>
      </c>
      <c r="Q100" t="s">
        <v>473</v>
      </c>
    </row>
    <row r="101" spans="1:17" ht="15" customHeight="1" x14ac:dyDescent="0.35">
      <c r="A101" t="s">
        <v>422</v>
      </c>
      <c r="B101">
        <v>37</v>
      </c>
      <c r="C101" t="s">
        <v>540</v>
      </c>
      <c r="D101" t="s">
        <v>421</v>
      </c>
      <c r="E101" t="s">
        <v>25</v>
      </c>
      <c r="F101" t="s">
        <v>34</v>
      </c>
      <c r="G101">
        <v>4575</v>
      </c>
      <c r="H101">
        <v>4352</v>
      </c>
      <c r="I101">
        <v>268</v>
      </c>
      <c r="J101">
        <v>0</v>
      </c>
      <c r="K101">
        <v>5.2099999999999998E-4</v>
      </c>
      <c r="L101">
        <v>2.626274</v>
      </c>
      <c r="M101" t="s">
        <v>27</v>
      </c>
      <c r="N101" t="s">
        <v>28</v>
      </c>
      <c r="O101" t="s">
        <v>471</v>
      </c>
      <c r="P101" t="s">
        <v>472</v>
      </c>
      <c r="Q101" t="s">
        <v>473</v>
      </c>
    </row>
    <row r="102" spans="1:17" ht="15" customHeight="1" x14ac:dyDescent="0.35">
      <c r="A102" t="s">
        <v>422</v>
      </c>
      <c r="B102">
        <v>38</v>
      </c>
      <c r="C102" t="s">
        <v>540</v>
      </c>
      <c r="D102" t="s">
        <v>421</v>
      </c>
      <c r="E102" t="s">
        <v>25</v>
      </c>
      <c r="F102" t="s">
        <v>62</v>
      </c>
      <c r="G102">
        <v>74</v>
      </c>
      <c r="H102">
        <v>0</v>
      </c>
      <c r="I102">
        <v>0</v>
      </c>
      <c r="J102">
        <v>0</v>
      </c>
      <c r="K102">
        <v>9.9999999999999995E-7</v>
      </c>
      <c r="L102">
        <v>0.30220200000000003</v>
      </c>
      <c r="M102" t="s">
        <v>27</v>
      </c>
      <c r="N102" t="s">
        <v>63</v>
      </c>
      <c r="O102" t="s">
        <v>471</v>
      </c>
      <c r="P102" t="s">
        <v>472</v>
      </c>
      <c r="Q102" t="s">
        <v>473</v>
      </c>
    </row>
    <row r="103" spans="1:17" ht="15" customHeight="1" x14ac:dyDescent="0.35">
      <c r="A103" t="s">
        <v>422</v>
      </c>
      <c r="B103">
        <v>39</v>
      </c>
      <c r="C103" t="s">
        <v>541</v>
      </c>
      <c r="D103" t="s">
        <v>421</v>
      </c>
      <c r="E103" t="s">
        <v>25</v>
      </c>
      <c r="F103" t="s">
        <v>34</v>
      </c>
      <c r="G103">
        <v>4565</v>
      </c>
      <c r="H103">
        <v>1024</v>
      </c>
      <c r="I103">
        <v>324</v>
      </c>
      <c r="J103">
        <v>0</v>
      </c>
      <c r="K103">
        <v>8.0199999999999998E-4</v>
      </c>
      <c r="L103">
        <v>2.8665729999999998</v>
      </c>
      <c r="M103" t="s">
        <v>27</v>
      </c>
      <c r="N103" t="s">
        <v>28</v>
      </c>
      <c r="O103" t="s">
        <v>471</v>
      </c>
      <c r="P103" t="s">
        <v>472</v>
      </c>
      <c r="Q103" t="s">
        <v>473</v>
      </c>
    </row>
    <row r="104" spans="1:17" ht="15" customHeight="1" x14ac:dyDescent="0.35">
      <c r="A104" t="s">
        <v>422</v>
      </c>
      <c r="B104">
        <v>40</v>
      </c>
      <c r="C104" t="s">
        <v>542</v>
      </c>
      <c r="D104" t="s">
        <v>421</v>
      </c>
      <c r="E104" t="s">
        <v>25</v>
      </c>
      <c r="F104" t="s">
        <v>62</v>
      </c>
      <c r="G104">
        <v>36</v>
      </c>
      <c r="H104">
        <v>0</v>
      </c>
      <c r="I104">
        <v>0</v>
      </c>
      <c r="J104">
        <v>0</v>
      </c>
      <c r="K104">
        <v>9.9999999999999995E-7</v>
      </c>
      <c r="L104">
        <v>0.56709799999999999</v>
      </c>
      <c r="M104" t="s">
        <v>27</v>
      </c>
      <c r="N104" t="s">
        <v>63</v>
      </c>
      <c r="O104" t="s">
        <v>471</v>
      </c>
      <c r="P104" t="s">
        <v>472</v>
      </c>
      <c r="Q104" t="s">
        <v>473</v>
      </c>
    </row>
    <row r="105" spans="1:17" ht="15" customHeight="1" x14ac:dyDescent="0.35">
      <c r="A105" t="s">
        <v>422</v>
      </c>
      <c r="B105">
        <v>41</v>
      </c>
      <c r="C105" t="s">
        <v>543</v>
      </c>
      <c r="D105" t="s">
        <v>421</v>
      </c>
      <c r="E105" t="s">
        <v>25</v>
      </c>
      <c r="F105" t="s">
        <v>34</v>
      </c>
      <c r="G105">
        <v>4854</v>
      </c>
      <c r="H105">
        <v>0</v>
      </c>
      <c r="I105">
        <v>11</v>
      </c>
      <c r="J105">
        <v>0</v>
      </c>
      <c r="K105">
        <v>7.3499999999999998E-4</v>
      </c>
      <c r="L105">
        <v>1.1274409999999999</v>
      </c>
      <c r="M105" t="s">
        <v>27</v>
      </c>
      <c r="N105" t="s">
        <v>28</v>
      </c>
      <c r="O105" t="s">
        <v>471</v>
      </c>
      <c r="P105" t="s">
        <v>472</v>
      </c>
      <c r="Q105" t="s">
        <v>473</v>
      </c>
    </row>
    <row r="106" spans="1:17" ht="15" customHeight="1" x14ac:dyDescent="0.35">
      <c r="A106" t="s">
        <v>422</v>
      </c>
      <c r="B106">
        <v>42</v>
      </c>
      <c r="C106" t="s">
        <v>543</v>
      </c>
      <c r="D106" t="s">
        <v>421</v>
      </c>
      <c r="E106" t="s">
        <v>25</v>
      </c>
      <c r="F106" t="s">
        <v>62</v>
      </c>
      <c r="G106">
        <v>99</v>
      </c>
      <c r="H106">
        <v>0</v>
      </c>
      <c r="I106">
        <v>0</v>
      </c>
      <c r="J106">
        <v>0</v>
      </c>
      <c r="K106">
        <v>1.9999999999999999E-6</v>
      </c>
      <c r="L106">
        <v>0.20313300000000001</v>
      </c>
      <c r="M106" t="s">
        <v>27</v>
      </c>
      <c r="N106" t="s">
        <v>63</v>
      </c>
      <c r="O106" t="s">
        <v>471</v>
      </c>
      <c r="P106" t="s">
        <v>472</v>
      </c>
      <c r="Q106" t="s">
        <v>473</v>
      </c>
    </row>
    <row r="107" spans="1:17" ht="15" customHeight="1" x14ac:dyDescent="0.35">
      <c r="A107" t="s">
        <v>422</v>
      </c>
      <c r="B107">
        <v>43</v>
      </c>
      <c r="C107" t="s">
        <v>544</v>
      </c>
      <c r="D107" t="s">
        <v>421</v>
      </c>
      <c r="E107" t="s">
        <v>25</v>
      </c>
      <c r="F107" t="s">
        <v>34</v>
      </c>
      <c r="G107">
        <v>5078</v>
      </c>
      <c r="H107">
        <v>0</v>
      </c>
      <c r="I107">
        <v>252</v>
      </c>
      <c r="J107">
        <v>0</v>
      </c>
      <c r="K107">
        <v>9.1299999999999997E-4</v>
      </c>
      <c r="L107">
        <v>3.2922150000000001</v>
      </c>
      <c r="M107" t="s">
        <v>27</v>
      </c>
      <c r="N107" t="s">
        <v>28</v>
      </c>
      <c r="O107" t="s">
        <v>471</v>
      </c>
      <c r="P107" t="s">
        <v>472</v>
      </c>
      <c r="Q107" t="s">
        <v>473</v>
      </c>
    </row>
    <row r="108" spans="1:17" ht="15" customHeight="1" x14ac:dyDescent="0.35">
      <c r="A108" t="s">
        <v>422</v>
      </c>
      <c r="B108">
        <v>44</v>
      </c>
      <c r="C108" t="s">
        <v>545</v>
      </c>
      <c r="D108" t="s">
        <v>421</v>
      </c>
      <c r="E108" t="s">
        <v>25</v>
      </c>
      <c r="F108" t="s">
        <v>62</v>
      </c>
      <c r="G108">
        <v>442</v>
      </c>
      <c r="H108">
        <v>0</v>
      </c>
      <c r="I108">
        <v>0</v>
      </c>
      <c r="J108">
        <v>0</v>
      </c>
      <c r="K108">
        <v>9.0000000000000002E-6</v>
      </c>
      <c r="L108">
        <v>0.28850300000000001</v>
      </c>
      <c r="M108" t="s">
        <v>27</v>
      </c>
      <c r="N108" t="s">
        <v>63</v>
      </c>
      <c r="O108" t="s">
        <v>471</v>
      </c>
      <c r="P108" t="s">
        <v>472</v>
      </c>
      <c r="Q108" t="s">
        <v>473</v>
      </c>
    </row>
    <row r="109" spans="1:17" ht="15" customHeight="1" x14ac:dyDescent="0.35">
      <c r="A109" t="s">
        <v>422</v>
      </c>
      <c r="B109">
        <v>45</v>
      </c>
      <c r="C109" t="s">
        <v>546</v>
      </c>
      <c r="D109" t="s">
        <v>421</v>
      </c>
      <c r="E109" t="s">
        <v>25</v>
      </c>
      <c r="F109" t="s">
        <v>34</v>
      </c>
      <c r="G109">
        <v>5535</v>
      </c>
      <c r="H109">
        <v>0</v>
      </c>
      <c r="I109">
        <v>380</v>
      </c>
      <c r="J109">
        <v>0</v>
      </c>
      <c r="K109">
        <v>1.0579999999999999E-3</v>
      </c>
      <c r="L109">
        <v>3.7931119999999998</v>
      </c>
      <c r="M109" t="s">
        <v>27</v>
      </c>
      <c r="N109" t="s">
        <v>28</v>
      </c>
      <c r="O109" t="s">
        <v>471</v>
      </c>
      <c r="P109" t="s">
        <v>472</v>
      </c>
      <c r="Q109" t="s">
        <v>473</v>
      </c>
    </row>
    <row r="110" spans="1:17" ht="15" customHeight="1" x14ac:dyDescent="0.35">
      <c r="A110" t="s">
        <v>422</v>
      </c>
      <c r="B110">
        <v>46</v>
      </c>
      <c r="C110" t="s">
        <v>546</v>
      </c>
      <c r="D110" t="s">
        <v>421</v>
      </c>
      <c r="E110" t="s">
        <v>25</v>
      </c>
      <c r="F110" t="s">
        <v>62</v>
      </c>
      <c r="G110">
        <v>74</v>
      </c>
      <c r="H110">
        <v>0</v>
      </c>
      <c r="I110">
        <v>0</v>
      </c>
      <c r="J110">
        <v>0</v>
      </c>
      <c r="K110">
        <v>9.9999999999999995E-7</v>
      </c>
      <c r="L110">
        <v>0.26405299999999998</v>
      </c>
      <c r="M110" t="s">
        <v>27</v>
      </c>
      <c r="N110" t="s">
        <v>63</v>
      </c>
      <c r="O110" t="s">
        <v>471</v>
      </c>
      <c r="P110" t="s">
        <v>472</v>
      </c>
      <c r="Q110" t="s">
        <v>473</v>
      </c>
    </row>
    <row r="111" spans="1:17" ht="15" customHeight="1" x14ac:dyDescent="0.35">
      <c r="A111" t="s">
        <v>422</v>
      </c>
      <c r="B111">
        <v>47</v>
      </c>
      <c r="C111" t="s">
        <v>547</v>
      </c>
      <c r="D111" t="s">
        <v>421</v>
      </c>
      <c r="E111" t="s">
        <v>25</v>
      </c>
      <c r="F111" t="s">
        <v>34</v>
      </c>
      <c r="G111">
        <v>4930</v>
      </c>
      <c r="H111">
        <v>0</v>
      </c>
      <c r="I111">
        <v>330</v>
      </c>
      <c r="J111">
        <v>0</v>
      </c>
      <c r="K111">
        <v>9.3700000000000001E-4</v>
      </c>
      <c r="L111">
        <v>3.6828759999999998</v>
      </c>
      <c r="M111" t="s">
        <v>27</v>
      </c>
      <c r="N111" t="s">
        <v>28</v>
      </c>
      <c r="O111" t="s">
        <v>471</v>
      </c>
      <c r="P111" t="s">
        <v>472</v>
      </c>
      <c r="Q111" t="s">
        <v>473</v>
      </c>
    </row>
    <row r="112" spans="1:17" ht="15" customHeight="1" x14ac:dyDescent="0.35">
      <c r="A112" t="s">
        <v>422</v>
      </c>
      <c r="B112">
        <v>48</v>
      </c>
      <c r="C112" t="s">
        <v>547</v>
      </c>
      <c r="D112" t="s">
        <v>421</v>
      </c>
      <c r="E112" t="s">
        <v>25</v>
      </c>
      <c r="F112" t="s">
        <v>62</v>
      </c>
      <c r="G112">
        <v>83</v>
      </c>
      <c r="H112">
        <v>0</v>
      </c>
      <c r="I112">
        <v>0</v>
      </c>
      <c r="J112">
        <v>0</v>
      </c>
      <c r="K112">
        <v>1.9999999999999999E-6</v>
      </c>
      <c r="L112">
        <v>0.294512</v>
      </c>
      <c r="M112" t="s">
        <v>27</v>
      </c>
      <c r="N112" t="s">
        <v>63</v>
      </c>
      <c r="O112" t="s">
        <v>471</v>
      </c>
      <c r="P112" t="s">
        <v>472</v>
      </c>
      <c r="Q112" t="s">
        <v>473</v>
      </c>
    </row>
    <row r="113" spans="1:17" ht="15" customHeight="1" x14ac:dyDescent="0.35">
      <c r="A113" t="s">
        <v>422</v>
      </c>
      <c r="B113">
        <v>49</v>
      </c>
      <c r="C113" t="s">
        <v>548</v>
      </c>
      <c r="D113" t="s">
        <v>421</v>
      </c>
      <c r="E113" t="s">
        <v>25</v>
      </c>
      <c r="F113" t="s">
        <v>34</v>
      </c>
      <c r="G113">
        <v>5084</v>
      </c>
      <c r="H113">
        <v>0</v>
      </c>
      <c r="I113">
        <v>313</v>
      </c>
      <c r="J113">
        <v>0</v>
      </c>
      <c r="K113">
        <v>9.5E-4</v>
      </c>
      <c r="L113">
        <v>3.1747700000000001</v>
      </c>
      <c r="M113" t="s">
        <v>27</v>
      </c>
      <c r="N113" t="s">
        <v>28</v>
      </c>
      <c r="O113" t="s">
        <v>471</v>
      </c>
      <c r="P113" t="s">
        <v>472</v>
      </c>
      <c r="Q113" t="s">
        <v>473</v>
      </c>
    </row>
    <row r="114" spans="1:17" ht="15" customHeight="1" x14ac:dyDescent="0.35">
      <c r="A114" t="s">
        <v>422</v>
      </c>
      <c r="B114">
        <v>50</v>
      </c>
      <c r="C114" t="s">
        <v>548</v>
      </c>
      <c r="D114" t="s">
        <v>421</v>
      </c>
      <c r="E114" t="s">
        <v>25</v>
      </c>
      <c r="F114" t="s">
        <v>62</v>
      </c>
      <c r="G114">
        <v>74</v>
      </c>
      <c r="H114">
        <v>0</v>
      </c>
      <c r="I114">
        <v>0</v>
      </c>
      <c r="J114">
        <v>0</v>
      </c>
      <c r="K114">
        <v>9.9999999999999995E-7</v>
      </c>
      <c r="L114">
        <v>0.32237399999999999</v>
      </c>
      <c r="M114" t="s">
        <v>27</v>
      </c>
      <c r="N114" t="s">
        <v>63</v>
      </c>
      <c r="O114" t="s">
        <v>471</v>
      </c>
      <c r="P114" t="s">
        <v>472</v>
      </c>
      <c r="Q114" t="s">
        <v>473</v>
      </c>
    </row>
    <row r="115" spans="1:17" ht="15" customHeight="1" x14ac:dyDescent="0.35">
      <c r="A115" t="s">
        <v>422</v>
      </c>
      <c r="B115">
        <v>51</v>
      </c>
      <c r="C115" t="s">
        <v>549</v>
      </c>
      <c r="D115" t="s">
        <v>421</v>
      </c>
      <c r="E115" t="s">
        <v>25</v>
      </c>
      <c r="F115" t="s">
        <v>34</v>
      </c>
      <c r="G115">
        <v>5146</v>
      </c>
      <c r="H115">
        <v>1024</v>
      </c>
      <c r="I115">
        <v>325</v>
      </c>
      <c r="J115">
        <v>0</v>
      </c>
      <c r="K115">
        <v>8.8999999999999995E-4</v>
      </c>
      <c r="L115">
        <v>3.2350669999999999</v>
      </c>
      <c r="M115" t="s">
        <v>27</v>
      </c>
      <c r="N115" t="s">
        <v>28</v>
      </c>
      <c r="O115" t="s">
        <v>471</v>
      </c>
      <c r="P115" t="s">
        <v>472</v>
      </c>
      <c r="Q115" t="s">
        <v>473</v>
      </c>
    </row>
    <row r="116" spans="1:17" ht="15" customHeight="1" x14ac:dyDescent="0.35">
      <c r="A116" t="s">
        <v>422</v>
      </c>
      <c r="B116">
        <v>52</v>
      </c>
      <c r="C116" t="s">
        <v>550</v>
      </c>
      <c r="D116" t="s">
        <v>421</v>
      </c>
      <c r="E116" t="s">
        <v>25</v>
      </c>
      <c r="F116" t="s">
        <v>62</v>
      </c>
      <c r="G116">
        <v>36</v>
      </c>
      <c r="H116">
        <v>0</v>
      </c>
      <c r="I116">
        <v>0</v>
      </c>
      <c r="J116">
        <v>0</v>
      </c>
      <c r="K116">
        <v>9.9999999999999995E-7</v>
      </c>
      <c r="L116">
        <v>0.57207699999999995</v>
      </c>
      <c r="M116" t="s">
        <v>27</v>
      </c>
      <c r="N116" t="s">
        <v>63</v>
      </c>
      <c r="O116" t="s">
        <v>471</v>
      </c>
      <c r="P116" t="s">
        <v>472</v>
      </c>
      <c r="Q116" t="s">
        <v>473</v>
      </c>
    </row>
    <row r="117" spans="1:17" ht="15" customHeight="1" x14ac:dyDescent="0.35">
      <c r="A117" t="s">
        <v>422</v>
      </c>
      <c r="B117">
        <v>53</v>
      </c>
      <c r="C117" t="s">
        <v>551</v>
      </c>
      <c r="D117" t="s">
        <v>421</v>
      </c>
      <c r="E117" t="s">
        <v>25</v>
      </c>
      <c r="F117" t="s">
        <v>34</v>
      </c>
      <c r="G117">
        <v>4287</v>
      </c>
      <c r="H117">
        <v>0</v>
      </c>
      <c r="I117">
        <v>33</v>
      </c>
      <c r="J117">
        <v>0</v>
      </c>
      <c r="K117">
        <v>6.6299999999999996E-4</v>
      </c>
      <c r="L117">
        <v>1.2596320000000001</v>
      </c>
      <c r="M117" t="s">
        <v>27</v>
      </c>
      <c r="N117" t="s">
        <v>28</v>
      </c>
      <c r="O117" t="s">
        <v>471</v>
      </c>
      <c r="P117" t="s">
        <v>472</v>
      </c>
      <c r="Q117" t="s">
        <v>473</v>
      </c>
    </row>
    <row r="118" spans="1:17" ht="15" customHeight="1" x14ac:dyDescent="0.35">
      <c r="A118" t="s">
        <v>422</v>
      </c>
      <c r="B118">
        <v>54</v>
      </c>
      <c r="C118" t="s">
        <v>551</v>
      </c>
      <c r="D118" t="s">
        <v>421</v>
      </c>
      <c r="E118" t="s">
        <v>25</v>
      </c>
      <c r="F118" t="s">
        <v>62</v>
      </c>
      <c r="G118">
        <v>99</v>
      </c>
      <c r="H118">
        <v>0</v>
      </c>
      <c r="I118">
        <v>0</v>
      </c>
      <c r="J118">
        <v>0</v>
      </c>
      <c r="K118">
        <v>1.9999999999999999E-6</v>
      </c>
      <c r="L118">
        <v>0.20990500000000001</v>
      </c>
      <c r="M118" t="s">
        <v>27</v>
      </c>
      <c r="N118" t="s">
        <v>63</v>
      </c>
      <c r="O118" t="s">
        <v>471</v>
      </c>
      <c r="P118" t="s">
        <v>472</v>
      </c>
      <c r="Q118" t="s">
        <v>473</v>
      </c>
    </row>
    <row r="119" spans="1:17" ht="15" customHeight="1" x14ac:dyDescent="0.35">
      <c r="A119" t="s">
        <v>422</v>
      </c>
      <c r="B119">
        <v>55</v>
      </c>
      <c r="C119" t="s">
        <v>552</v>
      </c>
      <c r="D119" t="s">
        <v>421</v>
      </c>
      <c r="E119" t="s">
        <v>25</v>
      </c>
      <c r="F119" t="s">
        <v>34</v>
      </c>
      <c r="G119">
        <v>5094</v>
      </c>
      <c r="H119">
        <v>0</v>
      </c>
      <c r="I119">
        <v>296</v>
      </c>
      <c r="J119">
        <v>0</v>
      </c>
      <c r="K119">
        <v>9.4200000000000002E-4</v>
      </c>
      <c r="L119">
        <v>3.3555950000000001</v>
      </c>
      <c r="M119" t="s">
        <v>27</v>
      </c>
      <c r="N119" t="s">
        <v>28</v>
      </c>
      <c r="O119" t="s">
        <v>471</v>
      </c>
      <c r="P119" t="s">
        <v>472</v>
      </c>
      <c r="Q119" t="s">
        <v>473</v>
      </c>
    </row>
    <row r="120" spans="1:17" ht="15" customHeight="1" x14ac:dyDescent="0.35">
      <c r="A120" t="s">
        <v>422</v>
      </c>
      <c r="B120">
        <v>56</v>
      </c>
      <c r="C120" t="s">
        <v>552</v>
      </c>
      <c r="D120" t="s">
        <v>421</v>
      </c>
      <c r="E120" t="s">
        <v>25</v>
      </c>
      <c r="F120" t="s">
        <v>62</v>
      </c>
      <c r="G120">
        <v>442</v>
      </c>
      <c r="H120">
        <v>0</v>
      </c>
      <c r="I120">
        <v>0</v>
      </c>
      <c r="J120">
        <v>0</v>
      </c>
      <c r="K120">
        <v>9.0000000000000002E-6</v>
      </c>
      <c r="L120">
        <v>0.29951</v>
      </c>
      <c r="M120" t="s">
        <v>27</v>
      </c>
      <c r="N120" t="s">
        <v>63</v>
      </c>
      <c r="O120" t="s">
        <v>471</v>
      </c>
      <c r="P120" t="s">
        <v>472</v>
      </c>
      <c r="Q120" t="s">
        <v>473</v>
      </c>
    </row>
    <row r="121" spans="1:17" ht="15" customHeight="1" x14ac:dyDescent="0.35">
      <c r="A121" t="s">
        <v>422</v>
      </c>
      <c r="B121">
        <v>57</v>
      </c>
      <c r="C121" t="s">
        <v>553</v>
      </c>
      <c r="D121" t="s">
        <v>421</v>
      </c>
      <c r="E121" t="s">
        <v>25</v>
      </c>
      <c r="F121" t="s">
        <v>34</v>
      </c>
      <c r="G121">
        <v>5508</v>
      </c>
      <c r="H121">
        <v>0</v>
      </c>
      <c r="I121">
        <v>431</v>
      </c>
      <c r="J121">
        <v>0</v>
      </c>
      <c r="K121">
        <v>1.085E-3</v>
      </c>
      <c r="L121">
        <v>4.0356050000000003</v>
      </c>
      <c r="M121" t="s">
        <v>27</v>
      </c>
      <c r="N121" t="s">
        <v>28</v>
      </c>
      <c r="O121" t="s">
        <v>471</v>
      </c>
      <c r="P121" t="s">
        <v>472</v>
      </c>
      <c r="Q121" t="s">
        <v>473</v>
      </c>
    </row>
    <row r="122" spans="1:17" ht="15" customHeight="1" x14ac:dyDescent="0.35">
      <c r="A122" t="s">
        <v>422</v>
      </c>
      <c r="B122">
        <v>58</v>
      </c>
      <c r="C122" t="s">
        <v>553</v>
      </c>
      <c r="D122" t="s">
        <v>421</v>
      </c>
      <c r="E122" t="s">
        <v>25</v>
      </c>
      <c r="F122" t="s">
        <v>62</v>
      </c>
      <c r="G122">
        <v>74</v>
      </c>
      <c r="H122">
        <v>0</v>
      </c>
      <c r="I122">
        <v>0</v>
      </c>
      <c r="J122">
        <v>0</v>
      </c>
      <c r="K122">
        <v>9.9999999999999995E-7</v>
      </c>
      <c r="L122">
        <v>0.28473300000000001</v>
      </c>
      <c r="M122" t="s">
        <v>27</v>
      </c>
      <c r="N122" t="s">
        <v>63</v>
      </c>
      <c r="O122" t="s">
        <v>471</v>
      </c>
      <c r="P122" t="s">
        <v>472</v>
      </c>
      <c r="Q122" t="s">
        <v>473</v>
      </c>
    </row>
    <row r="123" spans="1:17" ht="15" customHeight="1" x14ac:dyDescent="0.35">
      <c r="A123" t="s">
        <v>422</v>
      </c>
      <c r="B123">
        <v>59</v>
      </c>
      <c r="C123" t="s">
        <v>554</v>
      </c>
      <c r="D123" t="s">
        <v>421</v>
      </c>
      <c r="E123" t="s">
        <v>25</v>
      </c>
      <c r="F123" t="s">
        <v>34</v>
      </c>
      <c r="G123">
        <v>5186</v>
      </c>
      <c r="H123">
        <v>0</v>
      </c>
      <c r="I123">
        <v>292</v>
      </c>
      <c r="J123">
        <v>0</v>
      </c>
      <c r="K123">
        <v>9.5299999999999996E-4</v>
      </c>
      <c r="L123">
        <v>3.0877620000000001</v>
      </c>
      <c r="M123" t="s">
        <v>27</v>
      </c>
      <c r="N123" t="s">
        <v>28</v>
      </c>
      <c r="O123" t="s">
        <v>471</v>
      </c>
      <c r="P123" t="s">
        <v>472</v>
      </c>
      <c r="Q123" t="s">
        <v>473</v>
      </c>
    </row>
    <row r="124" spans="1:17" ht="15" customHeight="1" x14ac:dyDescent="0.35">
      <c r="A124" t="s">
        <v>422</v>
      </c>
      <c r="B124">
        <v>60</v>
      </c>
      <c r="C124" t="s">
        <v>554</v>
      </c>
      <c r="D124" t="s">
        <v>421</v>
      </c>
      <c r="E124" t="s">
        <v>25</v>
      </c>
      <c r="F124" t="s">
        <v>62</v>
      </c>
      <c r="G124">
        <v>83</v>
      </c>
      <c r="H124">
        <v>0</v>
      </c>
      <c r="I124">
        <v>0</v>
      </c>
      <c r="J124">
        <v>0</v>
      </c>
      <c r="K124">
        <v>1.9999999999999999E-6</v>
      </c>
      <c r="L124">
        <v>0.21357400000000001</v>
      </c>
      <c r="M124" t="s">
        <v>27</v>
      </c>
      <c r="N124" t="s">
        <v>63</v>
      </c>
      <c r="O124" t="s">
        <v>471</v>
      </c>
      <c r="P124" t="s">
        <v>472</v>
      </c>
      <c r="Q124" t="s">
        <v>473</v>
      </c>
    </row>
    <row r="125" spans="1:17" ht="15" customHeight="1" x14ac:dyDescent="0.35">
      <c r="A125" t="s">
        <v>422</v>
      </c>
      <c r="B125">
        <v>61</v>
      </c>
      <c r="C125" t="s">
        <v>555</v>
      </c>
      <c r="D125" t="s">
        <v>421</v>
      </c>
      <c r="E125" t="s">
        <v>25</v>
      </c>
      <c r="F125" t="s">
        <v>34</v>
      </c>
      <c r="G125">
        <v>4497</v>
      </c>
      <c r="H125">
        <v>1024</v>
      </c>
      <c r="I125">
        <v>336</v>
      </c>
      <c r="J125">
        <v>0</v>
      </c>
      <c r="K125">
        <v>7.9900000000000001E-4</v>
      </c>
      <c r="L125">
        <v>3.4493680000000002</v>
      </c>
      <c r="M125" t="s">
        <v>27</v>
      </c>
      <c r="N125" t="s">
        <v>28</v>
      </c>
      <c r="O125" t="s">
        <v>471</v>
      </c>
      <c r="P125" t="s">
        <v>472</v>
      </c>
      <c r="Q125" t="s">
        <v>473</v>
      </c>
    </row>
    <row r="126" spans="1:17" ht="15" customHeight="1" x14ac:dyDescent="0.35">
      <c r="A126" t="s">
        <v>422</v>
      </c>
      <c r="B126">
        <v>62</v>
      </c>
      <c r="C126" t="s">
        <v>556</v>
      </c>
      <c r="D126" t="s">
        <v>421</v>
      </c>
      <c r="E126" t="s">
        <v>25</v>
      </c>
      <c r="F126" t="s">
        <v>62</v>
      </c>
      <c r="G126">
        <v>74</v>
      </c>
      <c r="H126">
        <v>0</v>
      </c>
      <c r="I126">
        <v>0</v>
      </c>
      <c r="J126">
        <v>0</v>
      </c>
      <c r="K126">
        <v>9.9999999999999995E-7</v>
      </c>
      <c r="L126">
        <v>0.282804</v>
      </c>
      <c r="M126" t="s">
        <v>27</v>
      </c>
      <c r="N126" t="s">
        <v>63</v>
      </c>
      <c r="O126" t="s">
        <v>471</v>
      </c>
      <c r="P126" t="s">
        <v>472</v>
      </c>
      <c r="Q126" t="s">
        <v>473</v>
      </c>
    </row>
    <row r="127" spans="1:17" ht="15" customHeight="1" x14ac:dyDescent="0.35">
      <c r="A127" t="s">
        <v>422</v>
      </c>
      <c r="B127">
        <v>63</v>
      </c>
      <c r="C127" t="s">
        <v>557</v>
      </c>
      <c r="D127" t="s">
        <v>421</v>
      </c>
      <c r="E127" t="s">
        <v>25</v>
      </c>
      <c r="F127" t="s">
        <v>34</v>
      </c>
      <c r="G127">
        <v>4493</v>
      </c>
      <c r="H127">
        <v>2048</v>
      </c>
      <c r="I127">
        <v>354</v>
      </c>
      <c r="J127">
        <v>0</v>
      </c>
      <c r="K127">
        <v>7.3300000000000004E-4</v>
      </c>
      <c r="L127">
        <v>3.8426049999999998</v>
      </c>
      <c r="M127" t="s">
        <v>27</v>
      </c>
      <c r="N127" t="s">
        <v>28</v>
      </c>
      <c r="O127" t="s">
        <v>471</v>
      </c>
      <c r="P127" t="s">
        <v>472</v>
      </c>
      <c r="Q127" t="s">
        <v>473</v>
      </c>
    </row>
    <row r="128" spans="1:17" ht="15" customHeight="1" x14ac:dyDescent="0.35">
      <c r="A128" t="s">
        <v>429</v>
      </c>
      <c r="B128">
        <v>1</v>
      </c>
      <c r="C128" t="s">
        <v>633</v>
      </c>
      <c r="D128" t="s">
        <v>24</v>
      </c>
      <c r="E128" t="s">
        <v>25</v>
      </c>
      <c r="F128" t="s">
        <v>26</v>
      </c>
      <c r="G128">
        <v>1176</v>
      </c>
      <c r="H128">
        <v>0</v>
      </c>
      <c r="I128">
        <v>59</v>
      </c>
      <c r="J128">
        <v>0</v>
      </c>
      <c r="K128">
        <v>3.5300000000000002E-3</v>
      </c>
      <c r="L128">
        <v>2.0596480000000001</v>
      </c>
      <c r="M128" t="s">
        <v>27</v>
      </c>
      <c r="N128" t="s">
        <v>28</v>
      </c>
      <c r="O128" t="s">
        <v>29</v>
      </c>
      <c r="P128" t="s">
        <v>30</v>
      </c>
      <c r="Q128" t="s">
        <v>31</v>
      </c>
    </row>
    <row r="129" spans="1:17" ht="15" customHeight="1" x14ac:dyDescent="0.35">
      <c r="A129" t="s">
        <v>429</v>
      </c>
      <c r="B129">
        <v>2</v>
      </c>
      <c r="C129" t="s">
        <v>634</v>
      </c>
      <c r="D129" t="s">
        <v>421</v>
      </c>
      <c r="E129" t="s">
        <v>25</v>
      </c>
      <c r="F129" t="s">
        <v>34</v>
      </c>
      <c r="G129">
        <v>1585</v>
      </c>
      <c r="H129">
        <v>1024</v>
      </c>
      <c r="I129">
        <v>53</v>
      </c>
      <c r="J129">
        <v>0</v>
      </c>
      <c r="K129">
        <v>1.93E-4</v>
      </c>
      <c r="L129">
        <v>1.55481</v>
      </c>
      <c r="M129" t="s">
        <v>27</v>
      </c>
      <c r="N129" t="s">
        <v>28</v>
      </c>
      <c r="O129" t="s">
        <v>463</v>
      </c>
      <c r="P129" t="s">
        <v>464</v>
      </c>
      <c r="Q129" t="s">
        <v>465</v>
      </c>
    </row>
    <row r="130" spans="1:17" ht="15" customHeight="1" x14ac:dyDescent="0.35">
      <c r="A130" t="s">
        <v>429</v>
      </c>
      <c r="B130">
        <v>3</v>
      </c>
      <c r="C130" t="s">
        <v>635</v>
      </c>
      <c r="D130" t="s">
        <v>421</v>
      </c>
      <c r="E130" t="s">
        <v>25</v>
      </c>
      <c r="F130" t="s">
        <v>26</v>
      </c>
      <c r="G130">
        <v>520</v>
      </c>
      <c r="H130">
        <v>0</v>
      </c>
      <c r="I130">
        <v>233</v>
      </c>
      <c r="J130">
        <v>0</v>
      </c>
      <c r="K130">
        <v>3.63E-3</v>
      </c>
      <c r="L130">
        <v>4.2564169999999999</v>
      </c>
      <c r="M130" t="s">
        <v>27</v>
      </c>
      <c r="N130" t="s">
        <v>28</v>
      </c>
      <c r="O130" t="s">
        <v>467</v>
      </c>
      <c r="P130" t="s">
        <v>468</v>
      </c>
      <c r="Q130" t="s">
        <v>469</v>
      </c>
    </row>
    <row r="131" spans="1:17" ht="15" customHeight="1" x14ac:dyDescent="0.35">
      <c r="A131" t="s">
        <v>429</v>
      </c>
      <c r="B131">
        <v>4</v>
      </c>
      <c r="C131" t="s">
        <v>636</v>
      </c>
      <c r="D131" t="s">
        <v>421</v>
      </c>
      <c r="E131" t="s">
        <v>25</v>
      </c>
      <c r="F131" t="s">
        <v>62</v>
      </c>
      <c r="G131">
        <v>36</v>
      </c>
      <c r="H131">
        <v>0</v>
      </c>
      <c r="I131">
        <v>0</v>
      </c>
      <c r="J131">
        <v>0</v>
      </c>
      <c r="K131">
        <v>9.9999999999999995E-7</v>
      </c>
      <c r="L131">
        <v>0.43113299999999999</v>
      </c>
      <c r="M131" t="s">
        <v>27</v>
      </c>
      <c r="N131" t="s">
        <v>63</v>
      </c>
      <c r="O131" t="s">
        <v>471</v>
      </c>
      <c r="P131" t="s">
        <v>472</v>
      </c>
      <c r="Q131" t="s">
        <v>473</v>
      </c>
    </row>
    <row r="132" spans="1:17" ht="15" customHeight="1" x14ac:dyDescent="0.35">
      <c r="A132" t="s">
        <v>429</v>
      </c>
      <c r="B132">
        <v>5</v>
      </c>
      <c r="C132" t="s">
        <v>637</v>
      </c>
      <c r="D132" t="s">
        <v>421</v>
      </c>
      <c r="E132" t="s">
        <v>25</v>
      </c>
      <c r="F132" t="s">
        <v>34</v>
      </c>
      <c r="G132">
        <v>4595</v>
      </c>
      <c r="H132">
        <v>0</v>
      </c>
      <c r="I132">
        <v>24</v>
      </c>
      <c r="J132">
        <v>0</v>
      </c>
      <c r="K132">
        <v>7.0399999999999998E-4</v>
      </c>
      <c r="L132">
        <v>3.6226120000000002</v>
      </c>
      <c r="M132" t="s">
        <v>27</v>
      </c>
      <c r="N132" t="s">
        <v>28</v>
      </c>
      <c r="O132" t="s">
        <v>471</v>
      </c>
      <c r="P132" t="s">
        <v>472</v>
      </c>
      <c r="Q132" t="s">
        <v>473</v>
      </c>
    </row>
    <row r="133" spans="1:17" ht="15" customHeight="1" x14ac:dyDescent="0.35">
      <c r="A133" t="s">
        <v>429</v>
      </c>
      <c r="B133">
        <v>6</v>
      </c>
      <c r="C133" t="s">
        <v>637</v>
      </c>
      <c r="D133" t="s">
        <v>421</v>
      </c>
      <c r="E133" t="s">
        <v>25</v>
      </c>
      <c r="F133" t="s">
        <v>62</v>
      </c>
      <c r="G133">
        <v>99</v>
      </c>
      <c r="H133">
        <v>0</v>
      </c>
      <c r="I133">
        <v>0</v>
      </c>
      <c r="J133">
        <v>0</v>
      </c>
      <c r="K133">
        <v>1.9999999999999999E-6</v>
      </c>
      <c r="L133">
        <v>0.30868400000000001</v>
      </c>
      <c r="M133" t="s">
        <v>27</v>
      </c>
      <c r="N133" t="s">
        <v>63</v>
      </c>
      <c r="O133" t="s">
        <v>471</v>
      </c>
      <c r="P133" t="s">
        <v>472</v>
      </c>
      <c r="Q133" t="s">
        <v>473</v>
      </c>
    </row>
    <row r="134" spans="1:17" ht="15" customHeight="1" x14ac:dyDescent="0.35">
      <c r="A134" t="s">
        <v>429</v>
      </c>
      <c r="B134">
        <v>7</v>
      </c>
      <c r="C134" t="s">
        <v>638</v>
      </c>
      <c r="D134" t="s">
        <v>421</v>
      </c>
      <c r="E134" t="s">
        <v>25</v>
      </c>
      <c r="F134" t="s">
        <v>34</v>
      </c>
      <c r="G134">
        <v>4747</v>
      </c>
      <c r="H134">
        <v>0</v>
      </c>
      <c r="I134">
        <v>234</v>
      </c>
      <c r="J134">
        <v>0</v>
      </c>
      <c r="K134">
        <v>8.52E-4</v>
      </c>
      <c r="L134">
        <v>2.9579369999999998</v>
      </c>
      <c r="M134" t="s">
        <v>27</v>
      </c>
      <c r="N134" t="s">
        <v>28</v>
      </c>
      <c r="O134" t="s">
        <v>471</v>
      </c>
      <c r="P134" t="s">
        <v>472</v>
      </c>
      <c r="Q134" t="s">
        <v>473</v>
      </c>
    </row>
    <row r="135" spans="1:17" ht="15" customHeight="1" x14ac:dyDescent="0.35">
      <c r="A135" t="s">
        <v>429</v>
      </c>
      <c r="B135">
        <v>8</v>
      </c>
      <c r="C135" t="s">
        <v>638</v>
      </c>
      <c r="D135" t="s">
        <v>421</v>
      </c>
      <c r="E135" t="s">
        <v>25</v>
      </c>
      <c r="F135" t="s">
        <v>62</v>
      </c>
      <c r="G135">
        <v>442</v>
      </c>
      <c r="H135">
        <v>0</v>
      </c>
      <c r="I135">
        <v>0</v>
      </c>
      <c r="J135">
        <v>0</v>
      </c>
      <c r="K135">
        <v>9.0000000000000002E-6</v>
      </c>
      <c r="L135">
        <v>0.221252</v>
      </c>
      <c r="M135" t="s">
        <v>27</v>
      </c>
      <c r="N135" t="s">
        <v>63</v>
      </c>
      <c r="O135" t="s">
        <v>471</v>
      </c>
      <c r="P135" t="s">
        <v>472</v>
      </c>
      <c r="Q135" t="s">
        <v>473</v>
      </c>
    </row>
    <row r="136" spans="1:17" ht="15" customHeight="1" x14ac:dyDescent="0.35">
      <c r="A136" t="s">
        <v>429</v>
      </c>
      <c r="B136">
        <v>9</v>
      </c>
      <c r="C136" t="s">
        <v>639</v>
      </c>
      <c r="D136" t="s">
        <v>421</v>
      </c>
      <c r="E136" t="s">
        <v>25</v>
      </c>
      <c r="F136" t="s">
        <v>34</v>
      </c>
      <c r="G136">
        <v>5326</v>
      </c>
      <c r="H136">
        <v>0</v>
      </c>
      <c r="I136">
        <v>352</v>
      </c>
      <c r="J136">
        <v>0</v>
      </c>
      <c r="K136">
        <v>1.01E-3</v>
      </c>
      <c r="L136">
        <v>3.716529</v>
      </c>
      <c r="M136" t="s">
        <v>27</v>
      </c>
      <c r="N136" t="s">
        <v>28</v>
      </c>
      <c r="O136" t="s">
        <v>471</v>
      </c>
      <c r="P136" t="s">
        <v>472</v>
      </c>
      <c r="Q136" t="s">
        <v>473</v>
      </c>
    </row>
    <row r="137" spans="1:17" ht="15" customHeight="1" x14ac:dyDescent="0.35">
      <c r="A137" t="s">
        <v>429</v>
      </c>
      <c r="B137">
        <v>10</v>
      </c>
      <c r="C137" t="s">
        <v>639</v>
      </c>
      <c r="D137" t="s">
        <v>421</v>
      </c>
      <c r="E137" t="s">
        <v>25</v>
      </c>
      <c r="F137" t="s">
        <v>62</v>
      </c>
      <c r="G137">
        <v>74</v>
      </c>
      <c r="H137">
        <v>0</v>
      </c>
      <c r="I137">
        <v>0</v>
      </c>
      <c r="J137">
        <v>0</v>
      </c>
      <c r="K137">
        <v>9.9999999999999995E-7</v>
      </c>
      <c r="L137">
        <v>0.23947299999999999</v>
      </c>
      <c r="M137" t="s">
        <v>27</v>
      </c>
      <c r="N137" t="s">
        <v>63</v>
      </c>
      <c r="O137" t="s">
        <v>471</v>
      </c>
      <c r="P137" t="s">
        <v>472</v>
      </c>
      <c r="Q137" t="s">
        <v>473</v>
      </c>
    </row>
    <row r="138" spans="1:17" ht="15" customHeight="1" x14ac:dyDescent="0.35">
      <c r="A138" t="s">
        <v>429</v>
      </c>
      <c r="B138">
        <v>11</v>
      </c>
      <c r="C138" t="s">
        <v>640</v>
      </c>
      <c r="D138" t="s">
        <v>421</v>
      </c>
      <c r="E138" t="s">
        <v>25</v>
      </c>
      <c r="F138" t="s">
        <v>34</v>
      </c>
      <c r="G138">
        <v>4921</v>
      </c>
      <c r="H138">
        <v>1024</v>
      </c>
      <c r="I138">
        <v>290</v>
      </c>
      <c r="J138">
        <v>0</v>
      </c>
      <c r="K138">
        <v>8.3500000000000002E-4</v>
      </c>
      <c r="L138">
        <v>3.4637009999999999</v>
      </c>
      <c r="M138" t="s">
        <v>27</v>
      </c>
      <c r="N138" t="s">
        <v>28</v>
      </c>
      <c r="O138" t="s">
        <v>471</v>
      </c>
      <c r="P138" t="s">
        <v>472</v>
      </c>
      <c r="Q138" t="s">
        <v>473</v>
      </c>
    </row>
    <row r="139" spans="1:17" ht="15" customHeight="1" x14ac:dyDescent="0.35">
      <c r="A139" t="s">
        <v>429</v>
      </c>
      <c r="B139">
        <v>12</v>
      </c>
      <c r="C139" t="s">
        <v>640</v>
      </c>
      <c r="D139" t="s">
        <v>421</v>
      </c>
      <c r="E139" t="s">
        <v>25</v>
      </c>
      <c r="F139" t="s">
        <v>62</v>
      </c>
      <c r="G139">
        <v>83</v>
      </c>
      <c r="H139">
        <v>0</v>
      </c>
      <c r="I139">
        <v>0</v>
      </c>
      <c r="J139">
        <v>0</v>
      </c>
      <c r="K139">
        <v>1.9999999999999999E-6</v>
      </c>
      <c r="L139">
        <v>0.30063699999999999</v>
      </c>
      <c r="M139" t="s">
        <v>27</v>
      </c>
      <c r="N139" t="s">
        <v>63</v>
      </c>
      <c r="O139" t="s">
        <v>471</v>
      </c>
      <c r="P139" t="s">
        <v>472</v>
      </c>
      <c r="Q139" t="s">
        <v>473</v>
      </c>
    </row>
    <row r="140" spans="1:17" ht="15" customHeight="1" x14ac:dyDescent="0.35">
      <c r="A140" t="s">
        <v>429</v>
      </c>
      <c r="B140">
        <v>13</v>
      </c>
      <c r="C140" t="s">
        <v>641</v>
      </c>
      <c r="D140" t="s">
        <v>421</v>
      </c>
      <c r="E140" t="s">
        <v>25</v>
      </c>
      <c r="F140" t="s">
        <v>34</v>
      </c>
      <c r="G140">
        <v>4931</v>
      </c>
      <c r="H140">
        <v>2176</v>
      </c>
      <c r="I140">
        <v>258</v>
      </c>
      <c r="J140">
        <v>0</v>
      </c>
      <c r="K140">
        <v>7.3099999999999999E-4</v>
      </c>
      <c r="L140">
        <v>3.397173</v>
      </c>
      <c r="M140" t="s">
        <v>27</v>
      </c>
      <c r="N140" t="s">
        <v>28</v>
      </c>
      <c r="O140" t="s">
        <v>471</v>
      </c>
      <c r="P140" t="s">
        <v>472</v>
      </c>
      <c r="Q140" t="s">
        <v>473</v>
      </c>
    </row>
    <row r="141" spans="1:17" ht="15" customHeight="1" x14ac:dyDescent="0.35">
      <c r="A141" t="s">
        <v>429</v>
      </c>
      <c r="B141">
        <v>14</v>
      </c>
      <c r="C141" t="s">
        <v>642</v>
      </c>
      <c r="D141" t="s">
        <v>421</v>
      </c>
      <c r="E141" t="s">
        <v>25</v>
      </c>
      <c r="F141" t="s">
        <v>62</v>
      </c>
      <c r="G141">
        <v>74</v>
      </c>
      <c r="H141">
        <v>0</v>
      </c>
      <c r="I141">
        <v>0</v>
      </c>
      <c r="J141">
        <v>0</v>
      </c>
      <c r="K141">
        <v>9.9999999999999995E-7</v>
      </c>
      <c r="L141">
        <v>0.30560599999999999</v>
      </c>
      <c r="M141" t="s">
        <v>27</v>
      </c>
      <c r="N141" t="s">
        <v>63</v>
      </c>
      <c r="O141" t="s">
        <v>471</v>
      </c>
      <c r="P141" t="s">
        <v>472</v>
      </c>
      <c r="Q141" t="s">
        <v>473</v>
      </c>
    </row>
    <row r="142" spans="1:17" ht="15" customHeight="1" x14ac:dyDescent="0.35">
      <c r="A142" t="s">
        <v>429</v>
      </c>
      <c r="B142">
        <v>15</v>
      </c>
      <c r="C142" t="s">
        <v>643</v>
      </c>
      <c r="D142" t="s">
        <v>421</v>
      </c>
      <c r="E142" t="s">
        <v>25</v>
      </c>
      <c r="F142" t="s">
        <v>34</v>
      </c>
      <c r="G142">
        <v>4981</v>
      </c>
      <c r="H142">
        <v>1024</v>
      </c>
      <c r="I142">
        <v>358</v>
      </c>
      <c r="J142">
        <v>0</v>
      </c>
      <c r="K142">
        <v>8.8500000000000004E-4</v>
      </c>
      <c r="L142">
        <v>4.2061520000000003</v>
      </c>
      <c r="M142" t="s">
        <v>27</v>
      </c>
      <c r="N142" t="s">
        <v>28</v>
      </c>
      <c r="O142" t="s">
        <v>471</v>
      </c>
      <c r="P142" t="s">
        <v>472</v>
      </c>
      <c r="Q142" t="s">
        <v>473</v>
      </c>
    </row>
    <row r="143" spans="1:17" ht="15" customHeight="1" x14ac:dyDescent="0.35">
      <c r="A143" t="s">
        <v>429</v>
      </c>
      <c r="B143">
        <v>16</v>
      </c>
      <c r="C143" t="s">
        <v>644</v>
      </c>
      <c r="D143" t="s">
        <v>421</v>
      </c>
      <c r="E143" t="s">
        <v>25</v>
      </c>
      <c r="F143" t="s">
        <v>62</v>
      </c>
      <c r="G143">
        <v>36</v>
      </c>
      <c r="H143">
        <v>0</v>
      </c>
      <c r="I143">
        <v>0</v>
      </c>
      <c r="J143">
        <v>0</v>
      </c>
      <c r="K143">
        <v>9.9999999999999995E-7</v>
      </c>
      <c r="L143">
        <v>0.66185400000000005</v>
      </c>
      <c r="M143" t="s">
        <v>27</v>
      </c>
      <c r="N143" t="s">
        <v>63</v>
      </c>
      <c r="O143" t="s">
        <v>471</v>
      </c>
      <c r="P143" t="s">
        <v>472</v>
      </c>
      <c r="Q143" t="s">
        <v>473</v>
      </c>
    </row>
    <row r="144" spans="1:17" ht="15" customHeight="1" x14ac:dyDescent="0.35">
      <c r="A144" t="s">
        <v>429</v>
      </c>
      <c r="B144">
        <v>17</v>
      </c>
      <c r="C144" t="s">
        <v>645</v>
      </c>
      <c r="D144" t="s">
        <v>421</v>
      </c>
      <c r="E144" t="s">
        <v>25</v>
      </c>
      <c r="F144" t="s">
        <v>34</v>
      </c>
      <c r="G144">
        <v>4868</v>
      </c>
      <c r="H144">
        <v>0</v>
      </c>
      <c r="I144">
        <v>31</v>
      </c>
      <c r="J144">
        <v>0</v>
      </c>
      <c r="K144">
        <v>7.4899999999999999E-4</v>
      </c>
      <c r="L144">
        <v>1.5399670000000001</v>
      </c>
      <c r="M144" t="s">
        <v>27</v>
      </c>
      <c r="N144" t="s">
        <v>28</v>
      </c>
      <c r="O144" t="s">
        <v>471</v>
      </c>
      <c r="P144" t="s">
        <v>472</v>
      </c>
      <c r="Q144" t="s">
        <v>473</v>
      </c>
    </row>
    <row r="145" spans="1:17" ht="15" customHeight="1" x14ac:dyDescent="0.35">
      <c r="A145" t="s">
        <v>429</v>
      </c>
      <c r="B145">
        <v>18</v>
      </c>
      <c r="C145" t="s">
        <v>646</v>
      </c>
      <c r="D145" t="s">
        <v>421</v>
      </c>
      <c r="E145" t="s">
        <v>25</v>
      </c>
      <c r="F145" t="s">
        <v>62</v>
      </c>
      <c r="G145">
        <v>99</v>
      </c>
      <c r="H145">
        <v>0</v>
      </c>
      <c r="I145">
        <v>0</v>
      </c>
      <c r="J145">
        <v>0</v>
      </c>
      <c r="K145">
        <v>1.9999999999999999E-6</v>
      </c>
      <c r="L145">
        <v>0.291329</v>
      </c>
      <c r="M145" t="s">
        <v>27</v>
      </c>
      <c r="N145" t="s">
        <v>63</v>
      </c>
      <c r="O145" t="s">
        <v>471</v>
      </c>
      <c r="P145" t="s">
        <v>472</v>
      </c>
      <c r="Q145" t="s">
        <v>473</v>
      </c>
    </row>
    <row r="146" spans="1:17" ht="15" customHeight="1" x14ac:dyDescent="0.35">
      <c r="A146" t="s">
        <v>429</v>
      </c>
      <c r="B146">
        <v>19</v>
      </c>
      <c r="C146" t="s">
        <v>647</v>
      </c>
      <c r="D146" t="s">
        <v>421</v>
      </c>
      <c r="E146" t="s">
        <v>25</v>
      </c>
      <c r="F146" t="s">
        <v>34</v>
      </c>
      <c r="G146">
        <v>5069</v>
      </c>
      <c r="H146">
        <v>0</v>
      </c>
      <c r="I146">
        <v>245</v>
      </c>
      <c r="J146">
        <v>0</v>
      </c>
      <c r="K146">
        <v>9.0700000000000004E-4</v>
      </c>
      <c r="L146">
        <v>2.7718630000000002</v>
      </c>
      <c r="M146" t="s">
        <v>27</v>
      </c>
      <c r="N146" t="s">
        <v>28</v>
      </c>
      <c r="O146" t="s">
        <v>471</v>
      </c>
      <c r="P146" t="s">
        <v>472</v>
      </c>
      <c r="Q146" t="s">
        <v>473</v>
      </c>
    </row>
    <row r="147" spans="1:17" ht="15" customHeight="1" x14ac:dyDescent="0.35">
      <c r="A147" t="s">
        <v>429</v>
      </c>
      <c r="B147">
        <v>20</v>
      </c>
      <c r="C147" t="s">
        <v>647</v>
      </c>
      <c r="D147" t="s">
        <v>421</v>
      </c>
      <c r="E147" t="s">
        <v>25</v>
      </c>
      <c r="F147" t="s">
        <v>62</v>
      </c>
      <c r="G147">
        <v>442</v>
      </c>
      <c r="H147">
        <v>0</v>
      </c>
      <c r="I147">
        <v>0</v>
      </c>
      <c r="J147">
        <v>0</v>
      </c>
      <c r="K147">
        <v>9.0000000000000002E-6</v>
      </c>
      <c r="L147">
        <v>0.30177300000000001</v>
      </c>
      <c r="M147" t="s">
        <v>27</v>
      </c>
      <c r="N147" t="s">
        <v>63</v>
      </c>
      <c r="O147" t="s">
        <v>471</v>
      </c>
      <c r="P147" t="s">
        <v>472</v>
      </c>
      <c r="Q147" t="s">
        <v>473</v>
      </c>
    </row>
    <row r="148" spans="1:17" ht="15" customHeight="1" x14ac:dyDescent="0.35">
      <c r="A148" t="s">
        <v>429</v>
      </c>
      <c r="B148">
        <v>21</v>
      </c>
      <c r="C148" t="s">
        <v>648</v>
      </c>
      <c r="D148" t="s">
        <v>421</v>
      </c>
      <c r="E148" t="s">
        <v>25</v>
      </c>
      <c r="F148" t="s">
        <v>34</v>
      </c>
      <c r="G148">
        <v>5477</v>
      </c>
      <c r="H148">
        <v>0</v>
      </c>
      <c r="I148">
        <v>287</v>
      </c>
      <c r="J148">
        <v>0</v>
      </c>
      <c r="K148">
        <v>9.9400000000000009E-4</v>
      </c>
      <c r="L148">
        <v>3.1607419999999999</v>
      </c>
      <c r="M148" t="s">
        <v>27</v>
      </c>
      <c r="N148" t="s">
        <v>28</v>
      </c>
      <c r="O148" t="s">
        <v>471</v>
      </c>
      <c r="P148" t="s">
        <v>472</v>
      </c>
      <c r="Q148" t="s">
        <v>473</v>
      </c>
    </row>
    <row r="149" spans="1:17" ht="15" customHeight="1" x14ac:dyDescent="0.35">
      <c r="A149" t="s">
        <v>429</v>
      </c>
      <c r="B149">
        <v>22</v>
      </c>
      <c r="C149" t="s">
        <v>649</v>
      </c>
      <c r="D149" t="s">
        <v>421</v>
      </c>
      <c r="E149" t="s">
        <v>25</v>
      </c>
      <c r="F149" t="s">
        <v>62</v>
      </c>
      <c r="G149">
        <v>74</v>
      </c>
      <c r="H149">
        <v>0</v>
      </c>
      <c r="I149">
        <v>0</v>
      </c>
      <c r="J149">
        <v>0</v>
      </c>
      <c r="K149">
        <v>9.9999999999999995E-7</v>
      </c>
      <c r="L149">
        <v>0.31403900000000001</v>
      </c>
      <c r="M149" t="s">
        <v>27</v>
      </c>
      <c r="N149" t="s">
        <v>63</v>
      </c>
      <c r="O149" t="s">
        <v>471</v>
      </c>
      <c r="P149" t="s">
        <v>472</v>
      </c>
      <c r="Q149" t="s">
        <v>473</v>
      </c>
    </row>
    <row r="150" spans="1:17" ht="15" customHeight="1" x14ac:dyDescent="0.35">
      <c r="A150" t="s">
        <v>429</v>
      </c>
      <c r="B150">
        <v>23</v>
      </c>
      <c r="C150" t="s">
        <v>650</v>
      </c>
      <c r="D150" t="s">
        <v>421</v>
      </c>
      <c r="E150" t="s">
        <v>25</v>
      </c>
      <c r="F150" t="s">
        <v>34</v>
      </c>
      <c r="G150">
        <v>5072</v>
      </c>
      <c r="H150">
        <v>0</v>
      </c>
      <c r="I150">
        <v>315</v>
      </c>
      <c r="J150">
        <v>0</v>
      </c>
      <c r="K150">
        <v>9.5E-4</v>
      </c>
      <c r="L150">
        <v>2.964343</v>
      </c>
      <c r="M150" t="s">
        <v>27</v>
      </c>
      <c r="N150" t="s">
        <v>28</v>
      </c>
      <c r="O150" t="s">
        <v>471</v>
      </c>
      <c r="P150" t="s">
        <v>472</v>
      </c>
      <c r="Q150" t="s">
        <v>473</v>
      </c>
    </row>
    <row r="151" spans="1:17" ht="15" customHeight="1" x14ac:dyDescent="0.35">
      <c r="A151" t="s">
        <v>429</v>
      </c>
      <c r="B151">
        <v>24</v>
      </c>
      <c r="C151" t="s">
        <v>650</v>
      </c>
      <c r="D151" t="s">
        <v>421</v>
      </c>
      <c r="E151" t="s">
        <v>25</v>
      </c>
      <c r="F151" t="s">
        <v>62</v>
      </c>
      <c r="G151">
        <v>83</v>
      </c>
      <c r="H151">
        <v>0</v>
      </c>
      <c r="I151">
        <v>0</v>
      </c>
      <c r="J151">
        <v>0</v>
      </c>
      <c r="K151">
        <v>1.9999999999999999E-6</v>
      </c>
      <c r="L151">
        <v>0.29885099999999998</v>
      </c>
      <c r="M151" t="s">
        <v>27</v>
      </c>
      <c r="N151" t="s">
        <v>63</v>
      </c>
      <c r="O151" t="s">
        <v>471</v>
      </c>
      <c r="P151" t="s">
        <v>472</v>
      </c>
      <c r="Q151" t="s">
        <v>473</v>
      </c>
    </row>
    <row r="152" spans="1:17" ht="15" customHeight="1" x14ac:dyDescent="0.35">
      <c r="A152" t="s">
        <v>429</v>
      </c>
      <c r="B152">
        <v>25</v>
      </c>
      <c r="C152" t="s">
        <v>651</v>
      </c>
      <c r="D152" t="s">
        <v>421</v>
      </c>
      <c r="E152" t="s">
        <v>25</v>
      </c>
      <c r="F152" t="s">
        <v>34</v>
      </c>
      <c r="G152">
        <v>5082</v>
      </c>
      <c r="H152">
        <v>0</v>
      </c>
      <c r="I152">
        <v>267</v>
      </c>
      <c r="J152">
        <v>0</v>
      </c>
      <c r="K152">
        <v>9.2299999999999999E-4</v>
      </c>
      <c r="L152">
        <v>2.9557440000000001</v>
      </c>
      <c r="M152" t="s">
        <v>27</v>
      </c>
      <c r="N152" t="s">
        <v>28</v>
      </c>
      <c r="O152" t="s">
        <v>471</v>
      </c>
      <c r="P152" t="s">
        <v>472</v>
      </c>
      <c r="Q152" t="s">
        <v>473</v>
      </c>
    </row>
    <row r="153" spans="1:17" ht="15" customHeight="1" x14ac:dyDescent="0.35">
      <c r="A153" t="s">
        <v>429</v>
      </c>
      <c r="B153">
        <v>26</v>
      </c>
      <c r="C153" t="s">
        <v>651</v>
      </c>
      <c r="D153" t="s">
        <v>421</v>
      </c>
      <c r="E153" t="s">
        <v>25</v>
      </c>
      <c r="F153" t="s">
        <v>62</v>
      </c>
      <c r="G153">
        <v>74</v>
      </c>
      <c r="H153">
        <v>0</v>
      </c>
      <c r="I153">
        <v>0</v>
      </c>
      <c r="J153">
        <v>0</v>
      </c>
      <c r="K153">
        <v>9.9999999999999995E-7</v>
      </c>
      <c r="L153">
        <v>0.22814799999999999</v>
      </c>
      <c r="M153" t="s">
        <v>27</v>
      </c>
      <c r="N153" t="s">
        <v>63</v>
      </c>
      <c r="O153" t="s">
        <v>471</v>
      </c>
      <c r="P153" t="s">
        <v>472</v>
      </c>
      <c r="Q153" t="s">
        <v>473</v>
      </c>
    </row>
    <row r="154" spans="1:17" ht="15" customHeight="1" x14ac:dyDescent="0.35">
      <c r="A154" t="s">
        <v>429</v>
      </c>
      <c r="B154">
        <v>27</v>
      </c>
      <c r="C154" t="s">
        <v>652</v>
      </c>
      <c r="D154" t="s">
        <v>421</v>
      </c>
      <c r="E154" t="s">
        <v>25</v>
      </c>
      <c r="F154" t="s">
        <v>34</v>
      </c>
      <c r="G154">
        <v>5072</v>
      </c>
      <c r="H154">
        <v>2048</v>
      </c>
      <c r="I154">
        <v>242</v>
      </c>
      <c r="J154">
        <v>0</v>
      </c>
      <c r="K154">
        <v>7.5199999999999996E-4</v>
      </c>
      <c r="L154">
        <v>2.576111</v>
      </c>
      <c r="M154" t="s">
        <v>27</v>
      </c>
      <c r="N154" t="s">
        <v>28</v>
      </c>
      <c r="O154" t="s">
        <v>471</v>
      </c>
      <c r="P154" t="s">
        <v>472</v>
      </c>
      <c r="Q154" t="s">
        <v>473</v>
      </c>
    </row>
    <row r="155" spans="1:17" ht="15" customHeight="1" x14ac:dyDescent="0.35">
      <c r="A155" t="s">
        <v>429</v>
      </c>
      <c r="B155">
        <v>28</v>
      </c>
      <c r="C155" t="s">
        <v>653</v>
      </c>
      <c r="D155" t="s">
        <v>421</v>
      </c>
      <c r="E155" t="s">
        <v>25</v>
      </c>
      <c r="F155" t="s">
        <v>62</v>
      </c>
      <c r="G155">
        <v>36</v>
      </c>
      <c r="H155">
        <v>0</v>
      </c>
      <c r="I155">
        <v>0</v>
      </c>
      <c r="J155">
        <v>0</v>
      </c>
      <c r="K155">
        <v>9.9999999999999995E-7</v>
      </c>
      <c r="L155">
        <v>0.53437999999999997</v>
      </c>
      <c r="M155" t="s">
        <v>27</v>
      </c>
      <c r="N155" t="s">
        <v>63</v>
      </c>
      <c r="O155" t="s">
        <v>471</v>
      </c>
      <c r="P155" t="s">
        <v>472</v>
      </c>
      <c r="Q155" t="s">
        <v>473</v>
      </c>
    </row>
    <row r="156" spans="1:17" ht="15" customHeight="1" x14ac:dyDescent="0.35">
      <c r="A156" t="s">
        <v>429</v>
      </c>
      <c r="B156">
        <v>29</v>
      </c>
      <c r="C156" t="s">
        <v>654</v>
      </c>
      <c r="D156" t="s">
        <v>421</v>
      </c>
      <c r="E156" t="s">
        <v>25</v>
      </c>
      <c r="F156" t="s">
        <v>34</v>
      </c>
      <c r="G156">
        <v>5052</v>
      </c>
      <c r="H156">
        <v>0</v>
      </c>
      <c r="I156">
        <v>80</v>
      </c>
      <c r="J156">
        <v>0</v>
      </c>
      <c r="K156">
        <v>8.0599999999999997E-4</v>
      </c>
      <c r="L156">
        <v>1.9687349999999999</v>
      </c>
      <c r="M156" t="s">
        <v>27</v>
      </c>
      <c r="N156" t="s">
        <v>28</v>
      </c>
      <c r="O156" t="s">
        <v>471</v>
      </c>
      <c r="P156" t="s">
        <v>472</v>
      </c>
      <c r="Q156" t="s">
        <v>473</v>
      </c>
    </row>
    <row r="157" spans="1:17" ht="15" customHeight="1" x14ac:dyDescent="0.35">
      <c r="A157" t="s">
        <v>429</v>
      </c>
      <c r="B157">
        <v>30</v>
      </c>
      <c r="C157" t="s">
        <v>654</v>
      </c>
      <c r="D157" t="s">
        <v>421</v>
      </c>
      <c r="E157" t="s">
        <v>25</v>
      </c>
      <c r="F157" t="s">
        <v>62</v>
      </c>
      <c r="G157">
        <v>99</v>
      </c>
      <c r="H157">
        <v>0</v>
      </c>
      <c r="I157">
        <v>0</v>
      </c>
      <c r="J157">
        <v>0</v>
      </c>
      <c r="K157">
        <v>1.9999999999999999E-6</v>
      </c>
      <c r="L157">
        <v>0.21537999999999999</v>
      </c>
      <c r="M157" t="s">
        <v>27</v>
      </c>
      <c r="N157" t="s">
        <v>63</v>
      </c>
      <c r="O157" t="s">
        <v>471</v>
      </c>
      <c r="P157" t="s">
        <v>472</v>
      </c>
      <c r="Q157" t="s">
        <v>473</v>
      </c>
    </row>
    <row r="158" spans="1:17" ht="15" customHeight="1" x14ac:dyDescent="0.35">
      <c r="A158" t="s">
        <v>429</v>
      </c>
      <c r="B158">
        <v>31</v>
      </c>
      <c r="C158" t="s">
        <v>655</v>
      </c>
      <c r="D158" t="s">
        <v>421</v>
      </c>
      <c r="E158" t="s">
        <v>25</v>
      </c>
      <c r="F158" t="s">
        <v>34</v>
      </c>
      <c r="G158">
        <v>5098</v>
      </c>
      <c r="H158">
        <v>0</v>
      </c>
      <c r="I158">
        <v>234</v>
      </c>
      <c r="J158">
        <v>0</v>
      </c>
      <c r="K158">
        <v>9.0499999999999999E-4</v>
      </c>
      <c r="L158">
        <v>2.949614</v>
      </c>
      <c r="M158" t="s">
        <v>27</v>
      </c>
      <c r="N158" t="s">
        <v>28</v>
      </c>
      <c r="O158" t="s">
        <v>471</v>
      </c>
      <c r="P158" t="s">
        <v>472</v>
      </c>
      <c r="Q158" t="s">
        <v>473</v>
      </c>
    </row>
    <row r="159" spans="1:17" ht="15" customHeight="1" x14ac:dyDescent="0.35">
      <c r="A159" t="s">
        <v>429</v>
      </c>
      <c r="B159">
        <v>32</v>
      </c>
      <c r="C159" t="s">
        <v>656</v>
      </c>
      <c r="D159" t="s">
        <v>421</v>
      </c>
      <c r="E159" t="s">
        <v>25</v>
      </c>
      <c r="F159" t="s">
        <v>62</v>
      </c>
      <c r="G159">
        <v>442</v>
      </c>
      <c r="H159">
        <v>0</v>
      </c>
      <c r="I159">
        <v>0</v>
      </c>
      <c r="J159">
        <v>0</v>
      </c>
      <c r="K159">
        <v>9.0000000000000002E-6</v>
      </c>
      <c r="L159">
        <v>0.30063099999999998</v>
      </c>
      <c r="M159" t="s">
        <v>27</v>
      </c>
      <c r="N159" t="s">
        <v>63</v>
      </c>
      <c r="O159" t="s">
        <v>471</v>
      </c>
      <c r="P159" t="s">
        <v>472</v>
      </c>
      <c r="Q159" t="s">
        <v>473</v>
      </c>
    </row>
    <row r="160" spans="1:17" ht="15" customHeight="1" x14ac:dyDescent="0.35">
      <c r="A160" t="s">
        <v>429</v>
      </c>
      <c r="B160">
        <v>33</v>
      </c>
      <c r="C160" t="s">
        <v>657</v>
      </c>
      <c r="D160" t="s">
        <v>421</v>
      </c>
      <c r="E160" t="s">
        <v>25</v>
      </c>
      <c r="F160" t="s">
        <v>34</v>
      </c>
      <c r="G160">
        <v>5496</v>
      </c>
      <c r="H160">
        <v>0</v>
      </c>
      <c r="I160">
        <v>326</v>
      </c>
      <c r="J160">
        <v>0</v>
      </c>
      <c r="K160">
        <v>1.0200000000000001E-3</v>
      </c>
      <c r="L160">
        <v>4.5014500000000002</v>
      </c>
      <c r="M160" t="s">
        <v>27</v>
      </c>
      <c r="N160" t="s">
        <v>28</v>
      </c>
      <c r="O160" t="s">
        <v>471</v>
      </c>
      <c r="P160" t="s">
        <v>472</v>
      </c>
      <c r="Q160" t="s">
        <v>473</v>
      </c>
    </row>
    <row r="161" spans="1:17" ht="15" customHeight="1" x14ac:dyDescent="0.35">
      <c r="A161" t="s">
        <v>429</v>
      </c>
      <c r="B161">
        <v>34</v>
      </c>
      <c r="C161" t="s">
        <v>658</v>
      </c>
      <c r="D161" t="s">
        <v>421</v>
      </c>
      <c r="E161" t="s">
        <v>25</v>
      </c>
      <c r="F161" t="s">
        <v>62</v>
      </c>
      <c r="G161">
        <v>74</v>
      </c>
      <c r="H161">
        <v>0</v>
      </c>
      <c r="I161">
        <v>0</v>
      </c>
      <c r="J161">
        <v>0</v>
      </c>
      <c r="K161">
        <v>9.9999999999999995E-7</v>
      </c>
      <c r="L161">
        <v>0.59809999999999997</v>
      </c>
      <c r="M161" t="s">
        <v>27</v>
      </c>
      <c r="N161" t="s">
        <v>63</v>
      </c>
      <c r="O161" t="s">
        <v>471</v>
      </c>
      <c r="P161" t="s">
        <v>472</v>
      </c>
      <c r="Q161" t="s">
        <v>473</v>
      </c>
    </row>
    <row r="162" spans="1:17" ht="15" customHeight="1" x14ac:dyDescent="0.35">
      <c r="A162" t="s">
        <v>429</v>
      </c>
      <c r="B162">
        <v>35</v>
      </c>
      <c r="C162" t="s">
        <v>659</v>
      </c>
      <c r="D162" t="s">
        <v>421</v>
      </c>
      <c r="E162" t="s">
        <v>25</v>
      </c>
      <c r="F162" t="s">
        <v>34</v>
      </c>
      <c r="G162">
        <v>5091</v>
      </c>
      <c r="H162">
        <v>0</v>
      </c>
      <c r="I162">
        <v>271</v>
      </c>
      <c r="J162">
        <v>0</v>
      </c>
      <c r="K162">
        <v>9.2599999999999996E-4</v>
      </c>
      <c r="L162">
        <v>3.1590159999999998</v>
      </c>
      <c r="M162" t="s">
        <v>27</v>
      </c>
      <c r="N162" t="s">
        <v>28</v>
      </c>
      <c r="O162" t="s">
        <v>471</v>
      </c>
      <c r="P162" t="s">
        <v>472</v>
      </c>
      <c r="Q162" t="s">
        <v>473</v>
      </c>
    </row>
    <row r="163" spans="1:17" ht="15" customHeight="1" x14ac:dyDescent="0.35">
      <c r="A163" t="s">
        <v>429</v>
      </c>
      <c r="B163">
        <v>36</v>
      </c>
      <c r="C163" t="s">
        <v>660</v>
      </c>
      <c r="D163" t="s">
        <v>421</v>
      </c>
      <c r="E163" t="s">
        <v>25</v>
      </c>
      <c r="F163" t="s">
        <v>62</v>
      </c>
      <c r="G163">
        <v>83</v>
      </c>
      <c r="H163">
        <v>0</v>
      </c>
      <c r="I163">
        <v>0</v>
      </c>
      <c r="J163">
        <v>0</v>
      </c>
      <c r="K163">
        <v>1.9999999999999999E-6</v>
      </c>
      <c r="L163">
        <v>0.30280200000000002</v>
      </c>
      <c r="M163" t="s">
        <v>27</v>
      </c>
      <c r="N163" t="s">
        <v>63</v>
      </c>
      <c r="O163" t="s">
        <v>471</v>
      </c>
      <c r="P163" t="s">
        <v>472</v>
      </c>
      <c r="Q163" t="s">
        <v>473</v>
      </c>
    </row>
    <row r="164" spans="1:17" ht="15" customHeight="1" x14ac:dyDescent="0.35">
      <c r="A164" t="s">
        <v>429</v>
      </c>
      <c r="B164">
        <v>37</v>
      </c>
      <c r="C164" t="s">
        <v>661</v>
      </c>
      <c r="D164" t="s">
        <v>421</v>
      </c>
      <c r="E164" t="s">
        <v>25</v>
      </c>
      <c r="F164" t="s">
        <v>34</v>
      </c>
      <c r="G164">
        <v>5101</v>
      </c>
      <c r="H164">
        <v>1920</v>
      </c>
      <c r="I164">
        <v>264</v>
      </c>
      <c r="J164">
        <v>0</v>
      </c>
      <c r="K164">
        <v>7.7999999999999999E-4</v>
      </c>
      <c r="L164">
        <v>4.0427160000000004</v>
      </c>
      <c r="M164" t="s">
        <v>27</v>
      </c>
      <c r="N164" t="s">
        <v>28</v>
      </c>
      <c r="O164" t="s">
        <v>471</v>
      </c>
      <c r="P164" t="s">
        <v>472</v>
      </c>
      <c r="Q164" t="s">
        <v>473</v>
      </c>
    </row>
    <row r="165" spans="1:17" ht="15" customHeight="1" x14ac:dyDescent="0.35">
      <c r="A165" t="s">
        <v>429</v>
      </c>
      <c r="B165">
        <v>38</v>
      </c>
      <c r="C165" t="s">
        <v>661</v>
      </c>
      <c r="D165" t="s">
        <v>421</v>
      </c>
      <c r="E165" t="s">
        <v>25</v>
      </c>
      <c r="F165" t="s">
        <v>62</v>
      </c>
      <c r="G165">
        <v>74</v>
      </c>
      <c r="H165">
        <v>0</v>
      </c>
      <c r="I165">
        <v>0</v>
      </c>
      <c r="J165">
        <v>0</v>
      </c>
      <c r="K165">
        <v>9.9999999999999995E-7</v>
      </c>
      <c r="L165">
        <v>0.27374599999999999</v>
      </c>
      <c r="M165" t="s">
        <v>27</v>
      </c>
      <c r="N165" t="s">
        <v>63</v>
      </c>
      <c r="O165" t="s">
        <v>471</v>
      </c>
      <c r="P165" t="s">
        <v>472</v>
      </c>
      <c r="Q165" t="s">
        <v>473</v>
      </c>
    </row>
    <row r="166" spans="1:17" ht="15" customHeight="1" x14ac:dyDescent="0.35">
      <c r="A166" t="s">
        <v>429</v>
      </c>
      <c r="B166">
        <v>39</v>
      </c>
      <c r="C166" t="s">
        <v>662</v>
      </c>
      <c r="D166" t="s">
        <v>421</v>
      </c>
      <c r="E166" t="s">
        <v>25</v>
      </c>
      <c r="F166" t="s">
        <v>34</v>
      </c>
      <c r="G166">
        <v>5067</v>
      </c>
      <c r="H166">
        <v>1024</v>
      </c>
      <c r="I166">
        <v>324</v>
      </c>
      <c r="J166">
        <v>0</v>
      </c>
      <c r="K166">
        <v>8.7799999999999998E-4</v>
      </c>
      <c r="L166">
        <v>4.427492</v>
      </c>
      <c r="M166" t="s">
        <v>27</v>
      </c>
      <c r="N166" t="s">
        <v>28</v>
      </c>
      <c r="O166" t="s">
        <v>471</v>
      </c>
      <c r="P166" t="s">
        <v>472</v>
      </c>
      <c r="Q166" t="s">
        <v>473</v>
      </c>
    </row>
    <row r="167" spans="1:17" ht="15" customHeight="1" x14ac:dyDescent="0.35">
      <c r="A167" t="s">
        <v>429</v>
      </c>
      <c r="B167">
        <v>40</v>
      </c>
      <c r="C167" t="s">
        <v>663</v>
      </c>
      <c r="D167" t="s">
        <v>421</v>
      </c>
      <c r="E167" t="s">
        <v>25</v>
      </c>
      <c r="F167" t="s">
        <v>62</v>
      </c>
      <c r="G167">
        <v>36</v>
      </c>
      <c r="H167">
        <v>0</v>
      </c>
      <c r="I167">
        <v>0</v>
      </c>
      <c r="J167">
        <v>0</v>
      </c>
      <c r="K167">
        <v>9.9999999999999995E-7</v>
      </c>
      <c r="L167">
        <v>0.54170700000000005</v>
      </c>
      <c r="M167" t="s">
        <v>27</v>
      </c>
      <c r="N167" t="s">
        <v>63</v>
      </c>
      <c r="O167" t="s">
        <v>471</v>
      </c>
      <c r="P167" t="s">
        <v>472</v>
      </c>
      <c r="Q167" t="s">
        <v>473</v>
      </c>
    </row>
    <row r="168" spans="1:17" ht="15" customHeight="1" x14ac:dyDescent="0.35">
      <c r="A168" t="s">
        <v>429</v>
      </c>
      <c r="B168">
        <v>41</v>
      </c>
      <c r="C168" t="s">
        <v>664</v>
      </c>
      <c r="D168" t="s">
        <v>421</v>
      </c>
      <c r="E168" t="s">
        <v>25</v>
      </c>
      <c r="F168" t="s">
        <v>34</v>
      </c>
      <c r="G168">
        <v>4960</v>
      </c>
      <c r="H168">
        <v>0</v>
      </c>
      <c r="I168">
        <v>88</v>
      </c>
      <c r="J168">
        <v>0</v>
      </c>
      <c r="K168">
        <v>7.9699999999999997E-4</v>
      </c>
      <c r="L168">
        <v>2.2681819999999999</v>
      </c>
      <c r="M168" t="s">
        <v>27</v>
      </c>
      <c r="N168" t="s">
        <v>28</v>
      </c>
      <c r="O168" t="s">
        <v>471</v>
      </c>
      <c r="P168" t="s">
        <v>472</v>
      </c>
      <c r="Q168" t="s">
        <v>473</v>
      </c>
    </row>
    <row r="169" spans="1:17" ht="15" customHeight="1" x14ac:dyDescent="0.35">
      <c r="A169" t="s">
        <v>429</v>
      </c>
      <c r="B169">
        <v>42</v>
      </c>
      <c r="C169" t="s">
        <v>665</v>
      </c>
      <c r="D169" t="s">
        <v>421</v>
      </c>
      <c r="E169" t="s">
        <v>25</v>
      </c>
      <c r="F169" t="s">
        <v>62</v>
      </c>
      <c r="G169">
        <v>99</v>
      </c>
      <c r="H169">
        <v>0</v>
      </c>
      <c r="I169">
        <v>0</v>
      </c>
      <c r="J169">
        <v>0</v>
      </c>
      <c r="K169">
        <v>1.9999999999999999E-6</v>
      </c>
      <c r="L169">
        <v>0.295543</v>
      </c>
      <c r="M169" t="s">
        <v>27</v>
      </c>
      <c r="N169" t="s">
        <v>63</v>
      </c>
      <c r="O169" t="s">
        <v>471</v>
      </c>
      <c r="P169" t="s">
        <v>472</v>
      </c>
      <c r="Q169" t="s">
        <v>473</v>
      </c>
    </row>
    <row r="170" spans="1:17" ht="15" customHeight="1" x14ac:dyDescent="0.35">
      <c r="A170" t="s">
        <v>429</v>
      </c>
      <c r="B170">
        <v>43</v>
      </c>
      <c r="C170" t="s">
        <v>666</v>
      </c>
      <c r="D170" t="s">
        <v>421</v>
      </c>
      <c r="E170" t="s">
        <v>25</v>
      </c>
      <c r="F170" t="s">
        <v>34</v>
      </c>
      <c r="G170">
        <v>4929</v>
      </c>
      <c r="H170">
        <v>0</v>
      </c>
      <c r="I170">
        <v>200</v>
      </c>
      <c r="J170">
        <v>0</v>
      </c>
      <c r="K170">
        <v>8.5899999999999995E-4</v>
      </c>
      <c r="L170">
        <v>2.839664</v>
      </c>
      <c r="M170" t="s">
        <v>27</v>
      </c>
      <c r="N170" t="s">
        <v>28</v>
      </c>
      <c r="O170" t="s">
        <v>471</v>
      </c>
      <c r="P170" t="s">
        <v>472</v>
      </c>
      <c r="Q170" t="s">
        <v>473</v>
      </c>
    </row>
    <row r="171" spans="1:17" ht="15" customHeight="1" x14ac:dyDescent="0.35">
      <c r="A171" t="s">
        <v>429</v>
      </c>
      <c r="B171">
        <v>44</v>
      </c>
      <c r="C171" t="s">
        <v>666</v>
      </c>
      <c r="D171" t="s">
        <v>421</v>
      </c>
      <c r="E171" t="s">
        <v>25</v>
      </c>
      <c r="F171" t="s">
        <v>62</v>
      </c>
      <c r="G171">
        <v>442</v>
      </c>
      <c r="H171">
        <v>0</v>
      </c>
      <c r="I171">
        <v>0</v>
      </c>
      <c r="J171">
        <v>0</v>
      </c>
      <c r="K171">
        <v>9.0000000000000002E-6</v>
      </c>
      <c r="L171">
        <v>0.22003300000000001</v>
      </c>
      <c r="M171" t="s">
        <v>27</v>
      </c>
      <c r="N171" t="s">
        <v>63</v>
      </c>
      <c r="O171" t="s">
        <v>471</v>
      </c>
      <c r="P171" t="s">
        <v>472</v>
      </c>
      <c r="Q171" t="s">
        <v>473</v>
      </c>
    </row>
    <row r="172" spans="1:17" ht="15" customHeight="1" x14ac:dyDescent="0.35">
      <c r="A172" t="s">
        <v>429</v>
      </c>
      <c r="B172">
        <v>45</v>
      </c>
      <c r="C172" t="s">
        <v>667</v>
      </c>
      <c r="D172" t="s">
        <v>421</v>
      </c>
      <c r="E172" t="s">
        <v>25</v>
      </c>
      <c r="F172" t="s">
        <v>34</v>
      </c>
      <c r="G172">
        <v>5367</v>
      </c>
      <c r="H172">
        <v>0</v>
      </c>
      <c r="I172">
        <v>348</v>
      </c>
      <c r="J172">
        <v>0</v>
      </c>
      <c r="K172">
        <v>1.0139999999999999E-3</v>
      </c>
      <c r="L172">
        <v>3.7396479999999999</v>
      </c>
      <c r="M172" t="s">
        <v>27</v>
      </c>
      <c r="N172" t="s">
        <v>28</v>
      </c>
      <c r="O172" t="s">
        <v>471</v>
      </c>
      <c r="P172" t="s">
        <v>472</v>
      </c>
      <c r="Q172" t="s">
        <v>473</v>
      </c>
    </row>
    <row r="173" spans="1:17" ht="15" customHeight="1" x14ac:dyDescent="0.35">
      <c r="A173" t="s">
        <v>429</v>
      </c>
      <c r="B173">
        <v>46</v>
      </c>
      <c r="C173" t="s">
        <v>667</v>
      </c>
      <c r="D173" t="s">
        <v>421</v>
      </c>
      <c r="E173" t="s">
        <v>25</v>
      </c>
      <c r="F173" t="s">
        <v>62</v>
      </c>
      <c r="G173">
        <v>74</v>
      </c>
      <c r="H173">
        <v>0</v>
      </c>
      <c r="I173">
        <v>0</v>
      </c>
      <c r="J173">
        <v>0</v>
      </c>
      <c r="K173">
        <v>9.9999999999999995E-7</v>
      </c>
      <c r="L173">
        <v>0.31247900000000001</v>
      </c>
      <c r="M173" t="s">
        <v>27</v>
      </c>
      <c r="N173" t="s">
        <v>63</v>
      </c>
      <c r="O173" t="s">
        <v>471</v>
      </c>
      <c r="P173" t="s">
        <v>472</v>
      </c>
      <c r="Q173" t="s">
        <v>473</v>
      </c>
    </row>
    <row r="174" spans="1:17" ht="15" customHeight="1" x14ac:dyDescent="0.35">
      <c r="A174" t="s">
        <v>429</v>
      </c>
      <c r="B174">
        <v>47</v>
      </c>
      <c r="C174" t="s">
        <v>668</v>
      </c>
      <c r="D174" t="s">
        <v>421</v>
      </c>
      <c r="E174" t="s">
        <v>25</v>
      </c>
      <c r="F174" t="s">
        <v>34</v>
      </c>
      <c r="G174">
        <v>4901</v>
      </c>
      <c r="H174">
        <v>0</v>
      </c>
      <c r="I174">
        <v>284</v>
      </c>
      <c r="J174">
        <v>0</v>
      </c>
      <c r="K174">
        <v>9.0600000000000001E-4</v>
      </c>
      <c r="L174">
        <v>3.4939439999999999</v>
      </c>
      <c r="M174" t="s">
        <v>27</v>
      </c>
      <c r="N174" t="s">
        <v>28</v>
      </c>
      <c r="O174" t="s">
        <v>471</v>
      </c>
      <c r="P174" t="s">
        <v>472</v>
      </c>
      <c r="Q174" t="s">
        <v>473</v>
      </c>
    </row>
    <row r="175" spans="1:17" ht="15" customHeight="1" x14ac:dyDescent="0.35">
      <c r="A175" t="s">
        <v>429</v>
      </c>
      <c r="B175">
        <v>48</v>
      </c>
      <c r="C175" t="s">
        <v>669</v>
      </c>
      <c r="D175" t="s">
        <v>421</v>
      </c>
      <c r="E175" t="s">
        <v>25</v>
      </c>
      <c r="F175" t="s">
        <v>62</v>
      </c>
      <c r="G175">
        <v>83</v>
      </c>
      <c r="H175">
        <v>0</v>
      </c>
      <c r="I175">
        <v>0</v>
      </c>
      <c r="J175">
        <v>0</v>
      </c>
      <c r="K175">
        <v>1.9999999999999999E-6</v>
      </c>
      <c r="L175">
        <v>0.28974800000000001</v>
      </c>
      <c r="M175" t="s">
        <v>27</v>
      </c>
      <c r="N175" t="s">
        <v>63</v>
      </c>
      <c r="O175" t="s">
        <v>471</v>
      </c>
      <c r="P175" t="s">
        <v>472</v>
      </c>
      <c r="Q175" t="s">
        <v>473</v>
      </c>
    </row>
    <row r="176" spans="1:17" ht="15" customHeight="1" x14ac:dyDescent="0.35">
      <c r="A176" t="s">
        <v>429</v>
      </c>
      <c r="B176">
        <v>49</v>
      </c>
      <c r="C176" t="s">
        <v>670</v>
      </c>
      <c r="D176" t="s">
        <v>421</v>
      </c>
      <c r="E176" t="s">
        <v>25</v>
      </c>
      <c r="F176" t="s">
        <v>34</v>
      </c>
      <c r="G176">
        <v>5058</v>
      </c>
      <c r="H176">
        <v>0</v>
      </c>
      <c r="I176">
        <v>285</v>
      </c>
      <c r="J176">
        <v>0</v>
      </c>
      <c r="K176">
        <v>9.3000000000000005E-4</v>
      </c>
      <c r="L176">
        <v>3.3298390000000002</v>
      </c>
      <c r="M176" t="s">
        <v>27</v>
      </c>
      <c r="N176" t="s">
        <v>28</v>
      </c>
      <c r="O176" t="s">
        <v>471</v>
      </c>
      <c r="P176" t="s">
        <v>472</v>
      </c>
      <c r="Q176" t="s">
        <v>473</v>
      </c>
    </row>
    <row r="177" spans="1:17" ht="15" customHeight="1" x14ac:dyDescent="0.35">
      <c r="A177" t="s">
        <v>429</v>
      </c>
      <c r="B177">
        <v>50</v>
      </c>
      <c r="C177" t="s">
        <v>670</v>
      </c>
      <c r="D177" t="s">
        <v>421</v>
      </c>
      <c r="E177" t="s">
        <v>25</v>
      </c>
      <c r="F177" t="s">
        <v>62</v>
      </c>
      <c r="G177">
        <v>74</v>
      </c>
      <c r="H177">
        <v>0</v>
      </c>
      <c r="I177">
        <v>0</v>
      </c>
      <c r="J177">
        <v>0</v>
      </c>
      <c r="K177">
        <v>9.9999999999999995E-7</v>
      </c>
      <c r="L177">
        <v>0.30113600000000001</v>
      </c>
      <c r="M177" t="s">
        <v>27</v>
      </c>
      <c r="N177" t="s">
        <v>63</v>
      </c>
      <c r="O177" t="s">
        <v>471</v>
      </c>
      <c r="P177" t="s">
        <v>472</v>
      </c>
      <c r="Q177" t="s">
        <v>473</v>
      </c>
    </row>
    <row r="178" spans="1:17" ht="15" customHeight="1" x14ac:dyDescent="0.35">
      <c r="A178" t="s">
        <v>429</v>
      </c>
      <c r="B178">
        <v>51</v>
      </c>
      <c r="C178" t="s">
        <v>671</v>
      </c>
      <c r="D178" t="s">
        <v>421</v>
      </c>
      <c r="E178" t="s">
        <v>25</v>
      </c>
      <c r="F178" t="s">
        <v>34</v>
      </c>
      <c r="G178">
        <v>4966</v>
      </c>
      <c r="H178">
        <v>1024</v>
      </c>
      <c r="I178">
        <v>324</v>
      </c>
      <c r="J178">
        <v>0</v>
      </c>
      <c r="K178">
        <v>8.6200000000000003E-4</v>
      </c>
      <c r="L178">
        <v>3.5667040000000001</v>
      </c>
      <c r="M178" t="s">
        <v>27</v>
      </c>
      <c r="N178" t="s">
        <v>28</v>
      </c>
      <c r="O178" t="s">
        <v>471</v>
      </c>
      <c r="P178" t="s">
        <v>472</v>
      </c>
      <c r="Q178" t="s">
        <v>473</v>
      </c>
    </row>
    <row r="179" spans="1:17" ht="15" customHeight="1" x14ac:dyDescent="0.35">
      <c r="A179" t="s">
        <v>429</v>
      </c>
      <c r="B179">
        <v>52</v>
      </c>
      <c r="C179" t="s">
        <v>672</v>
      </c>
      <c r="D179" t="s">
        <v>421</v>
      </c>
      <c r="E179" t="s">
        <v>25</v>
      </c>
      <c r="F179" t="s">
        <v>62</v>
      </c>
      <c r="G179">
        <v>36</v>
      </c>
      <c r="H179">
        <v>0</v>
      </c>
      <c r="I179">
        <v>0</v>
      </c>
      <c r="J179">
        <v>0</v>
      </c>
      <c r="K179">
        <v>9.9999999999999995E-7</v>
      </c>
      <c r="L179">
        <v>0.55295300000000003</v>
      </c>
      <c r="M179" t="s">
        <v>27</v>
      </c>
      <c r="N179" t="s">
        <v>63</v>
      </c>
      <c r="O179" t="s">
        <v>471</v>
      </c>
      <c r="P179" t="s">
        <v>472</v>
      </c>
      <c r="Q179" t="s">
        <v>473</v>
      </c>
    </row>
    <row r="180" spans="1:17" ht="15" customHeight="1" x14ac:dyDescent="0.35">
      <c r="A180" t="s">
        <v>429</v>
      </c>
      <c r="B180">
        <v>53</v>
      </c>
      <c r="C180" t="s">
        <v>673</v>
      </c>
      <c r="D180" t="s">
        <v>421</v>
      </c>
      <c r="E180" t="s">
        <v>25</v>
      </c>
      <c r="F180" t="s">
        <v>34</v>
      </c>
      <c r="G180">
        <v>4996</v>
      </c>
      <c r="H180">
        <v>0</v>
      </c>
      <c r="I180">
        <v>33</v>
      </c>
      <c r="J180">
        <v>0</v>
      </c>
      <c r="K180">
        <v>7.6900000000000004E-4</v>
      </c>
      <c r="L180">
        <v>1.5641210000000001</v>
      </c>
      <c r="M180" t="s">
        <v>27</v>
      </c>
      <c r="N180" t="s">
        <v>28</v>
      </c>
      <c r="O180" t="s">
        <v>471</v>
      </c>
      <c r="P180" t="s">
        <v>472</v>
      </c>
      <c r="Q180" t="s">
        <v>473</v>
      </c>
    </row>
    <row r="181" spans="1:17" ht="15" customHeight="1" x14ac:dyDescent="0.35">
      <c r="A181" t="s">
        <v>429</v>
      </c>
      <c r="B181">
        <v>54</v>
      </c>
      <c r="C181" t="s">
        <v>673</v>
      </c>
      <c r="D181" t="s">
        <v>421</v>
      </c>
      <c r="E181" t="s">
        <v>25</v>
      </c>
      <c r="F181" t="s">
        <v>62</v>
      </c>
      <c r="G181">
        <v>99</v>
      </c>
      <c r="H181">
        <v>0</v>
      </c>
      <c r="I181">
        <v>0</v>
      </c>
      <c r="J181">
        <v>0</v>
      </c>
      <c r="K181">
        <v>1.9999999999999999E-6</v>
      </c>
      <c r="L181">
        <v>0.35916999999999999</v>
      </c>
      <c r="M181" t="s">
        <v>27</v>
      </c>
      <c r="N181" t="s">
        <v>63</v>
      </c>
      <c r="O181" t="s">
        <v>471</v>
      </c>
      <c r="P181" t="s">
        <v>472</v>
      </c>
      <c r="Q181" t="s">
        <v>473</v>
      </c>
    </row>
    <row r="182" spans="1:17" ht="15" customHeight="1" x14ac:dyDescent="0.35">
      <c r="A182" t="s">
        <v>429</v>
      </c>
      <c r="B182">
        <v>55</v>
      </c>
      <c r="C182" t="s">
        <v>674</v>
      </c>
      <c r="D182" t="s">
        <v>421</v>
      </c>
      <c r="E182" t="s">
        <v>25</v>
      </c>
      <c r="F182" t="s">
        <v>34</v>
      </c>
      <c r="G182">
        <v>5132</v>
      </c>
      <c r="H182">
        <v>1024</v>
      </c>
      <c r="I182">
        <v>182</v>
      </c>
      <c r="J182">
        <v>0</v>
      </c>
      <c r="K182">
        <v>8.0199999999999998E-4</v>
      </c>
      <c r="L182">
        <v>2.9929480000000002</v>
      </c>
      <c r="M182" t="s">
        <v>27</v>
      </c>
      <c r="N182" t="s">
        <v>28</v>
      </c>
      <c r="O182" t="s">
        <v>471</v>
      </c>
      <c r="P182" t="s">
        <v>472</v>
      </c>
      <c r="Q182" t="s">
        <v>473</v>
      </c>
    </row>
    <row r="183" spans="1:17" ht="15" customHeight="1" x14ac:dyDescent="0.35">
      <c r="A183" t="s">
        <v>429</v>
      </c>
      <c r="B183">
        <v>56</v>
      </c>
      <c r="C183" t="s">
        <v>674</v>
      </c>
      <c r="D183" t="s">
        <v>421</v>
      </c>
      <c r="E183" t="s">
        <v>25</v>
      </c>
      <c r="F183" t="s">
        <v>62</v>
      </c>
      <c r="G183">
        <v>442</v>
      </c>
      <c r="H183">
        <v>0</v>
      </c>
      <c r="I183">
        <v>0</v>
      </c>
      <c r="J183">
        <v>0</v>
      </c>
      <c r="K183">
        <v>9.0000000000000002E-6</v>
      </c>
      <c r="L183">
        <v>0.24613099999999999</v>
      </c>
      <c r="M183" t="s">
        <v>27</v>
      </c>
      <c r="N183" t="s">
        <v>63</v>
      </c>
      <c r="O183" t="s">
        <v>471</v>
      </c>
      <c r="P183" t="s">
        <v>472</v>
      </c>
      <c r="Q183" t="s">
        <v>473</v>
      </c>
    </row>
    <row r="184" spans="1:17" ht="15" customHeight="1" x14ac:dyDescent="0.35">
      <c r="A184" t="s">
        <v>429</v>
      </c>
      <c r="B184">
        <v>57</v>
      </c>
      <c r="C184" t="s">
        <v>675</v>
      </c>
      <c r="D184" t="s">
        <v>421</v>
      </c>
      <c r="E184" t="s">
        <v>25</v>
      </c>
      <c r="F184" t="s">
        <v>34</v>
      </c>
      <c r="G184">
        <v>5504</v>
      </c>
      <c r="H184">
        <v>0</v>
      </c>
      <c r="I184">
        <v>377</v>
      </c>
      <c r="J184">
        <v>0</v>
      </c>
      <c r="K184">
        <v>1.052E-3</v>
      </c>
      <c r="L184">
        <v>5.2151050000000003</v>
      </c>
      <c r="M184" t="s">
        <v>27</v>
      </c>
      <c r="N184" t="s">
        <v>28</v>
      </c>
      <c r="O184" t="s">
        <v>471</v>
      </c>
      <c r="P184" t="s">
        <v>472</v>
      </c>
      <c r="Q184" t="s">
        <v>473</v>
      </c>
    </row>
    <row r="185" spans="1:17" ht="15" customHeight="1" x14ac:dyDescent="0.35">
      <c r="A185" t="s">
        <v>429</v>
      </c>
      <c r="B185">
        <v>58</v>
      </c>
      <c r="C185" t="s">
        <v>676</v>
      </c>
      <c r="D185" t="s">
        <v>421</v>
      </c>
      <c r="E185" t="s">
        <v>25</v>
      </c>
      <c r="F185" t="s">
        <v>62</v>
      </c>
      <c r="G185">
        <v>74</v>
      </c>
      <c r="H185">
        <v>0</v>
      </c>
      <c r="I185">
        <v>0</v>
      </c>
      <c r="J185">
        <v>0</v>
      </c>
      <c r="K185">
        <v>9.9999999999999995E-7</v>
      </c>
      <c r="L185">
        <v>0.504915</v>
      </c>
      <c r="M185" t="s">
        <v>27</v>
      </c>
      <c r="N185" t="s">
        <v>63</v>
      </c>
      <c r="O185" t="s">
        <v>471</v>
      </c>
      <c r="P185" t="s">
        <v>472</v>
      </c>
      <c r="Q185" t="s">
        <v>473</v>
      </c>
    </row>
    <row r="186" spans="1:17" ht="15" customHeight="1" x14ac:dyDescent="0.35">
      <c r="A186" t="s">
        <v>429</v>
      </c>
      <c r="B186">
        <v>59</v>
      </c>
      <c r="C186" t="s">
        <v>677</v>
      </c>
      <c r="D186" t="s">
        <v>421</v>
      </c>
      <c r="E186" t="s">
        <v>25</v>
      </c>
      <c r="F186" t="s">
        <v>34</v>
      </c>
      <c r="G186">
        <v>5099</v>
      </c>
      <c r="H186">
        <v>2176</v>
      </c>
      <c r="I186">
        <v>299</v>
      </c>
      <c r="J186">
        <v>0</v>
      </c>
      <c r="K186">
        <v>7.8100000000000001E-4</v>
      </c>
      <c r="L186">
        <v>3.076705</v>
      </c>
      <c r="M186" t="s">
        <v>27</v>
      </c>
      <c r="N186" t="s">
        <v>28</v>
      </c>
      <c r="O186" t="s">
        <v>471</v>
      </c>
      <c r="P186" t="s">
        <v>472</v>
      </c>
      <c r="Q186" t="s">
        <v>473</v>
      </c>
    </row>
    <row r="187" spans="1:17" ht="15" customHeight="1" x14ac:dyDescent="0.35">
      <c r="A187" t="s">
        <v>429</v>
      </c>
      <c r="B187">
        <v>60</v>
      </c>
      <c r="C187" t="s">
        <v>677</v>
      </c>
      <c r="D187" t="s">
        <v>421</v>
      </c>
      <c r="E187" t="s">
        <v>25</v>
      </c>
      <c r="F187" t="s">
        <v>62</v>
      </c>
      <c r="G187">
        <v>83</v>
      </c>
      <c r="H187">
        <v>0</v>
      </c>
      <c r="I187">
        <v>0</v>
      </c>
      <c r="J187">
        <v>0</v>
      </c>
      <c r="K187">
        <v>1.9999999999999999E-6</v>
      </c>
      <c r="L187">
        <v>0.27065800000000001</v>
      </c>
      <c r="M187" t="s">
        <v>27</v>
      </c>
      <c r="N187" t="s">
        <v>63</v>
      </c>
      <c r="O187" t="s">
        <v>471</v>
      </c>
      <c r="P187" t="s">
        <v>472</v>
      </c>
      <c r="Q187" t="s">
        <v>473</v>
      </c>
    </row>
    <row r="188" spans="1:17" ht="15" customHeight="1" x14ac:dyDescent="0.35">
      <c r="A188" t="s">
        <v>429</v>
      </c>
      <c r="B188">
        <v>61</v>
      </c>
      <c r="C188" t="s">
        <v>678</v>
      </c>
      <c r="D188" t="s">
        <v>421</v>
      </c>
      <c r="E188" t="s">
        <v>25</v>
      </c>
      <c r="F188" t="s">
        <v>34</v>
      </c>
      <c r="G188">
        <v>5109</v>
      </c>
      <c r="H188">
        <v>1920</v>
      </c>
      <c r="I188">
        <v>251</v>
      </c>
      <c r="J188">
        <v>0</v>
      </c>
      <c r="K188">
        <v>7.7300000000000003E-4</v>
      </c>
      <c r="L188">
        <v>3.0486409999999999</v>
      </c>
      <c r="M188" t="s">
        <v>27</v>
      </c>
      <c r="N188" t="s">
        <v>28</v>
      </c>
      <c r="O188" t="s">
        <v>471</v>
      </c>
      <c r="P188" t="s">
        <v>472</v>
      </c>
      <c r="Q188" t="s">
        <v>473</v>
      </c>
    </row>
    <row r="189" spans="1:17" ht="15" customHeight="1" x14ac:dyDescent="0.35">
      <c r="A189" t="s">
        <v>429</v>
      </c>
      <c r="B189">
        <v>62</v>
      </c>
      <c r="C189" t="s">
        <v>678</v>
      </c>
      <c r="D189" t="s">
        <v>421</v>
      </c>
      <c r="E189" t="s">
        <v>25</v>
      </c>
      <c r="F189" t="s">
        <v>62</v>
      </c>
      <c r="G189">
        <v>74</v>
      </c>
      <c r="H189">
        <v>0</v>
      </c>
      <c r="I189">
        <v>0</v>
      </c>
      <c r="J189">
        <v>0</v>
      </c>
      <c r="K189">
        <v>9.9999999999999995E-7</v>
      </c>
      <c r="L189">
        <v>0.30544100000000002</v>
      </c>
      <c r="M189" t="s">
        <v>27</v>
      </c>
      <c r="N189" t="s">
        <v>63</v>
      </c>
      <c r="O189" t="s">
        <v>471</v>
      </c>
      <c r="P189" t="s">
        <v>472</v>
      </c>
      <c r="Q189" t="s">
        <v>473</v>
      </c>
    </row>
    <row r="190" spans="1:17" ht="15" customHeight="1" x14ac:dyDescent="0.35">
      <c r="A190" t="s">
        <v>429</v>
      </c>
      <c r="B190">
        <v>63</v>
      </c>
      <c r="C190" t="s">
        <v>679</v>
      </c>
      <c r="D190" t="s">
        <v>421</v>
      </c>
      <c r="E190" t="s">
        <v>25</v>
      </c>
      <c r="F190" t="s">
        <v>34</v>
      </c>
      <c r="G190">
        <v>5113</v>
      </c>
      <c r="H190">
        <v>1920</v>
      </c>
      <c r="I190">
        <v>297</v>
      </c>
      <c r="J190">
        <v>0</v>
      </c>
      <c r="K190">
        <v>8.0099999999999995E-4</v>
      </c>
      <c r="L190">
        <v>3.430075</v>
      </c>
      <c r="M190" t="s">
        <v>27</v>
      </c>
      <c r="N190" t="s">
        <v>28</v>
      </c>
      <c r="O190" t="s">
        <v>471</v>
      </c>
      <c r="P190" t="s">
        <v>472</v>
      </c>
      <c r="Q190" t="s">
        <v>473</v>
      </c>
    </row>
    <row r="191" spans="1:17" ht="15" customHeight="1" x14ac:dyDescent="0.35">
      <c r="A191" t="s">
        <v>432</v>
      </c>
      <c r="B191">
        <v>1</v>
      </c>
      <c r="C191" t="s">
        <v>680</v>
      </c>
      <c r="D191" t="s">
        <v>24</v>
      </c>
      <c r="E191" t="s">
        <v>25</v>
      </c>
      <c r="F191" t="s">
        <v>26</v>
      </c>
      <c r="G191">
        <v>1171</v>
      </c>
      <c r="H191">
        <v>1024</v>
      </c>
      <c r="I191">
        <v>46</v>
      </c>
      <c r="J191">
        <v>0</v>
      </c>
      <c r="K191">
        <v>2.1069999999999999E-3</v>
      </c>
      <c r="L191">
        <v>2.0818210000000001</v>
      </c>
      <c r="M191" t="s">
        <v>27</v>
      </c>
      <c r="N191" t="s">
        <v>28</v>
      </c>
      <c r="O191" t="s">
        <v>29</v>
      </c>
      <c r="P191" t="s">
        <v>30</v>
      </c>
      <c r="Q191" t="s">
        <v>31</v>
      </c>
    </row>
    <row r="192" spans="1:17" ht="15" customHeight="1" x14ac:dyDescent="0.35">
      <c r="A192" t="s">
        <v>432</v>
      </c>
      <c r="B192">
        <v>2</v>
      </c>
      <c r="C192" t="s">
        <v>681</v>
      </c>
      <c r="D192" t="s">
        <v>421</v>
      </c>
      <c r="E192" t="s">
        <v>25</v>
      </c>
      <c r="F192" t="s">
        <v>34</v>
      </c>
      <c r="G192">
        <v>1581</v>
      </c>
      <c r="H192">
        <v>1024</v>
      </c>
      <c r="I192">
        <v>45</v>
      </c>
      <c r="J192">
        <v>0</v>
      </c>
      <c r="K192">
        <v>1.8699999999999999E-4</v>
      </c>
      <c r="L192">
        <v>1.5190619999999999</v>
      </c>
      <c r="M192" t="s">
        <v>27</v>
      </c>
      <c r="N192" t="s">
        <v>28</v>
      </c>
      <c r="O192" t="s">
        <v>463</v>
      </c>
      <c r="P192" t="s">
        <v>464</v>
      </c>
      <c r="Q192" t="s">
        <v>465</v>
      </c>
    </row>
    <row r="193" spans="1:17" ht="15" customHeight="1" x14ac:dyDescent="0.35">
      <c r="A193" t="s">
        <v>432</v>
      </c>
      <c r="B193">
        <v>3</v>
      </c>
      <c r="C193" t="s">
        <v>682</v>
      </c>
      <c r="D193" t="s">
        <v>421</v>
      </c>
      <c r="E193" t="s">
        <v>25</v>
      </c>
      <c r="F193" t="s">
        <v>26</v>
      </c>
      <c r="G193">
        <v>516</v>
      </c>
      <c r="H193">
        <v>0</v>
      </c>
      <c r="I193">
        <v>33</v>
      </c>
      <c r="J193">
        <v>0</v>
      </c>
      <c r="K193">
        <v>1.6199999999999999E-3</v>
      </c>
      <c r="L193">
        <v>1.5841259999999999</v>
      </c>
      <c r="M193" t="s">
        <v>27</v>
      </c>
      <c r="N193" t="s">
        <v>28</v>
      </c>
      <c r="O193" t="s">
        <v>467</v>
      </c>
      <c r="P193" t="s">
        <v>468</v>
      </c>
      <c r="Q193" t="s">
        <v>469</v>
      </c>
    </row>
    <row r="194" spans="1:17" ht="15" customHeight="1" x14ac:dyDescent="0.35">
      <c r="A194" t="s">
        <v>432</v>
      </c>
      <c r="B194">
        <v>4</v>
      </c>
      <c r="C194" t="s">
        <v>683</v>
      </c>
      <c r="D194" t="s">
        <v>421</v>
      </c>
      <c r="E194" t="s">
        <v>25</v>
      </c>
      <c r="F194" t="s">
        <v>62</v>
      </c>
      <c r="G194">
        <v>36</v>
      </c>
      <c r="H194">
        <v>0</v>
      </c>
      <c r="I194">
        <v>0</v>
      </c>
      <c r="J194">
        <v>0</v>
      </c>
      <c r="K194">
        <v>9.9999999999999995E-7</v>
      </c>
      <c r="L194">
        <v>0.70651200000000003</v>
      </c>
      <c r="M194" t="s">
        <v>27</v>
      </c>
      <c r="N194" t="s">
        <v>63</v>
      </c>
      <c r="O194" t="s">
        <v>471</v>
      </c>
      <c r="P194" t="s">
        <v>472</v>
      </c>
      <c r="Q194" t="s">
        <v>473</v>
      </c>
    </row>
    <row r="195" spans="1:17" ht="15" customHeight="1" x14ac:dyDescent="0.35">
      <c r="A195" t="s">
        <v>432</v>
      </c>
      <c r="B195">
        <v>5</v>
      </c>
      <c r="C195" t="s">
        <v>684</v>
      </c>
      <c r="D195" t="s">
        <v>421</v>
      </c>
      <c r="E195" t="s">
        <v>25</v>
      </c>
      <c r="F195" t="s">
        <v>34</v>
      </c>
      <c r="G195">
        <v>1845</v>
      </c>
      <c r="H195">
        <v>0</v>
      </c>
      <c r="I195">
        <v>11</v>
      </c>
      <c r="J195">
        <v>0</v>
      </c>
      <c r="K195">
        <v>2.8299999999999999E-4</v>
      </c>
      <c r="L195">
        <v>1.3912169999999999</v>
      </c>
      <c r="M195" t="s">
        <v>27</v>
      </c>
      <c r="N195" t="s">
        <v>28</v>
      </c>
      <c r="O195" t="s">
        <v>471</v>
      </c>
      <c r="P195" t="s">
        <v>472</v>
      </c>
      <c r="Q195" t="s">
        <v>473</v>
      </c>
    </row>
    <row r="196" spans="1:17" ht="15" customHeight="1" x14ac:dyDescent="0.35">
      <c r="A196" t="s">
        <v>432</v>
      </c>
      <c r="B196">
        <v>6</v>
      </c>
      <c r="C196" t="s">
        <v>684</v>
      </c>
      <c r="D196" t="s">
        <v>421</v>
      </c>
      <c r="E196" t="s">
        <v>25</v>
      </c>
      <c r="F196" t="s">
        <v>62</v>
      </c>
      <c r="G196">
        <v>99</v>
      </c>
      <c r="H196">
        <v>0</v>
      </c>
      <c r="I196">
        <v>0</v>
      </c>
      <c r="J196">
        <v>0</v>
      </c>
      <c r="K196">
        <v>1.9999999999999999E-6</v>
      </c>
      <c r="L196">
        <v>0.274036</v>
      </c>
      <c r="M196" t="s">
        <v>27</v>
      </c>
      <c r="N196" t="s">
        <v>63</v>
      </c>
      <c r="O196" t="s">
        <v>471</v>
      </c>
      <c r="P196" t="s">
        <v>472</v>
      </c>
      <c r="Q196" t="s">
        <v>473</v>
      </c>
    </row>
    <row r="197" spans="1:17" ht="15" customHeight="1" x14ac:dyDescent="0.35">
      <c r="A197" t="s">
        <v>432</v>
      </c>
      <c r="B197">
        <v>7</v>
      </c>
      <c r="C197" t="s">
        <v>685</v>
      </c>
      <c r="D197" t="s">
        <v>421</v>
      </c>
      <c r="E197" t="s">
        <v>25</v>
      </c>
      <c r="F197" t="s">
        <v>34</v>
      </c>
      <c r="G197">
        <v>1908</v>
      </c>
      <c r="H197">
        <v>1664</v>
      </c>
      <c r="I197">
        <v>165</v>
      </c>
      <c r="J197">
        <v>0</v>
      </c>
      <c r="K197">
        <v>2.5999999999999998E-4</v>
      </c>
      <c r="L197">
        <v>2.226658</v>
      </c>
      <c r="M197" t="s">
        <v>27</v>
      </c>
      <c r="N197" t="s">
        <v>28</v>
      </c>
      <c r="O197" t="s">
        <v>471</v>
      </c>
      <c r="P197" t="s">
        <v>472</v>
      </c>
      <c r="Q197" t="s">
        <v>473</v>
      </c>
    </row>
    <row r="198" spans="1:17" ht="15" customHeight="1" x14ac:dyDescent="0.35">
      <c r="A198" t="s">
        <v>432</v>
      </c>
      <c r="B198">
        <v>8</v>
      </c>
      <c r="C198" t="s">
        <v>685</v>
      </c>
      <c r="D198" t="s">
        <v>421</v>
      </c>
      <c r="E198" t="s">
        <v>25</v>
      </c>
      <c r="F198" t="s">
        <v>62</v>
      </c>
      <c r="G198">
        <v>442</v>
      </c>
      <c r="H198">
        <v>0</v>
      </c>
      <c r="I198">
        <v>0</v>
      </c>
      <c r="J198">
        <v>0</v>
      </c>
      <c r="K198">
        <v>9.0000000000000002E-6</v>
      </c>
      <c r="L198">
        <v>0.33338800000000002</v>
      </c>
      <c r="M198" t="s">
        <v>27</v>
      </c>
      <c r="N198" t="s">
        <v>63</v>
      </c>
      <c r="O198" t="s">
        <v>471</v>
      </c>
      <c r="P198" t="s">
        <v>472</v>
      </c>
      <c r="Q198" t="s">
        <v>473</v>
      </c>
    </row>
    <row r="199" spans="1:17" ht="15" customHeight="1" x14ac:dyDescent="0.35">
      <c r="A199" t="s">
        <v>432</v>
      </c>
      <c r="B199">
        <v>9</v>
      </c>
      <c r="C199" t="s">
        <v>686</v>
      </c>
      <c r="D199" t="s">
        <v>421</v>
      </c>
      <c r="E199" t="s">
        <v>25</v>
      </c>
      <c r="F199" t="s">
        <v>34</v>
      </c>
      <c r="G199">
        <v>2288</v>
      </c>
      <c r="H199">
        <v>1664</v>
      </c>
      <c r="I199">
        <v>309</v>
      </c>
      <c r="J199">
        <v>0</v>
      </c>
      <c r="K199">
        <v>4.0400000000000001E-4</v>
      </c>
      <c r="L199">
        <v>3.485274</v>
      </c>
      <c r="M199" t="s">
        <v>27</v>
      </c>
      <c r="N199" t="s">
        <v>28</v>
      </c>
      <c r="O199" t="s">
        <v>471</v>
      </c>
      <c r="P199" t="s">
        <v>472</v>
      </c>
      <c r="Q199" t="s">
        <v>473</v>
      </c>
    </row>
    <row r="200" spans="1:17" ht="15" customHeight="1" x14ac:dyDescent="0.35">
      <c r="A200" t="s">
        <v>432</v>
      </c>
      <c r="B200">
        <v>10</v>
      </c>
      <c r="C200" t="s">
        <v>686</v>
      </c>
      <c r="D200" t="s">
        <v>421</v>
      </c>
      <c r="E200" t="s">
        <v>25</v>
      </c>
      <c r="F200" t="s">
        <v>62</v>
      </c>
      <c r="G200">
        <v>74</v>
      </c>
      <c r="H200">
        <v>0</v>
      </c>
      <c r="I200">
        <v>0</v>
      </c>
      <c r="J200">
        <v>0</v>
      </c>
      <c r="K200">
        <v>9.9999999999999995E-7</v>
      </c>
      <c r="L200">
        <v>0.203011</v>
      </c>
      <c r="M200" t="s">
        <v>27</v>
      </c>
      <c r="N200" t="s">
        <v>63</v>
      </c>
      <c r="O200" t="s">
        <v>471</v>
      </c>
      <c r="P200" t="s">
        <v>472</v>
      </c>
      <c r="Q200" t="s">
        <v>473</v>
      </c>
    </row>
    <row r="201" spans="1:17" ht="15" customHeight="1" x14ac:dyDescent="0.35">
      <c r="A201" t="s">
        <v>432</v>
      </c>
      <c r="B201">
        <v>11</v>
      </c>
      <c r="C201" t="s">
        <v>687</v>
      </c>
      <c r="D201" t="s">
        <v>421</v>
      </c>
      <c r="E201" t="s">
        <v>25</v>
      </c>
      <c r="F201" t="s">
        <v>34</v>
      </c>
      <c r="G201">
        <v>1883</v>
      </c>
      <c r="H201">
        <v>1024</v>
      </c>
      <c r="I201">
        <v>298</v>
      </c>
      <c r="J201">
        <v>0</v>
      </c>
      <c r="K201">
        <v>3.8400000000000001E-4</v>
      </c>
      <c r="L201">
        <v>3.1122770000000002</v>
      </c>
      <c r="M201" t="s">
        <v>27</v>
      </c>
      <c r="N201" t="s">
        <v>28</v>
      </c>
      <c r="O201" t="s">
        <v>471</v>
      </c>
      <c r="P201" t="s">
        <v>472</v>
      </c>
      <c r="Q201" t="s">
        <v>473</v>
      </c>
    </row>
    <row r="202" spans="1:17" ht="15" customHeight="1" x14ac:dyDescent="0.35">
      <c r="A202" t="s">
        <v>432</v>
      </c>
      <c r="B202">
        <v>12</v>
      </c>
      <c r="C202" t="s">
        <v>687</v>
      </c>
      <c r="D202" t="s">
        <v>421</v>
      </c>
      <c r="E202" t="s">
        <v>25</v>
      </c>
      <c r="F202" t="s">
        <v>62</v>
      </c>
      <c r="G202">
        <v>83</v>
      </c>
      <c r="H202">
        <v>0</v>
      </c>
      <c r="I202">
        <v>0</v>
      </c>
      <c r="J202">
        <v>0</v>
      </c>
      <c r="K202">
        <v>1.9999999999999999E-6</v>
      </c>
      <c r="L202">
        <v>0.20757200000000001</v>
      </c>
      <c r="M202" t="s">
        <v>27</v>
      </c>
      <c r="N202" t="s">
        <v>63</v>
      </c>
      <c r="O202" t="s">
        <v>471</v>
      </c>
      <c r="P202" t="s">
        <v>472</v>
      </c>
      <c r="Q202" t="s">
        <v>473</v>
      </c>
    </row>
    <row r="203" spans="1:17" ht="15" customHeight="1" x14ac:dyDescent="0.35">
      <c r="A203" t="s">
        <v>432</v>
      </c>
      <c r="B203">
        <v>13</v>
      </c>
      <c r="C203" t="s">
        <v>688</v>
      </c>
      <c r="D203" t="s">
        <v>421</v>
      </c>
      <c r="E203" t="s">
        <v>25</v>
      </c>
      <c r="F203" t="s">
        <v>34</v>
      </c>
      <c r="G203">
        <v>1893</v>
      </c>
      <c r="H203">
        <v>1792</v>
      </c>
      <c r="I203">
        <v>325</v>
      </c>
      <c r="J203">
        <v>0</v>
      </c>
      <c r="K203">
        <v>3.4499999999999998E-4</v>
      </c>
      <c r="L203">
        <v>3.6290909999999998</v>
      </c>
      <c r="M203" t="s">
        <v>27</v>
      </c>
      <c r="N203" t="s">
        <v>28</v>
      </c>
      <c r="O203" t="s">
        <v>471</v>
      </c>
      <c r="P203" t="s">
        <v>472</v>
      </c>
      <c r="Q203" t="s">
        <v>473</v>
      </c>
    </row>
    <row r="204" spans="1:17" ht="15" customHeight="1" x14ac:dyDescent="0.35">
      <c r="A204" t="s">
        <v>432</v>
      </c>
      <c r="B204">
        <v>14</v>
      </c>
      <c r="C204" t="s">
        <v>688</v>
      </c>
      <c r="D204" t="s">
        <v>421</v>
      </c>
      <c r="E204" t="s">
        <v>25</v>
      </c>
      <c r="F204" t="s">
        <v>62</v>
      </c>
      <c r="G204">
        <v>74</v>
      </c>
      <c r="H204">
        <v>0</v>
      </c>
      <c r="I204">
        <v>0</v>
      </c>
      <c r="J204">
        <v>0</v>
      </c>
      <c r="K204">
        <v>9.9999999999999995E-7</v>
      </c>
      <c r="L204">
        <v>0.298628</v>
      </c>
      <c r="M204" t="s">
        <v>27</v>
      </c>
      <c r="N204" t="s">
        <v>63</v>
      </c>
      <c r="O204" t="s">
        <v>471</v>
      </c>
      <c r="P204" t="s">
        <v>472</v>
      </c>
      <c r="Q204" t="s">
        <v>473</v>
      </c>
    </row>
    <row r="205" spans="1:17" ht="15" customHeight="1" x14ac:dyDescent="0.35">
      <c r="A205" t="s">
        <v>432</v>
      </c>
      <c r="B205">
        <v>15</v>
      </c>
      <c r="C205" t="s">
        <v>689</v>
      </c>
      <c r="D205" t="s">
        <v>421</v>
      </c>
      <c r="E205" t="s">
        <v>25</v>
      </c>
      <c r="F205" t="s">
        <v>34</v>
      </c>
      <c r="G205">
        <v>1883</v>
      </c>
      <c r="H205">
        <v>1664</v>
      </c>
      <c r="I205">
        <v>291</v>
      </c>
      <c r="J205">
        <v>0</v>
      </c>
      <c r="K205">
        <v>3.3199999999999999E-4</v>
      </c>
      <c r="L205">
        <v>3.4189769999999999</v>
      </c>
      <c r="M205" t="s">
        <v>27</v>
      </c>
      <c r="N205" t="s">
        <v>28</v>
      </c>
      <c r="O205" t="s">
        <v>471</v>
      </c>
      <c r="P205" t="s">
        <v>472</v>
      </c>
      <c r="Q205" t="s">
        <v>473</v>
      </c>
    </row>
    <row r="206" spans="1:17" ht="15" customHeight="1" x14ac:dyDescent="0.35">
      <c r="A206" t="s">
        <v>432</v>
      </c>
      <c r="B206">
        <v>16</v>
      </c>
      <c r="C206" t="s">
        <v>689</v>
      </c>
      <c r="D206" t="s">
        <v>421</v>
      </c>
      <c r="E206" t="s">
        <v>25</v>
      </c>
      <c r="F206" t="s">
        <v>62</v>
      </c>
      <c r="G206">
        <v>36</v>
      </c>
      <c r="H206">
        <v>0</v>
      </c>
      <c r="I206">
        <v>0</v>
      </c>
      <c r="J206">
        <v>0</v>
      </c>
      <c r="K206">
        <v>9.9999999999999995E-7</v>
      </c>
      <c r="L206">
        <v>0.71892699999999998</v>
      </c>
      <c r="M206" t="s">
        <v>27</v>
      </c>
      <c r="N206" t="s">
        <v>63</v>
      </c>
      <c r="O206" t="s">
        <v>471</v>
      </c>
      <c r="P206" t="s">
        <v>472</v>
      </c>
      <c r="Q206" t="s">
        <v>473</v>
      </c>
    </row>
    <row r="207" spans="1:17" ht="15" customHeight="1" x14ac:dyDescent="0.35">
      <c r="A207" t="s">
        <v>432</v>
      </c>
      <c r="B207">
        <v>17</v>
      </c>
      <c r="C207" t="s">
        <v>690</v>
      </c>
      <c r="D207" t="s">
        <v>421</v>
      </c>
      <c r="E207" t="s">
        <v>25</v>
      </c>
      <c r="F207" t="s">
        <v>34</v>
      </c>
      <c r="G207">
        <v>2369</v>
      </c>
      <c r="H207">
        <v>2304</v>
      </c>
      <c r="I207">
        <v>10</v>
      </c>
      <c r="J207">
        <v>0</v>
      </c>
      <c r="K207">
        <v>1.8900000000000001E-4</v>
      </c>
      <c r="L207">
        <v>1.7469730000000001</v>
      </c>
      <c r="M207" t="s">
        <v>27</v>
      </c>
      <c r="N207" t="s">
        <v>28</v>
      </c>
      <c r="O207" t="s">
        <v>471</v>
      </c>
      <c r="P207" t="s">
        <v>472</v>
      </c>
      <c r="Q207" t="s">
        <v>473</v>
      </c>
    </row>
    <row r="208" spans="1:17" ht="15" customHeight="1" x14ac:dyDescent="0.35">
      <c r="A208" t="s">
        <v>432</v>
      </c>
      <c r="B208">
        <v>18</v>
      </c>
      <c r="C208" t="s">
        <v>690</v>
      </c>
      <c r="D208" t="s">
        <v>421</v>
      </c>
      <c r="E208" t="s">
        <v>25</v>
      </c>
      <c r="F208" t="s">
        <v>62</v>
      </c>
      <c r="G208">
        <v>99</v>
      </c>
      <c r="H208">
        <v>0</v>
      </c>
      <c r="I208">
        <v>0</v>
      </c>
      <c r="J208">
        <v>0</v>
      </c>
      <c r="K208">
        <v>1.9999999999999999E-6</v>
      </c>
      <c r="L208">
        <v>0.299738</v>
      </c>
      <c r="M208" t="s">
        <v>27</v>
      </c>
      <c r="N208" t="s">
        <v>63</v>
      </c>
      <c r="O208" t="s">
        <v>471</v>
      </c>
      <c r="P208" t="s">
        <v>472</v>
      </c>
      <c r="Q208" t="s">
        <v>473</v>
      </c>
    </row>
    <row r="209" spans="1:17" ht="15" customHeight="1" x14ac:dyDescent="0.35">
      <c r="A209" t="s">
        <v>432</v>
      </c>
      <c r="B209">
        <v>19</v>
      </c>
      <c r="C209" t="s">
        <v>691</v>
      </c>
      <c r="D209" t="s">
        <v>421</v>
      </c>
      <c r="E209" t="s">
        <v>25</v>
      </c>
      <c r="F209" t="s">
        <v>34</v>
      </c>
      <c r="G209">
        <v>2774</v>
      </c>
      <c r="H209">
        <v>0</v>
      </c>
      <c r="I209">
        <v>201</v>
      </c>
      <c r="J209">
        <v>0</v>
      </c>
      <c r="K209">
        <v>5.3700000000000004E-4</v>
      </c>
      <c r="L209">
        <v>2.9756170000000002</v>
      </c>
      <c r="M209" t="s">
        <v>27</v>
      </c>
      <c r="N209" t="s">
        <v>28</v>
      </c>
      <c r="O209" t="s">
        <v>471</v>
      </c>
      <c r="P209" t="s">
        <v>472</v>
      </c>
      <c r="Q209" t="s">
        <v>473</v>
      </c>
    </row>
    <row r="210" spans="1:17" ht="15" customHeight="1" x14ac:dyDescent="0.35">
      <c r="A210" t="s">
        <v>432</v>
      </c>
      <c r="B210">
        <v>20</v>
      </c>
      <c r="C210" t="s">
        <v>691</v>
      </c>
      <c r="D210" t="s">
        <v>421</v>
      </c>
      <c r="E210" t="s">
        <v>25</v>
      </c>
      <c r="F210" t="s">
        <v>62</v>
      </c>
      <c r="G210">
        <v>442</v>
      </c>
      <c r="H210">
        <v>0</v>
      </c>
      <c r="I210">
        <v>0</v>
      </c>
      <c r="J210">
        <v>0</v>
      </c>
      <c r="K210">
        <v>9.0000000000000002E-6</v>
      </c>
      <c r="L210">
        <v>0.30352499999999999</v>
      </c>
      <c r="M210" t="s">
        <v>27</v>
      </c>
      <c r="N210" t="s">
        <v>63</v>
      </c>
      <c r="O210" t="s">
        <v>471</v>
      </c>
      <c r="P210" t="s">
        <v>472</v>
      </c>
      <c r="Q210" t="s">
        <v>473</v>
      </c>
    </row>
    <row r="211" spans="1:17" ht="15" customHeight="1" x14ac:dyDescent="0.35">
      <c r="A211" t="s">
        <v>432</v>
      </c>
      <c r="B211">
        <v>21</v>
      </c>
      <c r="C211" t="s">
        <v>692</v>
      </c>
      <c r="D211" t="s">
        <v>421</v>
      </c>
      <c r="E211" t="s">
        <v>25</v>
      </c>
      <c r="F211" t="s">
        <v>34</v>
      </c>
      <c r="G211">
        <v>3914</v>
      </c>
      <c r="H211">
        <v>3840</v>
      </c>
      <c r="I211">
        <v>323</v>
      </c>
      <c r="J211">
        <v>0</v>
      </c>
      <c r="K211">
        <v>4.9299999999999995E-4</v>
      </c>
      <c r="L211">
        <v>3.7007289999999999</v>
      </c>
      <c r="M211" t="s">
        <v>27</v>
      </c>
      <c r="N211" t="s">
        <v>28</v>
      </c>
      <c r="O211" t="s">
        <v>471</v>
      </c>
      <c r="P211" t="s">
        <v>472</v>
      </c>
      <c r="Q211" t="s">
        <v>473</v>
      </c>
    </row>
    <row r="212" spans="1:17" ht="15" customHeight="1" x14ac:dyDescent="0.35">
      <c r="A212" t="s">
        <v>432</v>
      </c>
      <c r="B212">
        <v>22</v>
      </c>
      <c r="C212" t="s">
        <v>693</v>
      </c>
      <c r="D212" t="s">
        <v>421</v>
      </c>
      <c r="E212" t="s">
        <v>25</v>
      </c>
      <c r="F212" t="s">
        <v>62</v>
      </c>
      <c r="G212">
        <v>74</v>
      </c>
      <c r="H212">
        <v>0</v>
      </c>
      <c r="I212">
        <v>0</v>
      </c>
      <c r="J212">
        <v>0</v>
      </c>
      <c r="K212">
        <v>9.9999999999999995E-7</v>
      </c>
      <c r="L212">
        <v>0.29913899999999999</v>
      </c>
      <c r="M212" t="s">
        <v>27</v>
      </c>
      <c r="N212" t="s">
        <v>63</v>
      </c>
      <c r="O212" t="s">
        <v>471</v>
      </c>
      <c r="P212" t="s">
        <v>472</v>
      </c>
      <c r="Q212" t="s">
        <v>473</v>
      </c>
    </row>
    <row r="213" spans="1:17" ht="15" customHeight="1" x14ac:dyDescent="0.35">
      <c r="A213" t="s">
        <v>432</v>
      </c>
      <c r="B213">
        <v>23</v>
      </c>
      <c r="C213" t="s">
        <v>694</v>
      </c>
      <c r="D213" t="s">
        <v>421</v>
      </c>
      <c r="E213" t="s">
        <v>25</v>
      </c>
      <c r="F213" t="s">
        <v>34</v>
      </c>
      <c r="G213">
        <v>3920</v>
      </c>
      <c r="H213">
        <v>3840</v>
      </c>
      <c r="I213">
        <v>275</v>
      </c>
      <c r="J213">
        <v>0</v>
      </c>
      <c r="K213">
        <v>4.6500000000000003E-4</v>
      </c>
      <c r="L213">
        <v>2.7699699999999998</v>
      </c>
      <c r="M213" t="s">
        <v>27</v>
      </c>
      <c r="N213" t="s">
        <v>28</v>
      </c>
      <c r="O213" t="s">
        <v>471</v>
      </c>
      <c r="P213" t="s">
        <v>472</v>
      </c>
      <c r="Q213" t="s">
        <v>473</v>
      </c>
    </row>
    <row r="214" spans="1:17" ht="15" customHeight="1" x14ac:dyDescent="0.35">
      <c r="A214" t="s">
        <v>432</v>
      </c>
      <c r="B214">
        <v>24</v>
      </c>
      <c r="C214" t="s">
        <v>694</v>
      </c>
      <c r="D214" t="s">
        <v>421</v>
      </c>
      <c r="E214" t="s">
        <v>25</v>
      </c>
      <c r="F214" t="s">
        <v>62</v>
      </c>
      <c r="G214">
        <v>83</v>
      </c>
      <c r="H214">
        <v>0</v>
      </c>
      <c r="I214">
        <v>0</v>
      </c>
      <c r="J214">
        <v>0</v>
      </c>
      <c r="K214">
        <v>1.9999999999999999E-6</v>
      </c>
      <c r="L214">
        <v>0.29893599999999998</v>
      </c>
      <c r="M214" t="s">
        <v>27</v>
      </c>
      <c r="N214" t="s">
        <v>63</v>
      </c>
      <c r="O214" t="s">
        <v>471</v>
      </c>
      <c r="P214" t="s">
        <v>472</v>
      </c>
      <c r="Q214" t="s">
        <v>473</v>
      </c>
    </row>
    <row r="215" spans="1:17" ht="15" customHeight="1" x14ac:dyDescent="0.35">
      <c r="A215" t="s">
        <v>432</v>
      </c>
      <c r="B215">
        <v>25</v>
      </c>
      <c r="C215" t="s">
        <v>695</v>
      </c>
      <c r="D215" t="s">
        <v>421</v>
      </c>
      <c r="E215" t="s">
        <v>25</v>
      </c>
      <c r="F215" t="s">
        <v>34</v>
      </c>
      <c r="G215">
        <v>3973</v>
      </c>
      <c r="H215">
        <v>0</v>
      </c>
      <c r="I215">
        <v>260</v>
      </c>
      <c r="J215">
        <v>0</v>
      </c>
      <c r="K215">
        <v>7.5199999999999996E-4</v>
      </c>
      <c r="L215">
        <v>3.076883</v>
      </c>
      <c r="M215" t="s">
        <v>27</v>
      </c>
      <c r="N215" t="s">
        <v>28</v>
      </c>
      <c r="O215" t="s">
        <v>471</v>
      </c>
      <c r="P215" t="s">
        <v>472</v>
      </c>
      <c r="Q215" t="s">
        <v>473</v>
      </c>
    </row>
    <row r="216" spans="1:17" ht="15" customHeight="1" x14ac:dyDescent="0.35">
      <c r="A216" t="s">
        <v>432</v>
      </c>
      <c r="B216">
        <v>26</v>
      </c>
      <c r="C216" t="s">
        <v>696</v>
      </c>
      <c r="D216" t="s">
        <v>421</v>
      </c>
      <c r="E216" t="s">
        <v>25</v>
      </c>
      <c r="F216" t="s">
        <v>62</v>
      </c>
      <c r="G216">
        <v>74</v>
      </c>
      <c r="H216">
        <v>0</v>
      </c>
      <c r="I216">
        <v>0</v>
      </c>
      <c r="J216">
        <v>0</v>
      </c>
      <c r="K216">
        <v>9.9999999999999995E-7</v>
      </c>
      <c r="L216">
        <v>0.29453299999999999</v>
      </c>
      <c r="M216" t="s">
        <v>27</v>
      </c>
      <c r="N216" t="s">
        <v>63</v>
      </c>
      <c r="O216" t="s">
        <v>471</v>
      </c>
      <c r="P216" t="s">
        <v>472</v>
      </c>
      <c r="Q216" t="s">
        <v>473</v>
      </c>
    </row>
    <row r="217" spans="1:17" ht="15" customHeight="1" x14ac:dyDescent="0.35">
      <c r="A217" t="s">
        <v>432</v>
      </c>
      <c r="B217">
        <v>27</v>
      </c>
      <c r="C217" t="s">
        <v>697</v>
      </c>
      <c r="D217" t="s">
        <v>421</v>
      </c>
      <c r="E217" t="s">
        <v>25</v>
      </c>
      <c r="F217" t="s">
        <v>34</v>
      </c>
      <c r="G217">
        <v>2868</v>
      </c>
      <c r="H217">
        <v>0</v>
      </c>
      <c r="I217">
        <v>248</v>
      </c>
      <c r="J217">
        <v>0</v>
      </c>
      <c r="K217">
        <v>5.7899999999999998E-4</v>
      </c>
      <c r="L217">
        <v>2.9332180000000001</v>
      </c>
      <c r="M217" t="s">
        <v>27</v>
      </c>
      <c r="N217" t="s">
        <v>28</v>
      </c>
      <c r="O217" t="s">
        <v>471</v>
      </c>
      <c r="P217" t="s">
        <v>472</v>
      </c>
      <c r="Q217" t="s">
        <v>473</v>
      </c>
    </row>
    <row r="218" spans="1:17" ht="15" customHeight="1" x14ac:dyDescent="0.35">
      <c r="A218" t="s">
        <v>432</v>
      </c>
      <c r="B218">
        <v>28</v>
      </c>
      <c r="C218" t="s">
        <v>698</v>
      </c>
      <c r="D218" t="s">
        <v>421</v>
      </c>
      <c r="E218" t="s">
        <v>25</v>
      </c>
      <c r="F218" t="s">
        <v>62</v>
      </c>
      <c r="G218">
        <v>36</v>
      </c>
      <c r="H218">
        <v>0</v>
      </c>
      <c r="I218">
        <v>0</v>
      </c>
      <c r="J218">
        <v>0</v>
      </c>
      <c r="K218">
        <v>9.9999999999999995E-7</v>
      </c>
      <c r="L218">
        <v>0.52180400000000005</v>
      </c>
      <c r="M218" t="s">
        <v>27</v>
      </c>
      <c r="N218" t="s">
        <v>63</v>
      </c>
      <c r="O218" t="s">
        <v>471</v>
      </c>
      <c r="P218" t="s">
        <v>472</v>
      </c>
      <c r="Q218" t="s">
        <v>473</v>
      </c>
    </row>
    <row r="219" spans="1:17" ht="15" customHeight="1" x14ac:dyDescent="0.35">
      <c r="A219" t="s">
        <v>432</v>
      </c>
      <c r="B219">
        <v>29</v>
      </c>
      <c r="C219" t="s">
        <v>699</v>
      </c>
      <c r="D219" t="s">
        <v>421</v>
      </c>
      <c r="E219" t="s">
        <v>25</v>
      </c>
      <c r="F219" t="s">
        <v>34</v>
      </c>
      <c r="G219">
        <v>2538</v>
      </c>
      <c r="H219">
        <v>0</v>
      </c>
      <c r="I219">
        <v>15</v>
      </c>
      <c r="J219">
        <v>0</v>
      </c>
      <c r="K219">
        <v>3.8999999999999999E-4</v>
      </c>
      <c r="L219">
        <v>1.413516</v>
      </c>
      <c r="M219" t="s">
        <v>27</v>
      </c>
      <c r="N219" t="s">
        <v>28</v>
      </c>
      <c r="O219" t="s">
        <v>471</v>
      </c>
      <c r="P219" t="s">
        <v>472</v>
      </c>
      <c r="Q219" t="s">
        <v>473</v>
      </c>
    </row>
    <row r="220" spans="1:17" ht="15" customHeight="1" x14ac:dyDescent="0.35">
      <c r="A220" t="s">
        <v>432</v>
      </c>
      <c r="B220">
        <v>30</v>
      </c>
      <c r="C220" t="s">
        <v>699</v>
      </c>
      <c r="D220" t="s">
        <v>421</v>
      </c>
      <c r="E220" t="s">
        <v>25</v>
      </c>
      <c r="F220" t="s">
        <v>62</v>
      </c>
      <c r="G220">
        <v>99</v>
      </c>
      <c r="H220">
        <v>0</v>
      </c>
      <c r="I220">
        <v>0</v>
      </c>
      <c r="J220">
        <v>0</v>
      </c>
      <c r="K220">
        <v>1.9999999999999999E-6</v>
      </c>
      <c r="L220">
        <v>0.39557599999999998</v>
      </c>
      <c r="M220" t="s">
        <v>27</v>
      </c>
      <c r="N220" t="s">
        <v>63</v>
      </c>
      <c r="O220" t="s">
        <v>471</v>
      </c>
      <c r="P220" t="s">
        <v>472</v>
      </c>
      <c r="Q220" t="s">
        <v>473</v>
      </c>
    </row>
    <row r="221" spans="1:17" ht="15" customHeight="1" x14ac:dyDescent="0.35">
      <c r="A221" t="s">
        <v>432</v>
      </c>
      <c r="B221">
        <v>31</v>
      </c>
      <c r="C221" t="s">
        <v>700</v>
      </c>
      <c r="D221" t="s">
        <v>421</v>
      </c>
      <c r="E221" t="s">
        <v>25</v>
      </c>
      <c r="F221" t="s">
        <v>34</v>
      </c>
      <c r="G221">
        <v>3612</v>
      </c>
      <c r="H221">
        <v>0</v>
      </c>
      <c r="I221">
        <v>181</v>
      </c>
      <c r="J221">
        <v>0</v>
      </c>
      <c r="K221">
        <v>6.4999999999999997E-4</v>
      </c>
      <c r="L221">
        <v>2.7441520000000001</v>
      </c>
      <c r="M221" t="s">
        <v>27</v>
      </c>
      <c r="N221" t="s">
        <v>28</v>
      </c>
      <c r="O221" t="s">
        <v>471</v>
      </c>
      <c r="P221" t="s">
        <v>472</v>
      </c>
      <c r="Q221" t="s">
        <v>473</v>
      </c>
    </row>
    <row r="222" spans="1:17" ht="15" customHeight="1" x14ac:dyDescent="0.35">
      <c r="A222" t="s">
        <v>432</v>
      </c>
      <c r="B222">
        <v>32</v>
      </c>
      <c r="C222" t="s">
        <v>701</v>
      </c>
      <c r="D222" t="s">
        <v>421</v>
      </c>
      <c r="E222" t="s">
        <v>25</v>
      </c>
      <c r="F222" t="s">
        <v>62</v>
      </c>
      <c r="G222">
        <v>442</v>
      </c>
      <c r="H222">
        <v>0</v>
      </c>
      <c r="I222">
        <v>0</v>
      </c>
      <c r="J222">
        <v>0</v>
      </c>
      <c r="K222">
        <v>9.0000000000000002E-6</v>
      </c>
      <c r="L222">
        <v>0.29693799999999998</v>
      </c>
      <c r="M222" t="s">
        <v>27</v>
      </c>
      <c r="N222" t="s">
        <v>63</v>
      </c>
      <c r="O222" t="s">
        <v>471</v>
      </c>
      <c r="P222" t="s">
        <v>472</v>
      </c>
      <c r="Q222" t="s">
        <v>473</v>
      </c>
    </row>
    <row r="223" spans="1:17" ht="15" customHeight="1" x14ac:dyDescent="0.35">
      <c r="A223" t="s">
        <v>432</v>
      </c>
      <c r="B223">
        <v>33</v>
      </c>
      <c r="C223" t="s">
        <v>702</v>
      </c>
      <c r="D223" t="s">
        <v>421</v>
      </c>
      <c r="E223" t="s">
        <v>25</v>
      </c>
      <c r="F223" t="s">
        <v>34</v>
      </c>
      <c r="G223">
        <v>3465</v>
      </c>
      <c r="H223">
        <v>0</v>
      </c>
      <c r="I223">
        <v>270</v>
      </c>
      <c r="J223">
        <v>0</v>
      </c>
      <c r="K223">
        <v>6.8199999999999999E-4</v>
      </c>
      <c r="L223">
        <v>3.4719340000000001</v>
      </c>
      <c r="M223" t="s">
        <v>27</v>
      </c>
      <c r="N223" t="s">
        <v>28</v>
      </c>
      <c r="O223" t="s">
        <v>471</v>
      </c>
      <c r="P223" t="s">
        <v>472</v>
      </c>
      <c r="Q223" t="s">
        <v>473</v>
      </c>
    </row>
    <row r="224" spans="1:17" ht="15" customHeight="1" x14ac:dyDescent="0.35">
      <c r="A224" t="s">
        <v>432</v>
      </c>
      <c r="B224">
        <v>34</v>
      </c>
      <c r="C224" t="s">
        <v>702</v>
      </c>
      <c r="D224" t="s">
        <v>421</v>
      </c>
      <c r="E224" t="s">
        <v>25</v>
      </c>
      <c r="F224" t="s">
        <v>62</v>
      </c>
      <c r="G224">
        <v>74</v>
      </c>
      <c r="H224">
        <v>0</v>
      </c>
      <c r="I224">
        <v>0</v>
      </c>
      <c r="J224">
        <v>0</v>
      </c>
      <c r="K224">
        <v>9.9999999999999995E-7</v>
      </c>
      <c r="L224">
        <v>0.30464799999999997</v>
      </c>
      <c r="M224" t="s">
        <v>27</v>
      </c>
      <c r="N224" t="s">
        <v>63</v>
      </c>
      <c r="O224" t="s">
        <v>471</v>
      </c>
      <c r="P224" t="s">
        <v>472</v>
      </c>
      <c r="Q224" t="s">
        <v>473</v>
      </c>
    </row>
    <row r="225" spans="1:17" ht="15" customHeight="1" x14ac:dyDescent="0.35">
      <c r="A225" t="s">
        <v>432</v>
      </c>
      <c r="B225">
        <v>35</v>
      </c>
      <c r="C225" t="s">
        <v>703</v>
      </c>
      <c r="D225" t="s">
        <v>421</v>
      </c>
      <c r="E225" t="s">
        <v>25</v>
      </c>
      <c r="F225" t="s">
        <v>34</v>
      </c>
      <c r="G225">
        <v>3857</v>
      </c>
      <c r="H225">
        <v>0</v>
      </c>
      <c r="I225">
        <v>289</v>
      </c>
      <c r="J225">
        <v>0</v>
      </c>
      <c r="K225">
        <v>7.5199999999999996E-4</v>
      </c>
      <c r="L225">
        <v>3.003031</v>
      </c>
      <c r="M225" t="s">
        <v>27</v>
      </c>
      <c r="N225" t="s">
        <v>28</v>
      </c>
      <c r="O225" t="s">
        <v>471</v>
      </c>
      <c r="P225" t="s">
        <v>472</v>
      </c>
      <c r="Q225" t="s">
        <v>473</v>
      </c>
    </row>
    <row r="226" spans="1:17" ht="15" customHeight="1" x14ac:dyDescent="0.35">
      <c r="A226" t="s">
        <v>432</v>
      </c>
      <c r="B226">
        <v>36</v>
      </c>
      <c r="C226" t="s">
        <v>704</v>
      </c>
      <c r="D226" t="s">
        <v>421</v>
      </c>
      <c r="E226" t="s">
        <v>25</v>
      </c>
      <c r="F226" t="s">
        <v>62</v>
      </c>
      <c r="G226">
        <v>83</v>
      </c>
      <c r="H226">
        <v>0</v>
      </c>
      <c r="I226">
        <v>0</v>
      </c>
      <c r="J226">
        <v>0</v>
      </c>
      <c r="K226">
        <v>1.9999999999999999E-6</v>
      </c>
      <c r="L226">
        <v>0.86862899999999998</v>
      </c>
      <c r="M226" t="s">
        <v>27</v>
      </c>
      <c r="N226" t="s">
        <v>63</v>
      </c>
      <c r="O226" t="s">
        <v>471</v>
      </c>
      <c r="P226" t="s">
        <v>472</v>
      </c>
      <c r="Q226" t="s">
        <v>473</v>
      </c>
    </row>
    <row r="227" spans="1:17" ht="15" customHeight="1" x14ac:dyDescent="0.35">
      <c r="A227" t="s">
        <v>432</v>
      </c>
      <c r="B227">
        <v>37</v>
      </c>
      <c r="C227" t="s">
        <v>705</v>
      </c>
      <c r="D227" t="s">
        <v>421</v>
      </c>
      <c r="E227" t="s">
        <v>25</v>
      </c>
      <c r="F227" t="s">
        <v>34</v>
      </c>
      <c r="G227">
        <v>3909</v>
      </c>
      <c r="H227">
        <v>0</v>
      </c>
      <c r="I227">
        <v>309</v>
      </c>
      <c r="J227">
        <v>0</v>
      </c>
      <c r="K227">
        <v>7.7200000000000001E-4</v>
      </c>
      <c r="L227">
        <v>3.2557779999999998</v>
      </c>
      <c r="M227" t="s">
        <v>27</v>
      </c>
      <c r="N227" t="s">
        <v>28</v>
      </c>
      <c r="O227" t="s">
        <v>471</v>
      </c>
      <c r="P227" t="s">
        <v>472</v>
      </c>
      <c r="Q227" t="s">
        <v>473</v>
      </c>
    </row>
    <row r="228" spans="1:17" ht="15" customHeight="1" x14ac:dyDescent="0.35">
      <c r="A228" t="s">
        <v>432</v>
      </c>
      <c r="B228">
        <v>38</v>
      </c>
      <c r="C228" t="s">
        <v>705</v>
      </c>
      <c r="D228" t="s">
        <v>421</v>
      </c>
      <c r="E228" t="s">
        <v>25</v>
      </c>
      <c r="F228" t="s">
        <v>62</v>
      </c>
      <c r="G228">
        <v>74</v>
      </c>
      <c r="H228">
        <v>0</v>
      </c>
      <c r="I228">
        <v>0</v>
      </c>
      <c r="J228">
        <v>0</v>
      </c>
      <c r="K228">
        <v>9.9999999999999995E-7</v>
      </c>
      <c r="L228">
        <v>0.38923400000000002</v>
      </c>
      <c r="M228" t="s">
        <v>27</v>
      </c>
      <c r="N228" t="s">
        <v>63</v>
      </c>
      <c r="O228" t="s">
        <v>471</v>
      </c>
      <c r="P228" t="s">
        <v>472</v>
      </c>
      <c r="Q228" t="s">
        <v>473</v>
      </c>
    </row>
    <row r="229" spans="1:17" ht="15" customHeight="1" x14ac:dyDescent="0.35">
      <c r="A229" t="s">
        <v>432</v>
      </c>
      <c r="B229">
        <v>39</v>
      </c>
      <c r="C229" t="s">
        <v>706</v>
      </c>
      <c r="D229" t="s">
        <v>421</v>
      </c>
      <c r="E229" t="s">
        <v>25</v>
      </c>
      <c r="F229" t="s">
        <v>34</v>
      </c>
      <c r="G229">
        <v>3282</v>
      </c>
      <c r="H229">
        <v>0</v>
      </c>
      <c r="I229">
        <v>246</v>
      </c>
      <c r="J229">
        <v>0</v>
      </c>
      <c r="K229">
        <v>6.4000000000000005E-4</v>
      </c>
      <c r="L229">
        <v>2.545077</v>
      </c>
      <c r="M229" t="s">
        <v>27</v>
      </c>
      <c r="N229" t="s">
        <v>28</v>
      </c>
      <c r="O229" t="s">
        <v>471</v>
      </c>
      <c r="P229" t="s">
        <v>472</v>
      </c>
      <c r="Q229" t="s">
        <v>473</v>
      </c>
    </row>
    <row r="230" spans="1:17" ht="15" customHeight="1" x14ac:dyDescent="0.35">
      <c r="A230" t="s">
        <v>438</v>
      </c>
      <c r="B230">
        <v>1</v>
      </c>
      <c r="C230" t="s">
        <v>753</v>
      </c>
      <c r="D230" t="s">
        <v>24</v>
      </c>
      <c r="E230" t="s">
        <v>25</v>
      </c>
      <c r="F230" t="s">
        <v>26</v>
      </c>
      <c r="G230">
        <v>1174</v>
      </c>
      <c r="H230">
        <v>1024</v>
      </c>
      <c r="I230">
        <v>56</v>
      </c>
      <c r="J230">
        <v>0</v>
      </c>
      <c r="K230">
        <v>2.215E-3</v>
      </c>
      <c r="L230">
        <v>2.6391230000000001</v>
      </c>
      <c r="M230" t="s">
        <v>27</v>
      </c>
      <c r="N230" t="s">
        <v>28</v>
      </c>
      <c r="O230" t="s">
        <v>29</v>
      </c>
      <c r="P230" t="s">
        <v>30</v>
      </c>
      <c r="Q230" t="s">
        <v>31</v>
      </c>
    </row>
    <row r="231" spans="1:17" ht="15" customHeight="1" x14ac:dyDescent="0.35">
      <c r="A231" t="s">
        <v>438</v>
      </c>
      <c r="B231">
        <v>2</v>
      </c>
      <c r="C231" t="s">
        <v>754</v>
      </c>
      <c r="D231" t="s">
        <v>421</v>
      </c>
      <c r="E231" t="s">
        <v>25</v>
      </c>
      <c r="F231" t="s">
        <v>34</v>
      </c>
      <c r="G231">
        <v>1580</v>
      </c>
      <c r="H231">
        <v>1024</v>
      </c>
      <c r="I231">
        <v>44</v>
      </c>
      <c r="J231">
        <v>0</v>
      </c>
      <c r="K231">
        <v>1.8699999999999999E-4</v>
      </c>
      <c r="L231">
        <v>1.557604</v>
      </c>
      <c r="M231" t="s">
        <v>27</v>
      </c>
      <c r="N231" t="s">
        <v>28</v>
      </c>
      <c r="O231" t="s">
        <v>463</v>
      </c>
      <c r="P231" t="s">
        <v>464</v>
      </c>
      <c r="Q231" t="s">
        <v>465</v>
      </c>
    </row>
    <row r="232" spans="1:17" ht="15" customHeight="1" x14ac:dyDescent="0.35">
      <c r="A232" t="s">
        <v>438</v>
      </c>
      <c r="B232">
        <v>3</v>
      </c>
      <c r="C232" t="s">
        <v>755</v>
      </c>
      <c r="D232" t="s">
        <v>421</v>
      </c>
      <c r="E232" t="s">
        <v>25</v>
      </c>
      <c r="F232" t="s">
        <v>26</v>
      </c>
      <c r="G232">
        <v>515</v>
      </c>
      <c r="H232">
        <v>0</v>
      </c>
      <c r="I232">
        <v>31</v>
      </c>
      <c r="J232">
        <v>0</v>
      </c>
      <c r="K232">
        <v>1.5969999999999999E-3</v>
      </c>
      <c r="L232">
        <v>1.373399</v>
      </c>
      <c r="M232" t="s">
        <v>27</v>
      </c>
      <c r="N232" t="s">
        <v>28</v>
      </c>
      <c r="O232" t="s">
        <v>467</v>
      </c>
      <c r="P232" t="s">
        <v>468</v>
      </c>
      <c r="Q232" t="s">
        <v>469</v>
      </c>
    </row>
    <row r="233" spans="1:17" ht="15" customHeight="1" x14ac:dyDescent="0.35">
      <c r="A233" t="s">
        <v>438</v>
      </c>
      <c r="B233">
        <v>4</v>
      </c>
      <c r="C233" t="s">
        <v>756</v>
      </c>
      <c r="D233" t="s">
        <v>421</v>
      </c>
      <c r="E233" t="s">
        <v>25</v>
      </c>
      <c r="F233" t="s">
        <v>62</v>
      </c>
      <c r="G233">
        <v>80802</v>
      </c>
      <c r="H233">
        <v>0</v>
      </c>
      <c r="I233">
        <v>0</v>
      </c>
      <c r="J233">
        <v>0</v>
      </c>
      <c r="K233">
        <v>1.616E-3</v>
      </c>
      <c r="L233">
        <v>1.889281</v>
      </c>
      <c r="M233" t="s">
        <v>27</v>
      </c>
      <c r="N233" t="s">
        <v>63</v>
      </c>
      <c r="O233" t="s">
        <v>109</v>
      </c>
      <c r="P233" t="s">
        <v>110</v>
      </c>
      <c r="Q233" t="s">
        <v>757</v>
      </c>
    </row>
    <row r="234" spans="1:17" ht="15" customHeight="1" x14ac:dyDescent="0.35">
      <c r="A234" t="s">
        <v>438</v>
      </c>
      <c r="B234">
        <v>5</v>
      </c>
      <c r="C234" t="s">
        <v>758</v>
      </c>
      <c r="D234" t="s">
        <v>421</v>
      </c>
      <c r="E234" t="s">
        <v>25</v>
      </c>
      <c r="F234" t="s">
        <v>62</v>
      </c>
      <c r="G234">
        <v>5188</v>
      </c>
      <c r="H234">
        <v>0</v>
      </c>
      <c r="I234">
        <v>0</v>
      </c>
      <c r="J234">
        <v>0</v>
      </c>
      <c r="K234">
        <v>1.0399999999999999E-4</v>
      </c>
      <c r="L234">
        <v>0.45865499999999998</v>
      </c>
      <c r="M234" t="s">
        <v>27</v>
      </c>
      <c r="N234" t="s">
        <v>63</v>
      </c>
      <c r="O234" t="s">
        <v>109</v>
      </c>
      <c r="P234" t="s">
        <v>110</v>
      </c>
      <c r="Q234" t="s">
        <v>757</v>
      </c>
    </row>
    <row r="235" spans="1:17" ht="15" customHeight="1" x14ac:dyDescent="0.35">
      <c r="A235" t="s">
        <v>438</v>
      </c>
      <c r="B235">
        <v>6</v>
      </c>
      <c r="C235" t="s">
        <v>759</v>
      </c>
      <c r="D235" t="s">
        <v>421</v>
      </c>
      <c r="E235" t="s">
        <v>25</v>
      </c>
      <c r="F235" t="s">
        <v>62</v>
      </c>
      <c r="G235">
        <v>15951</v>
      </c>
      <c r="H235">
        <v>0</v>
      </c>
      <c r="I235">
        <v>0</v>
      </c>
      <c r="J235">
        <v>0</v>
      </c>
      <c r="K235">
        <v>3.19E-4</v>
      </c>
      <c r="L235">
        <v>1.233509</v>
      </c>
      <c r="M235" t="s">
        <v>27</v>
      </c>
      <c r="N235" t="s">
        <v>63</v>
      </c>
      <c r="O235" t="s">
        <v>109</v>
      </c>
      <c r="P235" t="s">
        <v>110</v>
      </c>
      <c r="Q235" t="s">
        <v>757</v>
      </c>
    </row>
    <row r="236" spans="1:17" ht="15" customHeight="1" x14ac:dyDescent="0.35">
      <c r="A236" t="s">
        <v>438</v>
      </c>
      <c r="B236">
        <v>7</v>
      </c>
      <c r="C236" t="s">
        <v>760</v>
      </c>
      <c r="D236" t="s">
        <v>421</v>
      </c>
      <c r="E236" t="s">
        <v>25</v>
      </c>
      <c r="F236" t="s">
        <v>62</v>
      </c>
      <c r="G236">
        <v>36</v>
      </c>
      <c r="H236">
        <v>0</v>
      </c>
      <c r="I236">
        <v>0</v>
      </c>
      <c r="J236">
        <v>0</v>
      </c>
      <c r="K236">
        <v>9.9999999999999995E-7</v>
      </c>
      <c r="L236">
        <v>0.54446799999999995</v>
      </c>
      <c r="M236" t="s">
        <v>27</v>
      </c>
      <c r="N236" t="s">
        <v>63</v>
      </c>
      <c r="O236" t="s">
        <v>471</v>
      </c>
      <c r="P236" t="s">
        <v>472</v>
      </c>
      <c r="Q236" t="s">
        <v>473</v>
      </c>
    </row>
    <row r="237" spans="1:17" ht="15" customHeight="1" x14ac:dyDescent="0.35">
      <c r="A237" t="s">
        <v>438</v>
      </c>
      <c r="B237">
        <v>8</v>
      </c>
      <c r="C237" t="s">
        <v>761</v>
      </c>
      <c r="D237" t="s">
        <v>421</v>
      </c>
      <c r="E237" t="s">
        <v>25</v>
      </c>
      <c r="F237" t="s">
        <v>34</v>
      </c>
      <c r="G237">
        <v>4952</v>
      </c>
      <c r="H237">
        <v>0</v>
      </c>
      <c r="I237">
        <v>15</v>
      </c>
      <c r="J237">
        <v>0</v>
      </c>
      <c r="K237">
        <v>7.5199999999999996E-4</v>
      </c>
      <c r="L237">
        <v>1.5033559999999999</v>
      </c>
      <c r="M237" t="s">
        <v>27</v>
      </c>
      <c r="N237" t="s">
        <v>28</v>
      </c>
      <c r="O237" t="s">
        <v>471</v>
      </c>
      <c r="P237" t="s">
        <v>472</v>
      </c>
      <c r="Q237" t="s">
        <v>473</v>
      </c>
    </row>
    <row r="238" spans="1:17" ht="15" customHeight="1" x14ac:dyDescent="0.35">
      <c r="A238" t="s">
        <v>438</v>
      </c>
      <c r="B238">
        <v>9</v>
      </c>
      <c r="C238" t="s">
        <v>761</v>
      </c>
      <c r="D238" t="s">
        <v>421</v>
      </c>
      <c r="E238" t="s">
        <v>25</v>
      </c>
      <c r="F238" t="s">
        <v>62</v>
      </c>
      <c r="G238">
        <v>99</v>
      </c>
      <c r="H238">
        <v>0</v>
      </c>
      <c r="I238">
        <v>0</v>
      </c>
      <c r="J238">
        <v>0</v>
      </c>
      <c r="K238">
        <v>1.9999999999999999E-6</v>
      </c>
      <c r="L238">
        <v>0.29324800000000001</v>
      </c>
      <c r="M238" t="s">
        <v>27</v>
      </c>
      <c r="N238" t="s">
        <v>63</v>
      </c>
      <c r="O238" t="s">
        <v>471</v>
      </c>
      <c r="P238" t="s">
        <v>472</v>
      </c>
      <c r="Q238" t="s">
        <v>473</v>
      </c>
    </row>
    <row r="239" spans="1:17" ht="15" customHeight="1" x14ac:dyDescent="0.35">
      <c r="A239" t="s">
        <v>438</v>
      </c>
      <c r="B239">
        <v>10</v>
      </c>
      <c r="C239" t="s">
        <v>762</v>
      </c>
      <c r="D239" t="s">
        <v>421</v>
      </c>
      <c r="E239" t="s">
        <v>25</v>
      </c>
      <c r="F239" t="s">
        <v>34</v>
      </c>
      <c r="G239">
        <v>5102</v>
      </c>
      <c r="H239">
        <v>0</v>
      </c>
      <c r="I239">
        <v>158</v>
      </c>
      <c r="J239">
        <v>0</v>
      </c>
      <c r="K239">
        <v>8.5999999999999998E-4</v>
      </c>
      <c r="L239">
        <v>2.3548779999999998</v>
      </c>
      <c r="M239" t="s">
        <v>27</v>
      </c>
      <c r="N239" t="s">
        <v>28</v>
      </c>
      <c r="O239" t="s">
        <v>471</v>
      </c>
      <c r="P239" t="s">
        <v>472</v>
      </c>
      <c r="Q239" t="s">
        <v>473</v>
      </c>
    </row>
    <row r="240" spans="1:17" ht="15" customHeight="1" x14ac:dyDescent="0.35">
      <c r="A240" t="s">
        <v>438</v>
      </c>
      <c r="B240">
        <v>11</v>
      </c>
      <c r="C240" t="s">
        <v>763</v>
      </c>
      <c r="D240" t="s">
        <v>421</v>
      </c>
      <c r="E240" t="s">
        <v>25</v>
      </c>
      <c r="F240" t="s">
        <v>62</v>
      </c>
      <c r="G240">
        <v>442</v>
      </c>
      <c r="H240">
        <v>0</v>
      </c>
      <c r="I240">
        <v>0</v>
      </c>
      <c r="J240">
        <v>0</v>
      </c>
      <c r="K240">
        <v>9.0000000000000002E-6</v>
      </c>
      <c r="L240">
        <v>0.29795199999999999</v>
      </c>
      <c r="M240" t="s">
        <v>27</v>
      </c>
      <c r="N240" t="s">
        <v>63</v>
      </c>
      <c r="O240" t="s">
        <v>471</v>
      </c>
      <c r="P240" t="s">
        <v>472</v>
      </c>
      <c r="Q240" t="s">
        <v>473</v>
      </c>
    </row>
    <row r="241" spans="1:17" ht="15" customHeight="1" x14ac:dyDescent="0.35">
      <c r="A241" t="s">
        <v>438</v>
      </c>
      <c r="B241">
        <v>12</v>
      </c>
      <c r="C241" t="s">
        <v>764</v>
      </c>
      <c r="D241" t="s">
        <v>421</v>
      </c>
      <c r="E241" t="s">
        <v>25</v>
      </c>
      <c r="F241" t="s">
        <v>34</v>
      </c>
      <c r="G241">
        <v>5440</v>
      </c>
      <c r="H241">
        <v>0</v>
      </c>
      <c r="I241">
        <v>368</v>
      </c>
      <c r="J241">
        <v>0</v>
      </c>
      <c r="K241">
        <v>1.0369999999999999E-3</v>
      </c>
      <c r="L241">
        <v>3.9828670000000002</v>
      </c>
      <c r="M241" t="s">
        <v>27</v>
      </c>
      <c r="N241" t="s">
        <v>28</v>
      </c>
      <c r="O241" t="s">
        <v>471</v>
      </c>
      <c r="P241" t="s">
        <v>472</v>
      </c>
      <c r="Q241" t="s">
        <v>473</v>
      </c>
    </row>
    <row r="242" spans="1:17" ht="15" customHeight="1" x14ac:dyDescent="0.35">
      <c r="A242" t="s">
        <v>438</v>
      </c>
      <c r="B242">
        <v>13</v>
      </c>
      <c r="C242" t="s">
        <v>765</v>
      </c>
      <c r="D242" t="s">
        <v>421</v>
      </c>
      <c r="E242" t="s">
        <v>25</v>
      </c>
      <c r="F242" t="s">
        <v>62</v>
      </c>
      <c r="G242">
        <v>74</v>
      </c>
      <c r="H242">
        <v>0</v>
      </c>
      <c r="I242">
        <v>0</v>
      </c>
      <c r="J242">
        <v>0</v>
      </c>
      <c r="K242">
        <v>9.9999999999999995E-7</v>
      </c>
      <c r="L242">
        <v>0.29771900000000001</v>
      </c>
      <c r="M242" t="s">
        <v>27</v>
      </c>
      <c r="N242" t="s">
        <v>63</v>
      </c>
      <c r="O242" t="s">
        <v>471</v>
      </c>
      <c r="P242" t="s">
        <v>472</v>
      </c>
      <c r="Q242" t="s">
        <v>473</v>
      </c>
    </row>
    <row r="243" spans="1:17" ht="15" customHeight="1" x14ac:dyDescent="0.35">
      <c r="A243" t="s">
        <v>438</v>
      </c>
      <c r="B243">
        <v>14</v>
      </c>
      <c r="C243" t="s">
        <v>766</v>
      </c>
      <c r="D243" t="s">
        <v>421</v>
      </c>
      <c r="E243" t="s">
        <v>25</v>
      </c>
      <c r="F243" t="s">
        <v>34</v>
      </c>
      <c r="G243">
        <v>5065</v>
      </c>
      <c r="H243">
        <v>0</v>
      </c>
      <c r="I243">
        <v>300</v>
      </c>
      <c r="J243">
        <v>0</v>
      </c>
      <c r="K243">
        <v>9.3999999999999997E-4</v>
      </c>
      <c r="L243">
        <v>2.9522300000000001</v>
      </c>
      <c r="M243" t="s">
        <v>27</v>
      </c>
      <c r="N243" t="s">
        <v>28</v>
      </c>
      <c r="O243" t="s">
        <v>471</v>
      </c>
      <c r="P243" t="s">
        <v>472</v>
      </c>
      <c r="Q243" t="s">
        <v>473</v>
      </c>
    </row>
    <row r="244" spans="1:17" ht="15" customHeight="1" x14ac:dyDescent="0.35">
      <c r="A244" t="s">
        <v>438</v>
      </c>
      <c r="B244">
        <v>15</v>
      </c>
      <c r="C244" t="s">
        <v>767</v>
      </c>
      <c r="D244" t="s">
        <v>421</v>
      </c>
      <c r="E244" t="s">
        <v>25</v>
      </c>
      <c r="F244" t="s">
        <v>62</v>
      </c>
      <c r="G244">
        <v>83</v>
      </c>
      <c r="H244">
        <v>0</v>
      </c>
      <c r="I244">
        <v>0</v>
      </c>
      <c r="J244">
        <v>0</v>
      </c>
      <c r="K244">
        <v>1.9999999999999999E-6</v>
      </c>
      <c r="L244">
        <v>0.29872100000000001</v>
      </c>
      <c r="M244" t="s">
        <v>27</v>
      </c>
      <c r="N244" t="s">
        <v>63</v>
      </c>
      <c r="O244" t="s">
        <v>471</v>
      </c>
      <c r="P244" t="s">
        <v>472</v>
      </c>
      <c r="Q244" t="s">
        <v>473</v>
      </c>
    </row>
    <row r="245" spans="1:17" ht="15" customHeight="1" x14ac:dyDescent="0.35">
      <c r="A245" t="s">
        <v>438</v>
      </c>
      <c r="B245">
        <v>16</v>
      </c>
      <c r="C245" t="s">
        <v>768</v>
      </c>
      <c r="D245" t="s">
        <v>421</v>
      </c>
      <c r="E245" t="s">
        <v>25</v>
      </c>
      <c r="F245" t="s">
        <v>34</v>
      </c>
      <c r="G245">
        <v>5027</v>
      </c>
      <c r="H245">
        <v>0</v>
      </c>
      <c r="I245">
        <v>270</v>
      </c>
      <c r="J245">
        <v>0</v>
      </c>
      <c r="K245">
        <v>9.1600000000000004E-4</v>
      </c>
      <c r="L245">
        <v>6.8538889999999997</v>
      </c>
      <c r="M245" t="s">
        <v>27</v>
      </c>
      <c r="N245" t="s">
        <v>28</v>
      </c>
      <c r="O245" t="s">
        <v>471</v>
      </c>
      <c r="P245" t="s">
        <v>472</v>
      </c>
      <c r="Q245" t="s">
        <v>473</v>
      </c>
    </row>
    <row r="246" spans="1:17" ht="15" customHeight="1" x14ac:dyDescent="0.35">
      <c r="A246" t="s">
        <v>438</v>
      </c>
      <c r="B246">
        <v>17</v>
      </c>
      <c r="C246" t="s">
        <v>769</v>
      </c>
      <c r="D246" t="s">
        <v>421</v>
      </c>
      <c r="E246" t="s">
        <v>25</v>
      </c>
      <c r="F246" t="s">
        <v>62</v>
      </c>
      <c r="G246">
        <v>74</v>
      </c>
      <c r="H246">
        <v>0</v>
      </c>
      <c r="I246">
        <v>0</v>
      </c>
      <c r="J246">
        <v>0</v>
      </c>
      <c r="K246">
        <v>9.9999999999999995E-7</v>
      </c>
      <c r="L246">
        <v>0.51153199999999999</v>
      </c>
      <c r="M246" t="s">
        <v>27</v>
      </c>
      <c r="N246" t="s">
        <v>63</v>
      </c>
      <c r="O246" t="s">
        <v>471</v>
      </c>
      <c r="P246" t="s">
        <v>472</v>
      </c>
      <c r="Q246" t="s">
        <v>473</v>
      </c>
    </row>
    <row r="247" spans="1:17" ht="15" customHeight="1" x14ac:dyDescent="0.35">
      <c r="A247" t="s">
        <v>438</v>
      </c>
      <c r="B247">
        <v>18</v>
      </c>
      <c r="C247" t="s">
        <v>770</v>
      </c>
      <c r="D247" t="s">
        <v>421</v>
      </c>
      <c r="E247" t="s">
        <v>25</v>
      </c>
      <c r="F247" t="s">
        <v>34</v>
      </c>
      <c r="G247">
        <v>5020</v>
      </c>
      <c r="H247">
        <v>0</v>
      </c>
      <c r="I247">
        <v>299</v>
      </c>
      <c r="J247">
        <v>0</v>
      </c>
      <c r="K247">
        <v>9.3199999999999999E-4</v>
      </c>
      <c r="L247">
        <v>3.2391070000000002</v>
      </c>
      <c r="M247" t="s">
        <v>27</v>
      </c>
      <c r="N247" t="s">
        <v>28</v>
      </c>
      <c r="O247" t="s">
        <v>471</v>
      </c>
      <c r="P247" t="s">
        <v>472</v>
      </c>
      <c r="Q247" t="s">
        <v>473</v>
      </c>
    </row>
    <row r="248" spans="1:17" ht="15" customHeight="1" x14ac:dyDescent="0.35">
      <c r="A248" t="s">
        <v>438</v>
      </c>
      <c r="B248">
        <v>19</v>
      </c>
      <c r="C248" t="s">
        <v>771</v>
      </c>
      <c r="D248" t="s">
        <v>421</v>
      </c>
      <c r="E248" t="s">
        <v>25</v>
      </c>
      <c r="F248" t="s">
        <v>62</v>
      </c>
      <c r="G248">
        <v>36</v>
      </c>
      <c r="H248">
        <v>0</v>
      </c>
      <c r="I248">
        <v>0</v>
      </c>
      <c r="J248">
        <v>0</v>
      </c>
      <c r="K248">
        <v>9.9999999999999995E-7</v>
      </c>
      <c r="L248">
        <v>0.58033900000000005</v>
      </c>
      <c r="M248" t="s">
        <v>27</v>
      </c>
      <c r="N248" t="s">
        <v>63</v>
      </c>
      <c r="O248" t="s">
        <v>471</v>
      </c>
      <c r="P248" t="s">
        <v>472</v>
      </c>
      <c r="Q248" t="s">
        <v>473</v>
      </c>
    </row>
    <row r="249" spans="1:17" ht="15" customHeight="1" x14ac:dyDescent="0.35">
      <c r="A249" t="s">
        <v>438</v>
      </c>
      <c r="B249">
        <v>20</v>
      </c>
      <c r="C249" t="s">
        <v>772</v>
      </c>
      <c r="D249" t="s">
        <v>421</v>
      </c>
      <c r="E249" t="s">
        <v>25</v>
      </c>
      <c r="F249" t="s">
        <v>34</v>
      </c>
      <c r="G249">
        <v>4983</v>
      </c>
      <c r="H249">
        <v>0</v>
      </c>
      <c r="I249">
        <v>14</v>
      </c>
      <c r="J249">
        <v>0</v>
      </c>
      <c r="K249">
        <v>7.5600000000000005E-4</v>
      </c>
      <c r="L249">
        <v>1.2353449999999999</v>
      </c>
      <c r="M249" t="s">
        <v>27</v>
      </c>
      <c r="N249" t="s">
        <v>28</v>
      </c>
      <c r="O249" t="s">
        <v>471</v>
      </c>
      <c r="P249" t="s">
        <v>472</v>
      </c>
      <c r="Q249" t="s">
        <v>473</v>
      </c>
    </row>
    <row r="250" spans="1:17" ht="15" customHeight="1" x14ac:dyDescent="0.35">
      <c r="A250" t="s">
        <v>438</v>
      </c>
      <c r="B250">
        <v>21</v>
      </c>
      <c r="C250" t="s">
        <v>772</v>
      </c>
      <c r="D250" t="s">
        <v>421</v>
      </c>
      <c r="E250" t="s">
        <v>25</v>
      </c>
      <c r="F250" t="s">
        <v>62</v>
      </c>
      <c r="G250">
        <v>99</v>
      </c>
      <c r="H250">
        <v>0</v>
      </c>
      <c r="I250">
        <v>0</v>
      </c>
      <c r="J250">
        <v>0</v>
      </c>
      <c r="K250">
        <v>1.9999999999999999E-6</v>
      </c>
      <c r="L250">
        <v>0.29980099999999998</v>
      </c>
      <c r="M250" t="s">
        <v>27</v>
      </c>
      <c r="N250" t="s">
        <v>63</v>
      </c>
      <c r="O250" t="s">
        <v>471</v>
      </c>
      <c r="P250" t="s">
        <v>472</v>
      </c>
      <c r="Q250" t="s">
        <v>473</v>
      </c>
    </row>
    <row r="251" spans="1:17" ht="15" customHeight="1" x14ac:dyDescent="0.35">
      <c r="A251" t="s">
        <v>438</v>
      </c>
      <c r="B251">
        <v>22</v>
      </c>
      <c r="C251" t="s">
        <v>773</v>
      </c>
      <c r="D251" t="s">
        <v>421</v>
      </c>
      <c r="E251" t="s">
        <v>25</v>
      </c>
      <c r="F251" t="s">
        <v>34</v>
      </c>
      <c r="G251">
        <v>4746</v>
      </c>
      <c r="H251">
        <v>1920</v>
      </c>
      <c r="I251">
        <v>172</v>
      </c>
      <c r="J251">
        <v>0</v>
      </c>
      <c r="K251">
        <v>6.7100000000000005E-4</v>
      </c>
      <c r="L251">
        <v>2.3789769999999999</v>
      </c>
      <c r="M251" t="s">
        <v>27</v>
      </c>
      <c r="N251" t="s">
        <v>28</v>
      </c>
      <c r="O251" t="s">
        <v>471</v>
      </c>
      <c r="P251" t="s">
        <v>472</v>
      </c>
      <c r="Q251" t="s">
        <v>473</v>
      </c>
    </row>
    <row r="252" spans="1:17" ht="15" customHeight="1" x14ac:dyDescent="0.35">
      <c r="A252" t="s">
        <v>438</v>
      </c>
      <c r="B252">
        <v>23</v>
      </c>
      <c r="C252" t="s">
        <v>774</v>
      </c>
      <c r="D252" t="s">
        <v>421</v>
      </c>
      <c r="E252" t="s">
        <v>25</v>
      </c>
      <c r="F252" t="s">
        <v>62</v>
      </c>
      <c r="G252">
        <v>442</v>
      </c>
      <c r="H252">
        <v>0</v>
      </c>
      <c r="I252">
        <v>0</v>
      </c>
      <c r="J252">
        <v>0</v>
      </c>
      <c r="K252">
        <v>9.0000000000000002E-6</v>
      </c>
      <c r="L252">
        <v>0.298481</v>
      </c>
      <c r="M252" t="s">
        <v>27</v>
      </c>
      <c r="N252" t="s">
        <v>63</v>
      </c>
      <c r="O252" t="s">
        <v>471</v>
      </c>
      <c r="P252" t="s">
        <v>472</v>
      </c>
      <c r="Q252" t="s">
        <v>473</v>
      </c>
    </row>
    <row r="253" spans="1:17" ht="15" customHeight="1" x14ac:dyDescent="0.35">
      <c r="A253" t="s">
        <v>438</v>
      </c>
      <c r="B253">
        <v>24</v>
      </c>
      <c r="C253" t="s">
        <v>775</v>
      </c>
      <c r="D253" t="s">
        <v>421</v>
      </c>
      <c r="E253" t="s">
        <v>25</v>
      </c>
      <c r="F253" t="s">
        <v>34</v>
      </c>
      <c r="G253">
        <v>5326</v>
      </c>
      <c r="H253">
        <v>1920</v>
      </c>
      <c r="I253">
        <v>356</v>
      </c>
      <c r="J253">
        <v>0</v>
      </c>
      <c r="K253">
        <v>8.6899999999999998E-4</v>
      </c>
      <c r="L253">
        <v>3.6985860000000002</v>
      </c>
      <c r="M253" t="s">
        <v>27</v>
      </c>
      <c r="N253" t="s">
        <v>28</v>
      </c>
      <c r="O253" t="s">
        <v>471</v>
      </c>
      <c r="P253" t="s">
        <v>472</v>
      </c>
      <c r="Q253" t="s">
        <v>473</v>
      </c>
    </row>
    <row r="254" spans="1:17" ht="15" customHeight="1" x14ac:dyDescent="0.35">
      <c r="A254" t="s">
        <v>438</v>
      </c>
      <c r="B254">
        <v>25</v>
      </c>
      <c r="C254" t="s">
        <v>775</v>
      </c>
      <c r="D254" t="s">
        <v>421</v>
      </c>
      <c r="E254" t="s">
        <v>25</v>
      </c>
      <c r="F254" t="s">
        <v>62</v>
      </c>
      <c r="G254">
        <v>74</v>
      </c>
      <c r="H254">
        <v>0</v>
      </c>
      <c r="I254">
        <v>0</v>
      </c>
      <c r="J254">
        <v>0</v>
      </c>
      <c r="K254">
        <v>9.9999999999999995E-7</v>
      </c>
      <c r="L254">
        <v>0.29469800000000002</v>
      </c>
      <c r="M254" t="s">
        <v>27</v>
      </c>
      <c r="N254" t="s">
        <v>63</v>
      </c>
      <c r="O254" t="s">
        <v>471</v>
      </c>
      <c r="P254" t="s">
        <v>472</v>
      </c>
      <c r="Q254" t="s">
        <v>473</v>
      </c>
    </row>
    <row r="255" spans="1:17" ht="15" customHeight="1" x14ac:dyDescent="0.35">
      <c r="A255" t="s">
        <v>438</v>
      </c>
      <c r="B255">
        <v>26</v>
      </c>
      <c r="C255" t="s">
        <v>776</v>
      </c>
      <c r="D255" t="s">
        <v>421</v>
      </c>
      <c r="E255" t="s">
        <v>25</v>
      </c>
      <c r="F255" t="s">
        <v>34</v>
      </c>
      <c r="G255">
        <v>5006</v>
      </c>
      <c r="H255">
        <v>0</v>
      </c>
      <c r="I255">
        <v>265</v>
      </c>
      <c r="J255">
        <v>0</v>
      </c>
      <c r="K255">
        <v>9.1E-4</v>
      </c>
      <c r="L255">
        <v>3.0939160000000001</v>
      </c>
      <c r="M255" t="s">
        <v>27</v>
      </c>
      <c r="N255" t="s">
        <v>28</v>
      </c>
      <c r="O255" t="s">
        <v>471</v>
      </c>
      <c r="P255" t="s">
        <v>472</v>
      </c>
      <c r="Q255" t="s">
        <v>473</v>
      </c>
    </row>
    <row r="256" spans="1:17" ht="15" customHeight="1" x14ac:dyDescent="0.35">
      <c r="A256" t="s">
        <v>438</v>
      </c>
      <c r="B256">
        <v>27</v>
      </c>
      <c r="C256" t="s">
        <v>776</v>
      </c>
      <c r="D256" t="s">
        <v>421</v>
      </c>
      <c r="E256" t="s">
        <v>25</v>
      </c>
      <c r="F256" t="s">
        <v>62</v>
      </c>
      <c r="G256">
        <v>83</v>
      </c>
      <c r="H256">
        <v>0</v>
      </c>
      <c r="I256">
        <v>0</v>
      </c>
      <c r="J256">
        <v>0</v>
      </c>
      <c r="K256">
        <v>1.9999999999999999E-6</v>
      </c>
      <c r="L256">
        <v>0.20075799999999999</v>
      </c>
      <c r="M256" t="s">
        <v>27</v>
      </c>
      <c r="N256" t="s">
        <v>63</v>
      </c>
      <c r="O256" t="s">
        <v>471</v>
      </c>
      <c r="P256" t="s">
        <v>472</v>
      </c>
      <c r="Q256" t="s">
        <v>473</v>
      </c>
    </row>
    <row r="257" spans="1:17" ht="15" customHeight="1" x14ac:dyDescent="0.35">
      <c r="A257" t="s">
        <v>438</v>
      </c>
      <c r="B257">
        <v>28</v>
      </c>
      <c r="C257" t="s">
        <v>777</v>
      </c>
      <c r="D257" t="s">
        <v>421</v>
      </c>
      <c r="E257" t="s">
        <v>25</v>
      </c>
      <c r="F257" t="s">
        <v>34</v>
      </c>
      <c r="G257">
        <v>5016</v>
      </c>
      <c r="H257">
        <v>0</v>
      </c>
      <c r="I257">
        <v>249</v>
      </c>
      <c r="J257">
        <v>0</v>
      </c>
      <c r="K257">
        <v>9.0200000000000002E-4</v>
      </c>
      <c r="L257">
        <v>3.1913360000000002</v>
      </c>
      <c r="M257" t="s">
        <v>27</v>
      </c>
      <c r="N257" t="s">
        <v>28</v>
      </c>
      <c r="O257" t="s">
        <v>471</v>
      </c>
      <c r="P257" t="s">
        <v>472</v>
      </c>
      <c r="Q257" t="s">
        <v>473</v>
      </c>
    </row>
    <row r="258" spans="1:17" ht="15" customHeight="1" x14ac:dyDescent="0.35">
      <c r="A258" t="s">
        <v>438</v>
      </c>
      <c r="B258">
        <v>29</v>
      </c>
      <c r="C258" t="s">
        <v>778</v>
      </c>
      <c r="D258" t="s">
        <v>421</v>
      </c>
      <c r="E258" t="s">
        <v>25</v>
      </c>
      <c r="F258" t="s">
        <v>62</v>
      </c>
      <c r="G258">
        <v>74</v>
      </c>
      <c r="H258">
        <v>0</v>
      </c>
      <c r="I258">
        <v>0</v>
      </c>
      <c r="J258">
        <v>0</v>
      </c>
      <c r="K258">
        <v>9.9999999999999995E-7</v>
      </c>
      <c r="L258">
        <v>0.30277500000000002</v>
      </c>
      <c r="M258" t="s">
        <v>27</v>
      </c>
      <c r="N258" t="s">
        <v>63</v>
      </c>
      <c r="O258" t="s">
        <v>471</v>
      </c>
      <c r="P258" t="s">
        <v>472</v>
      </c>
      <c r="Q258" t="s">
        <v>473</v>
      </c>
    </row>
    <row r="259" spans="1:17" ht="15" customHeight="1" x14ac:dyDescent="0.35">
      <c r="A259" t="s">
        <v>438</v>
      </c>
      <c r="B259">
        <v>30</v>
      </c>
      <c r="C259" t="s">
        <v>779</v>
      </c>
      <c r="D259" t="s">
        <v>421</v>
      </c>
      <c r="E259" t="s">
        <v>25</v>
      </c>
      <c r="F259" t="s">
        <v>34</v>
      </c>
      <c r="G259">
        <v>5049</v>
      </c>
      <c r="H259">
        <v>0</v>
      </c>
      <c r="I259">
        <v>271</v>
      </c>
      <c r="J259">
        <v>0</v>
      </c>
      <c r="K259">
        <v>9.2000000000000003E-4</v>
      </c>
      <c r="L259">
        <v>3.0853389999999998</v>
      </c>
      <c r="M259" t="s">
        <v>27</v>
      </c>
      <c r="N259" t="s">
        <v>28</v>
      </c>
      <c r="O259" t="s">
        <v>471</v>
      </c>
      <c r="P259" t="s">
        <v>472</v>
      </c>
      <c r="Q259" t="s">
        <v>473</v>
      </c>
    </row>
    <row r="260" spans="1:17" ht="15" customHeight="1" x14ac:dyDescent="0.35">
      <c r="A260" t="s">
        <v>438</v>
      </c>
      <c r="B260">
        <v>31</v>
      </c>
      <c r="C260" t="s">
        <v>780</v>
      </c>
      <c r="D260" t="s">
        <v>421</v>
      </c>
      <c r="E260" t="s">
        <v>25</v>
      </c>
      <c r="F260" t="s">
        <v>62</v>
      </c>
      <c r="G260">
        <v>36</v>
      </c>
      <c r="H260">
        <v>0</v>
      </c>
      <c r="I260">
        <v>0</v>
      </c>
      <c r="J260">
        <v>0</v>
      </c>
      <c r="K260">
        <v>9.9999999999999995E-7</v>
      </c>
      <c r="L260">
        <v>0.57122799999999996</v>
      </c>
      <c r="M260" t="s">
        <v>27</v>
      </c>
      <c r="N260" t="s">
        <v>63</v>
      </c>
      <c r="O260" t="s">
        <v>471</v>
      </c>
      <c r="P260" t="s">
        <v>472</v>
      </c>
      <c r="Q260" t="s">
        <v>473</v>
      </c>
    </row>
    <row r="261" spans="1:17" ht="15" customHeight="1" x14ac:dyDescent="0.35">
      <c r="A261" t="s">
        <v>438</v>
      </c>
      <c r="B261">
        <v>32</v>
      </c>
      <c r="C261" t="s">
        <v>781</v>
      </c>
      <c r="D261" t="s">
        <v>421</v>
      </c>
      <c r="E261" t="s">
        <v>25</v>
      </c>
      <c r="F261" t="s">
        <v>34</v>
      </c>
      <c r="G261">
        <v>220</v>
      </c>
      <c r="H261">
        <v>0</v>
      </c>
      <c r="I261">
        <v>13</v>
      </c>
      <c r="J261">
        <v>0</v>
      </c>
      <c r="K261">
        <v>4.1E-5</v>
      </c>
      <c r="L261">
        <v>0.96195299999999995</v>
      </c>
      <c r="M261" t="s">
        <v>27</v>
      </c>
      <c r="N261" t="s">
        <v>28</v>
      </c>
      <c r="O261" t="s">
        <v>471</v>
      </c>
      <c r="P261" t="s">
        <v>472</v>
      </c>
      <c r="Q261" t="s">
        <v>473</v>
      </c>
    </row>
    <row r="262" spans="1:17" ht="15" customHeight="1" x14ac:dyDescent="0.35">
      <c r="A262" t="s">
        <v>438</v>
      </c>
      <c r="B262">
        <v>33</v>
      </c>
      <c r="C262" t="s">
        <v>782</v>
      </c>
      <c r="D262" t="s">
        <v>421</v>
      </c>
      <c r="E262" t="s">
        <v>25</v>
      </c>
      <c r="F262" t="s">
        <v>62</v>
      </c>
      <c r="G262">
        <v>99</v>
      </c>
      <c r="H262">
        <v>0</v>
      </c>
      <c r="I262">
        <v>0</v>
      </c>
      <c r="J262">
        <v>0</v>
      </c>
      <c r="K262">
        <v>1.9999999999999999E-6</v>
      </c>
      <c r="L262">
        <v>0.296705</v>
      </c>
      <c r="M262" t="s">
        <v>27</v>
      </c>
      <c r="N262" t="s">
        <v>63</v>
      </c>
      <c r="O262" t="s">
        <v>471</v>
      </c>
      <c r="P262" t="s">
        <v>472</v>
      </c>
      <c r="Q262" t="s">
        <v>473</v>
      </c>
    </row>
    <row r="263" spans="1:17" ht="15" customHeight="1" x14ac:dyDescent="0.35">
      <c r="A263" t="s">
        <v>438</v>
      </c>
      <c r="B263">
        <v>34</v>
      </c>
      <c r="C263" t="s">
        <v>783</v>
      </c>
      <c r="D263" t="s">
        <v>421</v>
      </c>
      <c r="E263" t="s">
        <v>25</v>
      </c>
      <c r="F263" t="s">
        <v>34</v>
      </c>
      <c r="G263">
        <v>283</v>
      </c>
      <c r="H263">
        <v>0</v>
      </c>
      <c r="I263">
        <v>143</v>
      </c>
      <c r="J263">
        <v>0</v>
      </c>
      <c r="K263">
        <v>1.2799999999999999E-4</v>
      </c>
      <c r="L263">
        <v>1.893554</v>
      </c>
      <c r="M263" t="s">
        <v>27</v>
      </c>
      <c r="N263" t="s">
        <v>28</v>
      </c>
      <c r="O263" t="s">
        <v>471</v>
      </c>
      <c r="P263" t="s">
        <v>472</v>
      </c>
      <c r="Q263" t="s">
        <v>473</v>
      </c>
    </row>
    <row r="264" spans="1:17" ht="15" customHeight="1" x14ac:dyDescent="0.35">
      <c r="A264" t="s">
        <v>438</v>
      </c>
      <c r="B264">
        <v>35</v>
      </c>
      <c r="C264" t="s">
        <v>783</v>
      </c>
      <c r="D264" t="s">
        <v>421</v>
      </c>
      <c r="E264" t="s">
        <v>25</v>
      </c>
      <c r="F264" t="s">
        <v>62</v>
      </c>
      <c r="G264">
        <v>442</v>
      </c>
      <c r="H264">
        <v>0</v>
      </c>
      <c r="I264">
        <v>0</v>
      </c>
      <c r="J264">
        <v>0</v>
      </c>
      <c r="K264">
        <v>9.0000000000000002E-6</v>
      </c>
      <c r="L264">
        <v>0.22853599999999999</v>
      </c>
      <c r="M264" t="s">
        <v>27</v>
      </c>
      <c r="N264" t="s">
        <v>63</v>
      </c>
      <c r="O264" t="s">
        <v>471</v>
      </c>
      <c r="P264" t="s">
        <v>472</v>
      </c>
      <c r="Q264" t="s">
        <v>473</v>
      </c>
    </row>
    <row r="265" spans="1:17" ht="15" customHeight="1" x14ac:dyDescent="0.35">
      <c r="A265" t="s">
        <v>438</v>
      </c>
      <c r="B265">
        <v>36</v>
      </c>
      <c r="C265" t="s">
        <v>784</v>
      </c>
      <c r="D265" t="s">
        <v>421</v>
      </c>
      <c r="E265" t="s">
        <v>25</v>
      </c>
      <c r="F265" t="s">
        <v>34</v>
      </c>
      <c r="G265">
        <v>663</v>
      </c>
      <c r="H265">
        <v>0</v>
      </c>
      <c r="I265">
        <v>327</v>
      </c>
      <c r="J265">
        <v>0</v>
      </c>
      <c r="K265">
        <v>2.9599999999999998E-4</v>
      </c>
      <c r="L265">
        <v>7.2963639999999996</v>
      </c>
      <c r="M265" t="s">
        <v>27</v>
      </c>
      <c r="N265" t="s">
        <v>28</v>
      </c>
      <c r="O265" t="s">
        <v>471</v>
      </c>
      <c r="P265" t="s">
        <v>472</v>
      </c>
      <c r="Q265" t="s">
        <v>473</v>
      </c>
    </row>
    <row r="266" spans="1:17" ht="15" customHeight="1" x14ac:dyDescent="0.35">
      <c r="A266" t="s">
        <v>438</v>
      </c>
      <c r="B266">
        <v>37</v>
      </c>
      <c r="C266" t="s">
        <v>785</v>
      </c>
      <c r="D266" t="s">
        <v>421</v>
      </c>
      <c r="E266" t="s">
        <v>25</v>
      </c>
      <c r="F266" t="s">
        <v>62</v>
      </c>
      <c r="G266">
        <v>74</v>
      </c>
      <c r="H266">
        <v>0</v>
      </c>
      <c r="I266">
        <v>0</v>
      </c>
      <c r="J266">
        <v>0</v>
      </c>
      <c r="K266">
        <v>9.9999999999999995E-7</v>
      </c>
      <c r="L266">
        <v>0.50767499999999999</v>
      </c>
      <c r="M266" t="s">
        <v>27</v>
      </c>
      <c r="N266" t="s">
        <v>63</v>
      </c>
      <c r="O266" t="s">
        <v>471</v>
      </c>
      <c r="P266" t="s">
        <v>472</v>
      </c>
      <c r="Q266" t="s">
        <v>473</v>
      </c>
    </row>
    <row r="267" spans="1:17" ht="15" customHeight="1" x14ac:dyDescent="0.35">
      <c r="A267" t="s">
        <v>438</v>
      </c>
      <c r="B267">
        <v>38</v>
      </c>
      <c r="C267" t="s">
        <v>786</v>
      </c>
      <c r="D267" t="s">
        <v>421</v>
      </c>
      <c r="E267" t="s">
        <v>25</v>
      </c>
      <c r="F267" t="s">
        <v>34</v>
      </c>
      <c r="G267">
        <v>258</v>
      </c>
      <c r="H267">
        <v>0</v>
      </c>
      <c r="I267">
        <v>211</v>
      </c>
      <c r="J267">
        <v>0</v>
      </c>
      <c r="K267">
        <v>1.65E-4</v>
      </c>
      <c r="L267">
        <v>2.4846710000000001</v>
      </c>
      <c r="M267" t="s">
        <v>27</v>
      </c>
      <c r="N267" t="s">
        <v>28</v>
      </c>
      <c r="O267" t="s">
        <v>471</v>
      </c>
      <c r="P267" t="s">
        <v>472</v>
      </c>
      <c r="Q267" t="s">
        <v>473</v>
      </c>
    </row>
    <row r="268" spans="1:17" ht="15" customHeight="1" x14ac:dyDescent="0.35">
      <c r="A268" t="s">
        <v>438</v>
      </c>
      <c r="B268">
        <v>39</v>
      </c>
      <c r="C268" t="s">
        <v>786</v>
      </c>
      <c r="D268" t="s">
        <v>421</v>
      </c>
      <c r="E268" t="s">
        <v>25</v>
      </c>
      <c r="F268" t="s">
        <v>62</v>
      </c>
      <c r="G268">
        <v>83</v>
      </c>
      <c r="H268">
        <v>0</v>
      </c>
      <c r="I268">
        <v>0</v>
      </c>
      <c r="J268">
        <v>0</v>
      </c>
      <c r="K268">
        <v>1.9999999999999999E-6</v>
      </c>
      <c r="L268">
        <v>0.301734</v>
      </c>
      <c r="M268" t="s">
        <v>27</v>
      </c>
      <c r="N268" t="s">
        <v>63</v>
      </c>
      <c r="O268" t="s">
        <v>471</v>
      </c>
      <c r="P268" t="s">
        <v>472</v>
      </c>
      <c r="Q268" t="s">
        <v>473</v>
      </c>
    </row>
    <row r="269" spans="1:17" ht="15" customHeight="1" x14ac:dyDescent="0.35">
      <c r="A269" t="s">
        <v>438</v>
      </c>
      <c r="B269">
        <v>40</v>
      </c>
      <c r="C269" t="s">
        <v>787</v>
      </c>
      <c r="D269" t="s">
        <v>421</v>
      </c>
      <c r="E269" t="s">
        <v>25</v>
      </c>
      <c r="F269" t="s">
        <v>34</v>
      </c>
      <c r="G269">
        <v>268</v>
      </c>
      <c r="H269">
        <v>0</v>
      </c>
      <c r="I269">
        <v>230</v>
      </c>
      <c r="J269">
        <v>0</v>
      </c>
      <c r="K269">
        <v>1.7799999999999999E-4</v>
      </c>
      <c r="L269">
        <v>2.4613139999999998</v>
      </c>
      <c r="M269" t="s">
        <v>27</v>
      </c>
      <c r="N269" t="s">
        <v>28</v>
      </c>
      <c r="O269" t="s">
        <v>471</v>
      </c>
      <c r="P269" t="s">
        <v>472</v>
      </c>
      <c r="Q269" t="s">
        <v>473</v>
      </c>
    </row>
    <row r="270" spans="1:17" ht="15" customHeight="1" x14ac:dyDescent="0.35">
      <c r="A270" t="s">
        <v>438</v>
      </c>
      <c r="B270">
        <v>41</v>
      </c>
      <c r="C270" t="s">
        <v>788</v>
      </c>
      <c r="D270" t="s">
        <v>421</v>
      </c>
      <c r="E270" t="s">
        <v>25</v>
      </c>
      <c r="F270" t="s">
        <v>62</v>
      </c>
      <c r="G270">
        <v>74</v>
      </c>
      <c r="H270">
        <v>0</v>
      </c>
      <c r="I270">
        <v>0</v>
      </c>
      <c r="J270">
        <v>0</v>
      </c>
      <c r="K270">
        <v>9.9999999999999995E-7</v>
      </c>
      <c r="L270">
        <v>0.303846</v>
      </c>
      <c r="M270" t="s">
        <v>27</v>
      </c>
      <c r="N270" t="s">
        <v>63</v>
      </c>
      <c r="O270" t="s">
        <v>471</v>
      </c>
      <c r="P270" t="s">
        <v>472</v>
      </c>
      <c r="Q270" t="s">
        <v>473</v>
      </c>
    </row>
    <row r="271" spans="1:17" ht="15" customHeight="1" x14ac:dyDescent="0.35">
      <c r="A271" t="s">
        <v>438</v>
      </c>
      <c r="B271">
        <v>42</v>
      </c>
      <c r="C271" t="s">
        <v>789</v>
      </c>
      <c r="D271" t="s">
        <v>421</v>
      </c>
      <c r="E271" t="s">
        <v>25</v>
      </c>
      <c r="F271" t="s">
        <v>34</v>
      </c>
      <c r="G271">
        <v>258</v>
      </c>
      <c r="H271">
        <v>0</v>
      </c>
      <c r="I271">
        <v>138</v>
      </c>
      <c r="J271">
        <v>0</v>
      </c>
      <c r="K271">
        <v>1.21E-4</v>
      </c>
      <c r="L271">
        <v>1.7687109999999999</v>
      </c>
      <c r="M271" t="s">
        <v>27</v>
      </c>
      <c r="N271" t="s">
        <v>28</v>
      </c>
      <c r="O271" t="s">
        <v>471</v>
      </c>
      <c r="P271" t="s">
        <v>472</v>
      </c>
      <c r="Q271" t="s">
        <v>473</v>
      </c>
    </row>
    <row r="272" spans="1:17" ht="15" customHeight="1" x14ac:dyDescent="0.35">
      <c r="A272" t="s">
        <v>438</v>
      </c>
      <c r="B272">
        <v>43</v>
      </c>
      <c r="C272" t="s">
        <v>790</v>
      </c>
      <c r="D272" t="s">
        <v>421</v>
      </c>
      <c r="E272" t="s">
        <v>25</v>
      </c>
      <c r="F272" t="s">
        <v>62</v>
      </c>
      <c r="G272">
        <v>36</v>
      </c>
      <c r="H272">
        <v>0</v>
      </c>
      <c r="I272">
        <v>0</v>
      </c>
      <c r="J272">
        <v>0</v>
      </c>
      <c r="K272">
        <v>9.9999999999999995E-7</v>
      </c>
      <c r="L272">
        <v>0.42364000000000002</v>
      </c>
      <c r="M272" t="s">
        <v>27</v>
      </c>
      <c r="N272" t="s">
        <v>63</v>
      </c>
      <c r="O272" t="s">
        <v>471</v>
      </c>
      <c r="P272" t="s">
        <v>472</v>
      </c>
      <c r="Q272" t="s">
        <v>473</v>
      </c>
    </row>
    <row r="273" spans="1:17" ht="15" customHeight="1" x14ac:dyDescent="0.35">
      <c r="A273" t="s">
        <v>438</v>
      </c>
      <c r="B273">
        <v>44</v>
      </c>
      <c r="C273" t="s">
        <v>791</v>
      </c>
      <c r="D273" t="s">
        <v>421</v>
      </c>
      <c r="E273" t="s">
        <v>25</v>
      </c>
      <c r="F273" t="s">
        <v>34</v>
      </c>
      <c r="G273">
        <v>4201</v>
      </c>
      <c r="H273">
        <v>0</v>
      </c>
      <c r="I273">
        <v>12</v>
      </c>
      <c r="J273">
        <v>0</v>
      </c>
      <c r="K273">
        <v>6.3699999999999998E-4</v>
      </c>
      <c r="L273">
        <v>1.3597429999999999</v>
      </c>
      <c r="M273" t="s">
        <v>27</v>
      </c>
      <c r="N273" t="s">
        <v>28</v>
      </c>
      <c r="O273" t="s">
        <v>471</v>
      </c>
      <c r="P273" t="s">
        <v>472</v>
      </c>
      <c r="Q273" t="s">
        <v>473</v>
      </c>
    </row>
    <row r="274" spans="1:17" ht="15" customHeight="1" x14ac:dyDescent="0.35">
      <c r="A274" t="s">
        <v>438</v>
      </c>
      <c r="B274">
        <v>45</v>
      </c>
      <c r="C274" t="s">
        <v>791</v>
      </c>
      <c r="D274" t="s">
        <v>421</v>
      </c>
      <c r="E274" t="s">
        <v>25</v>
      </c>
      <c r="F274" t="s">
        <v>62</v>
      </c>
      <c r="G274">
        <v>99</v>
      </c>
      <c r="H274">
        <v>0</v>
      </c>
      <c r="I274">
        <v>0</v>
      </c>
      <c r="J274">
        <v>0</v>
      </c>
      <c r="K274">
        <v>1.9999999999999999E-6</v>
      </c>
      <c r="L274">
        <v>0.30693300000000001</v>
      </c>
      <c r="M274" t="s">
        <v>27</v>
      </c>
      <c r="N274" t="s">
        <v>63</v>
      </c>
      <c r="O274" t="s">
        <v>471</v>
      </c>
      <c r="P274" t="s">
        <v>472</v>
      </c>
      <c r="Q274" t="s">
        <v>473</v>
      </c>
    </row>
    <row r="275" spans="1:17" ht="15" customHeight="1" x14ac:dyDescent="0.35">
      <c r="A275" t="s">
        <v>438</v>
      </c>
      <c r="B275">
        <v>46</v>
      </c>
      <c r="C275" t="s">
        <v>792</v>
      </c>
      <c r="D275" t="s">
        <v>421</v>
      </c>
      <c r="E275" t="s">
        <v>25</v>
      </c>
      <c r="F275" t="s">
        <v>34</v>
      </c>
      <c r="G275">
        <v>3442</v>
      </c>
      <c r="H275">
        <v>0</v>
      </c>
      <c r="I275">
        <v>180</v>
      </c>
      <c r="J275">
        <v>0</v>
      </c>
      <c r="K275">
        <v>6.2399999999999999E-4</v>
      </c>
      <c r="L275">
        <v>2.4462600000000001</v>
      </c>
      <c r="M275" t="s">
        <v>27</v>
      </c>
      <c r="N275" t="s">
        <v>28</v>
      </c>
      <c r="O275" t="s">
        <v>471</v>
      </c>
      <c r="P275" t="s">
        <v>472</v>
      </c>
      <c r="Q275" t="s">
        <v>473</v>
      </c>
    </row>
    <row r="276" spans="1:17" ht="15" customHeight="1" x14ac:dyDescent="0.35">
      <c r="A276" t="s">
        <v>438</v>
      </c>
      <c r="B276">
        <v>47</v>
      </c>
      <c r="C276" t="s">
        <v>793</v>
      </c>
      <c r="D276" t="s">
        <v>421</v>
      </c>
      <c r="E276" t="s">
        <v>25</v>
      </c>
      <c r="F276" t="s">
        <v>62</v>
      </c>
      <c r="G276">
        <v>442</v>
      </c>
      <c r="H276">
        <v>0</v>
      </c>
      <c r="I276">
        <v>0</v>
      </c>
      <c r="J276">
        <v>0</v>
      </c>
      <c r="K276">
        <v>9.0000000000000002E-6</v>
      </c>
      <c r="L276">
        <v>0.30204700000000001</v>
      </c>
      <c r="M276" t="s">
        <v>27</v>
      </c>
      <c r="N276" t="s">
        <v>63</v>
      </c>
      <c r="O276" t="s">
        <v>471</v>
      </c>
      <c r="P276" t="s">
        <v>472</v>
      </c>
      <c r="Q276" t="s">
        <v>473</v>
      </c>
    </row>
    <row r="277" spans="1:17" ht="15" customHeight="1" x14ac:dyDescent="0.35">
      <c r="A277" t="s">
        <v>438</v>
      </c>
      <c r="B277">
        <v>48</v>
      </c>
      <c r="C277" t="s">
        <v>794</v>
      </c>
      <c r="D277" t="s">
        <v>421</v>
      </c>
      <c r="E277" t="s">
        <v>25</v>
      </c>
      <c r="F277" t="s">
        <v>34</v>
      </c>
      <c r="G277">
        <v>4069</v>
      </c>
      <c r="H277">
        <v>1024</v>
      </c>
      <c r="I277">
        <v>336</v>
      </c>
      <c r="J277">
        <v>0</v>
      </c>
      <c r="K277">
        <v>7.3499999999999998E-4</v>
      </c>
      <c r="L277">
        <v>3.1855319999999998</v>
      </c>
      <c r="M277" t="s">
        <v>27</v>
      </c>
      <c r="N277" t="s">
        <v>28</v>
      </c>
      <c r="O277" t="s">
        <v>471</v>
      </c>
      <c r="P277" t="s">
        <v>472</v>
      </c>
      <c r="Q277" t="s">
        <v>473</v>
      </c>
    </row>
    <row r="278" spans="1:17" ht="15" customHeight="1" x14ac:dyDescent="0.35">
      <c r="A278" t="s">
        <v>438</v>
      </c>
      <c r="B278">
        <v>49</v>
      </c>
      <c r="C278" t="s">
        <v>794</v>
      </c>
      <c r="D278" t="s">
        <v>421</v>
      </c>
      <c r="E278" t="s">
        <v>25</v>
      </c>
      <c r="F278" t="s">
        <v>62</v>
      </c>
      <c r="G278">
        <v>74</v>
      </c>
      <c r="H278">
        <v>0</v>
      </c>
      <c r="I278">
        <v>0</v>
      </c>
      <c r="J278">
        <v>0</v>
      </c>
      <c r="K278">
        <v>9.9999999999999995E-7</v>
      </c>
      <c r="L278">
        <v>0.28914200000000001</v>
      </c>
      <c r="M278" t="s">
        <v>27</v>
      </c>
      <c r="N278" t="s">
        <v>63</v>
      </c>
      <c r="O278" t="s">
        <v>471</v>
      </c>
      <c r="P278" t="s">
        <v>472</v>
      </c>
      <c r="Q278" t="s">
        <v>473</v>
      </c>
    </row>
    <row r="279" spans="1:17" ht="15" customHeight="1" x14ac:dyDescent="0.35">
      <c r="A279" t="s">
        <v>438</v>
      </c>
      <c r="B279">
        <v>50</v>
      </c>
      <c r="C279" t="s">
        <v>795</v>
      </c>
      <c r="D279" t="s">
        <v>421</v>
      </c>
      <c r="E279" t="s">
        <v>25</v>
      </c>
      <c r="F279" t="s">
        <v>34</v>
      </c>
      <c r="G279">
        <v>4640</v>
      </c>
      <c r="H279">
        <v>0</v>
      </c>
      <c r="I279">
        <v>280</v>
      </c>
      <c r="J279">
        <v>0</v>
      </c>
      <c r="K279">
        <v>8.6399999999999997E-4</v>
      </c>
      <c r="L279">
        <v>6.6147</v>
      </c>
      <c r="M279" t="s">
        <v>27</v>
      </c>
      <c r="N279" t="s">
        <v>28</v>
      </c>
      <c r="O279" t="s">
        <v>471</v>
      </c>
      <c r="P279" t="s">
        <v>472</v>
      </c>
      <c r="Q279" t="s">
        <v>473</v>
      </c>
    </row>
    <row r="280" spans="1:17" ht="15" customHeight="1" x14ac:dyDescent="0.35">
      <c r="A280" t="s">
        <v>438</v>
      </c>
      <c r="B280">
        <v>51</v>
      </c>
      <c r="C280" t="s">
        <v>796</v>
      </c>
      <c r="D280" t="s">
        <v>421</v>
      </c>
      <c r="E280" t="s">
        <v>25</v>
      </c>
      <c r="F280" t="s">
        <v>62</v>
      </c>
      <c r="G280">
        <v>83</v>
      </c>
      <c r="H280">
        <v>0</v>
      </c>
      <c r="I280">
        <v>0</v>
      </c>
      <c r="J280">
        <v>0</v>
      </c>
      <c r="K280">
        <v>1.9999999999999999E-6</v>
      </c>
      <c r="L280">
        <v>0.61298900000000001</v>
      </c>
      <c r="M280" t="s">
        <v>27</v>
      </c>
      <c r="N280" t="s">
        <v>63</v>
      </c>
      <c r="O280" t="s">
        <v>471</v>
      </c>
      <c r="P280" t="s">
        <v>472</v>
      </c>
      <c r="Q280" t="s">
        <v>473</v>
      </c>
    </row>
    <row r="281" spans="1:17" ht="15" customHeight="1" x14ac:dyDescent="0.35">
      <c r="A281" t="s">
        <v>438</v>
      </c>
      <c r="B281">
        <v>52</v>
      </c>
      <c r="C281" t="s">
        <v>797</v>
      </c>
      <c r="D281" t="s">
        <v>421</v>
      </c>
      <c r="E281" t="s">
        <v>25</v>
      </c>
      <c r="F281" t="s">
        <v>34</v>
      </c>
      <c r="G281">
        <v>4261</v>
      </c>
      <c r="H281">
        <v>1024</v>
      </c>
      <c r="I281">
        <v>270</v>
      </c>
      <c r="J281">
        <v>0</v>
      </c>
      <c r="K281">
        <v>7.2400000000000003E-4</v>
      </c>
      <c r="L281">
        <v>3.2626849999999998</v>
      </c>
      <c r="M281" t="s">
        <v>27</v>
      </c>
      <c r="N281" t="s">
        <v>28</v>
      </c>
      <c r="O281" t="s">
        <v>471</v>
      </c>
      <c r="P281" t="s">
        <v>472</v>
      </c>
      <c r="Q281" t="s">
        <v>473</v>
      </c>
    </row>
    <row r="282" spans="1:17" ht="15" customHeight="1" x14ac:dyDescent="0.35">
      <c r="A282" t="s">
        <v>438</v>
      </c>
      <c r="B282">
        <v>53</v>
      </c>
      <c r="C282" t="s">
        <v>797</v>
      </c>
      <c r="D282" t="s">
        <v>421</v>
      </c>
      <c r="E282" t="s">
        <v>25</v>
      </c>
      <c r="F282" t="s">
        <v>62</v>
      </c>
      <c r="G282">
        <v>74</v>
      </c>
      <c r="H282">
        <v>0</v>
      </c>
      <c r="I282">
        <v>0</v>
      </c>
      <c r="J282">
        <v>0</v>
      </c>
      <c r="K282">
        <v>9.9999999999999995E-7</v>
      </c>
      <c r="L282">
        <v>0.30241000000000001</v>
      </c>
      <c r="M282" t="s">
        <v>27</v>
      </c>
      <c r="N282" t="s">
        <v>63</v>
      </c>
      <c r="O282" t="s">
        <v>471</v>
      </c>
      <c r="P282" t="s">
        <v>472</v>
      </c>
      <c r="Q282" t="s">
        <v>473</v>
      </c>
    </row>
    <row r="283" spans="1:17" ht="15" customHeight="1" x14ac:dyDescent="0.35">
      <c r="A283" t="s">
        <v>438</v>
      </c>
      <c r="B283">
        <v>54</v>
      </c>
      <c r="C283" t="s">
        <v>798</v>
      </c>
      <c r="D283" t="s">
        <v>421</v>
      </c>
      <c r="E283" t="s">
        <v>25</v>
      </c>
      <c r="F283" t="s">
        <v>34</v>
      </c>
      <c r="G283">
        <v>3409</v>
      </c>
      <c r="H283">
        <v>0</v>
      </c>
      <c r="I283">
        <v>258</v>
      </c>
      <c r="J283">
        <v>0</v>
      </c>
      <c r="K283">
        <v>6.6600000000000003E-4</v>
      </c>
      <c r="L283">
        <v>2.795452</v>
      </c>
      <c r="M283" t="s">
        <v>27</v>
      </c>
      <c r="N283" t="s">
        <v>28</v>
      </c>
      <c r="O283" t="s">
        <v>471</v>
      </c>
      <c r="P283" t="s">
        <v>472</v>
      </c>
      <c r="Q283" t="s">
        <v>473</v>
      </c>
    </row>
    <row r="284" spans="1:17" ht="15" customHeight="1" x14ac:dyDescent="0.35">
      <c r="A284" t="s">
        <v>438</v>
      </c>
      <c r="B284">
        <v>55</v>
      </c>
      <c r="C284" t="s">
        <v>799</v>
      </c>
      <c r="D284" t="s">
        <v>421</v>
      </c>
      <c r="E284" t="s">
        <v>25</v>
      </c>
      <c r="F284" t="s">
        <v>62</v>
      </c>
      <c r="G284">
        <v>36</v>
      </c>
      <c r="H284">
        <v>0</v>
      </c>
      <c r="I284">
        <v>0</v>
      </c>
      <c r="J284">
        <v>0</v>
      </c>
      <c r="K284">
        <v>9.9999999999999995E-7</v>
      </c>
      <c r="L284">
        <v>0.50748499999999996</v>
      </c>
      <c r="M284" t="s">
        <v>27</v>
      </c>
      <c r="N284" t="s">
        <v>63</v>
      </c>
      <c r="O284" t="s">
        <v>471</v>
      </c>
      <c r="P284" t="s">
        <v>472</v>
      </c>
      <c r="Q284" t="s">
        <v>473</v>
      </c>
    </row>
    <row r="285" spans="1:17" ht="15" customHeight="1" x14ac:dyDescent="0.35">
      <c r="A285" t="s">
        <v>438</v>
      </c>
      <c r="B285">
        <v>56</v>
      </c>
      <c r="C285" t="s">
        <v>800</v>
      </c>
      <c r="D285" t="s">
        <v>421</v>
      </c>
      <c r="E285" t="s">
        <v>25</v>
      </c>
      <c r="F285" t="s">
        <v>34</v>
      </c>
      <c r="G285">
        <v>3377</v>
      </c>
      <c r="H285">
        <v>0</v>
      </c>
      <c r="I285">
        <v>15</v>
      </c>
      <c r="J285">
        <v>0</v>
      </c>
      <c r="K285">
        <v>5.1599999999999997E-4</v>
      </c>
      <c r="L285">
        <v>1.0119180000000001</v>
      </c>
      <c r="M285" t="s">
        <v>27</v>
      </c>
      <c r="N285" t="s">
        <v>28</v>
      </c>
      <c r="O285" t="s">
        <v>471</v>
      </c>
      <c r="P285" t="s">
        <v>472</v>
      </c>
      <c r="Q285" t="s">
        <v>473</v>
      </c>
    </row>
    <row r="286" spans="1:17" ht="15" customHeight="1" x14ac:dyDescent="0.35">
      <c r="A286" t="s">
        <v>438</v>
      </c>
      <c r="B286">
        <v>57</v>
      </c>
      <c r="C286" t="s">
        <v>800</v>
      </c>
      <c r="D286" t="s">
        <v>421</v>
      </c>
      <c r="E286" t="s">
        <v>25</v>
      </c>
      <c r="F286" t="s">
        <v>62</v>
      </c>
      <c r="G286">
        <v>99</v>
      </c>
      <c r="H286">
        <v>0</v>
      </c>
      <c r="I286">
        <v>0</v>
      </c>
      <c r="J286">
        <v>0</v>
      </c>
      <c r="K286">
        <v>1.9999999999999999E-6</v>
      </c>
      <c r="L286">
        <v>0.19738900000000001</v>
      </c>
      <c r="M286" t="s">
        <v>27</v>
      </c>
      <c r="N286" t="s">
        <v>63</v>
      </c>
      <c r="O286" t="s">
        <v>471</v>
      </c>
      <c r="P286" t="s">
        <v>472</v>
      </c>
      <c r="Q286" t="s">
        <v>473</v>
      </c>
    </row>
    <row r="287" spans="1:17" ht="15" customHeight="1" x14ac:dyDescent="0.35">
      <c r="A287" t="s">
        <v>438</v>
      </c>
      <c r="B287">
        <v>58</v>
      </c>
      <c r="C287" t="s">
        <v>801</v>
      </c>
      <c r="D287" t="s">
        <v>421</v>
      </c>
      <c r="E287" t="s">
        <v>25</v>
      </c>
      <c r="F287" t="s">
        <v>34</v>
      </c>
      <c r="G287">
        <v>3513</v>
      </c>
      <c r="H287">
        <v>0</v>
      </c>
      <c r="I287">
        <v>228</v>
      </c>
      <c r="J287">
        <v>0</v>
      </c>
      <c r="K287">
        <v>6.6399999999999999E-4</v>
      </c>
      <c r="L287">
        <v>3.2216339999999999</v>
      </c>
      <c r="M287" t="s">
        <v>27</v>
      </c>
      <c r="N287" t="s">
        <v>28</v>
      </c>
      <c r="O287" t="s">
        <v>471</v>
      </c>
      <c r="P287" t="s">
        <v>472</v>
      </c>
      <c r="Q287" t="s">
        <v>473</v>
      </c>
    </row>
    <row r="288" spans="1:17" ht="15" customHeight="1" x14ac:dyDescent="0.35">
      <c r="A288" t="s">
        <v>438</v>
      </c>
      <c r="B288">
        <v>59</v>
      </c>
      <c r="C288" t="s">
        <v>801</v>
      </c>
      <c r="D288" t="s">
        <v>421</v>
      </c>
      <c r="E288" t="s">
        <v>25</v>
      </c>
      <c r="F288" t="s">
        <v>62</v>
      </c>
      <c r="G288">
        <v>442</v>
      </c>
      <c r="H288">
        <v>0</v>
      </c>
      <c r="I288">
        <v>0</v>
      </c>
      <c r="J288">
        <v>0</v>
      </c>
      <c r="K288">
        <v>9.0000000000000002E-6</v>
      </c>
      <c r="L288">
        <v>0.29922300000000002</v>
      </c>
      <c r="M288" t="s">
        <v>27</v>
      </c>
      <c r="N288" t="s">
        <v>63</v>
      </c>
      <c r="O288" t="s">
        <v>471</v>
      </c>
      <c r="P288" t="s">
        <v>472</v>
      </c>
      <c r="Q288" t="s">
        <v>473</v>
      </c>
    </row>
    <row r="289" spans="1:51" ht="15" customHeight="1" x14ac:dyDescent="0.35">
      <c r="A289" t="s">
        <v>438</v>
      </c>
      <c r="B289">
        <v>60</v>
      </c>
      <c r="C289" t="s">
        <v>802</v>
      </c>
      <c r="D289" t="s">
        <v>421</v>
      </c>
      <c r="E289" t="s">
        <v>25</v>
      </c>
      <c r="F289" t="s">
        <v>34</v>
      </c>
      <c r="G289">
        <v>3636</v>
      </c>
      <c r="H289">
        <v>0</v>
      </c>
      <c r="I289">
        <v>308</v>
      </c>
      <c r="J289">
        <v>0</v>
      </c>
      <c r="K289">
        <v>7.2999999999999996E-4</v>
      </c>
      <c r="L289">
        <v>3.747277</v>
      </c>
      <c r="M289" t="s">
        <v>27</v>
      </c>
      <c r="N289" t="s">
        <v>28</v>
      </c>
      <c r="O289" t="s">
        <v>471</v>
      </c>
      <c r="P289" t="s">
        <v>472</v>
      </c>
      <c r="Q289" t="s">
        <v>473</v>
      </c>
    </row>
    <row r="290" spans="1:51" ht="15" customHeight="1" x14ac:dyDescent="0.35">
      <c r="A290" t="s">
        <v>438</v>
      </c>
      <c r="B290">
        <v>61</v>
      </c>
      <c r="C290" t="s">
        <v>802</v>
      </c>
      <c r="D290" t="s">
        <v>421</v>
      </c>
      <c r="E290" t="s">
        <v>25</v>
      </c>
      <c r="F290" t="s">
        <v>62</v>
      </c>
      <c r="G290">
        <v>74</v>
      </c>
      <c r="H290">
        <v>0</v>
      </c>
      <c r="I290">
        <v>0</v>
      </c>
      <c r="J290">
        <v>0</v>
      </c>
      <c r="K290">
        <v>9.9999999999999995E-7</v>
      </c>
      <c r="L290">
        <v>0.31255500000000003</v>
      </c>
      <c r="M290" t="s">
        <v>27</v>
      </c>
      <c r="N290" t="s">
        <v>63</v>
      </c>
      <c r="O290" t="s">
        <v>471</v>
      </c>
      <c r="P290" t="s">
        <v>472</v>
      </c>
      <c r="Q290" t="s">
        <v>473</v>
      </c>
    </row>
    <row r="291" spans="1:51" ht="15" customHeight="1" x14ac:dyDescent="0.35">
      <c r="A291" t="s">
        <v>438</v>
      </c>
      <c r="B291">
        <v>62</v>
      </c>
      <c r="C291" t="s">
        <v>803</v>
      </c>
      <c r="D291" t="s">
        <v>421</v>
      </c>
      <c r="E291" t="s">
        <v>25</v>
      </c>
      <c r="F291" t="s">
        <v>34</v>
      </c>
      <c r="G291">
        <v>3583</v>
      </c>
      <c r="H291">
        <v>0</v>
      </c>
      <c r="I291">
        <v>253</v>
      </c>
      <c r="J291">
        <v>0</v>
      </c>
      <c r="K291">
        <v>6.8900000000000005E-4</v>
      </c>
      <c r="L291">
        <v>4.1087040000000004</v>
      </c>
      <c r="M291" t="s">
        <v>27</v>
      </c>
      <c r="N291" t="s">
        <v>28</v>
      </c>
      <c r="O291" t="s">
        <v>471</v>
      </c>
      <c r="P291" t="s">
        <v>472</v>
      </c>
      <c r="Q291" t="s">
        <v>473</v>
      </c>
    </row>
    <row r="292" spans="1:51" ht="15" customHeight="1" x14ac:dyDescent="0.35">
      <c r="A292" t="s">
        <v>438</v>
      </c>
      <c r="B292">
        <v>63</v>
      </c>
      <c r="C292" t="s">
        <v>803</v>
      </c>
      <c r="D292" t="s">
        <v>421</v>
      </c>
      <c r="E292" t="s">
        <v>25</v>
      </c>
      <c r="F292" t="s">
        <v>62</v>
      </c>
      <c r="G292">
        <v>83</v>
      </c>
      <c r="H292">
        <v>0</v>
      </c>
      <c r="I292">
        <v>0</v>
      </c>
      <c r="J292">
        <v>0</v>
      </c>
      <c r="K292">
        <v>1.9999999999999999E-6</v>
      </c>
      <c r="L292">
        <v>0.25021700000000002</v>
      </c>
      <c r="M292" t="s">
        <v>27</v>
      </c>
      <c r="N292" t="s">
        <v>63</v>
      </c>
      <c r="O292" t="s">
        <v>471</v>
      </c>
      <c r="P292" t="s">
        <v>472</v>
      </c>
      <c r="Q292" t="s">
        <v>473</v>
      </c>
    </row>
    <row r="293" spans="1:51" ht="15" customHeight="1" x14ac:dyDescent="0.35">
      <c r="A293" t="s">
        <v>438</v>
      </c>
      <c r="B293">
        <v>64</v>
      </c>
      <c r="C293" t="s">
        <v>804</v>
      </c>
      <c r="D293" t="s">
        <v>421</v>
      </c>
      <c r="E293" t="s">
        <v>25</v>
      </c>
      <c r="F293" t="s">
        <v>34</v>
      </c>
      <c r="G293">
        <v>3920</v>
      </c>
      <c r="H293">
        <v>0</v>
      </c>
      <c r="I293">
        <v>283</v>
      </c>
      <c r="J293">
        <v>0</v>
      </c>
      <c r="K293">
        <v>7.5799999999999999E-4</v>
      </c>
      <c r="L293">
        <v>3.3545340000000001</v>
      </c>
      <c r="M293" t="s">
        <v>27</v>
      </c>
      <c r="N293" t="s">
        <v>28</v>
      </c>
      <c r="O293" t="s">
        <v>471</v>
      </c>
      <c r="P293" t="s">
        <v>472</v>
      </c>
      <c r="Q293" t="s">
        <v>473</v>
      </c>
    </row>
    <row r="294" spans="1:51" ht="15" customHeight="1" x14ac:dyDescent="0.35">
      <c r="A294" t="s">
        <v>438</v>
      </c>
      <c r="B294">
        <v>65</v>
      </c>
      <c r="C294" t="s">
        <v>805</v>
      </c>
      <c r="D294" t="s">
        <v>421</v>
      </c>
      <c r="E294" t="s">
        <v>25</v>
      </c>
      <c r="F294" t="s">
        <v>62</v>
      </c>
      <c r="G294">
        <v>74</v>
      </c>
      <c r="H294">
        <v>0</v>
      </c>
      <c r="I294">
        <v>0</v>
      </c>
      <c r="J294">
        <v>0</v>
      </c>
      <c r="K294">
        <v>9.9999999999999995E-7</v>
      </c>
      <c r="L294">
        <v>0.29531600000000002</v>
      </c>
      <c r="M294" t="s">
        <v>27</v>
      </c>
      <c r="N294" t="s">
        <v>63</v>
      </c>
      <c r="O294" t="s">
        <v>471</v>
      </c>
      <c r="P294" t="s">
        <v>472</v>
      </c>
      <c r="Q294" t="s">
        <v>473</v>
      </c>
    </row>
    <row r="295" spans="1:51" ht="15" customHeight="1" x14ac:dyDescent="0.35">
      <c r="A295" t="s">
        <v>438</v>
      </c>
      <c r="B295">
        <v>66</v>
      </c>
      <c r="C295" t="s">
        <v>806</v>
      </c>
      <c r="D295" t="s">
        <v>421</v>
      </c>
      <c r="E295" t="s">
        <v>25</v>
      </c>
      <c r="F295" t="s">
        <v>34</v>
      </c>
      <c r="G295">
        <v>3348</v>
      </c>
      <c r="H295">
        <v>0</v>
      </c>
      <c r="I295">
        <v>286</v>
      </c>
      <c r="J295">
        <v>0</v>
      </c>
      <c r="K295">
        <v>6.7400000000000001E-4</v>
      </c>
      <c r="L295">
        <v>3.0145179999999998</v>
      </c>
      <c r="M295" t="s">
        <v>27</v>
      </c>
      <c r="N295" t="s">
        <v>28</v>
      </c>
      <c r="O295" t="s">
        <v>471</v>
      </c>
      <c r="P295" t="s">
        <v>472</v>
      </c>
      <c r="Q295" t="s">
        <v>473</v>
      </c>
    </row>
    <row r="298" spans="1:51" ht="15" customHeight="1" x14ac:dyDescent="0.35">
      <c r="A298" s="3" t="s">
        <v>849</v>
      </c>
    </row>
    <row r="300" spans="1:51" ht="15" customHeight="1" x14ac:dyDescent="0.35">
      <c r="A300" s="27" t="s">
        <v>0</v>
      </c>
      <c r="B300" s="27" t="s">
        <v>371</v>
      </c>
      <c r="C300" s="24" t="s">
        <v>26</v>
      </c>
      <c r="D300" s="25"/>
      <c r="E300" s="25"/>
      <c r="F300" s="25"/>
      <c r="G300" s="25"/>
      <c r="H300" s="25"/>
      <c r="I300" s="26"/>
      <c r="J300" s="24" t="s">
        <v>34</v>
      </c>
      <c r="K300" s="25"/>
      <c r="L300" s="25"/>
      <c r="M300" s="25"/>
      <c r="N300" s="25"/>
      <c r="O300" s="25"/>
      <c r="P300" s="26"/>
      <c r="Q300" s="24" t="s">
        <v>372</v>
      </c>
      <c r="R300" s="25"/>
      <c r="S300" s="25"/>
      <c r="T300" s="25"/>
      <c r="U300" s="25"/>
      <c r="V300" s="25"/>
      <c r="W300" s="26"/>
      <c r="X300" s="24" t="s">
        <v>47</v>
      </c>
      <c r="Y300" s="25"/>
      <c r="Z300" s="25"/>
      <c r="AA300" s="25"/>
      <c r="AB300" s="25"/>
      <c r="AC300" s="25"/>
      <c r="AD300" s="26"/>
      <c r="AE300" s="24" t="s">
        <v>41</v>
      </c>
      <c r="AF300" s="25"/>
      <c r="AG300" s="25"/>
      <c r="AH300" s="25"/>
      <c r="AI300" s="25"/>
      <c r="AJ300" s="25"/>
      <c r="AK300" s="26"/>
      <c r="AL300" s="24" t="s">
        <v>373</v>
      </c>
      <c r="AM300" s="25"/>
      <c r="AN300" s="25"/>
      <c r="AO300" s="25"/>
      <c r="AP300" s="25"/>
      <c r="AQ300" s="25"/>
      <c r="AR300" s="26"/>
      <c r="AS300" s="24" t="s">
        <v>374</v>
      </c>
      <c r="AT300" s="25"/>
      <c r="AU300" s="25"/>
      <c r="AV300" s="25"/>
      <c r="AW300" s="25"/>
      <c r="AX300" s="25"/>
      <c r="AY300" s="26"/>
    </row>
    <row r="301" spans="1:51" ht="27.75" customHeight="1" x14ac:dyDescent="0.35">
      <c r="A301" s="28"/>
      <c r="B301" s="28"/>
      <c r="C301" s="4" t="s">
        <v>375</v>
      </c>
      <c r="D301" s="4" t="s">
        <v>6</v>
      </c>
      <c r="E301" s="4" t="s">
        <v>7</v>
      </c>
      <c r="F301" s="4" t="s">
        <v>8</v>
      </c>
      <c r="G301" s="4" t="s">
        <v>9</v>
      </c>
      <c r="H301" s="4" t="s">
        <v>10</v>
      </c>
      <c r="I301" s="4" t="s">
        <v>11</v>
      </c>
      <c r="J301" s="4" t="s">
        <v>375</v>
      </c>
      <c r="K301" s="4" t="s">
        <v>6</v>
      </c>
      <c r="L301" s="4" t="s">
        <v>7</v>
      </c>
      <c r="M301" s="4" t="s">
        <v>8</v>
      </c>
      <c r="N301" s="4" t="s">
        <v>9</v>
      </c>
      <c r="O301" s="4" t="s">
        <v>10</v>
      </c>
      <c r="P301" s="4" t="s">
        <v>11</v>
      </c>
      <c r="Q301" s="4" t="s">
        <v>375</v>
      </c>
      <c r="R301" s="4" t="s">
        <v>6</v>
      </c>
      <c r="S301" s="4" t="s">
        <v>7</v>
      </c>
      <c r="T301" s="4" t="s">
        <v>8</v>
      </c>
      <c r="U301" s="4" t="s">
        <v>9</v>
      </c>
      <c r="V301" s="4" t="s">
        <v>10</v>
      </c>
      <c r="W301" s="4" t="s">
        <v>11</v>
      </c>
      <c r="X301" s="4" t="s">
        <v>375</v>
      </c>
      <c r="Y301" s="4" t="s">
        <v>6</v>
      </c>
      <c r="Z301" s="4" t="s">
        <v>7</v>
      </c>
      <c r="AA301" s="4" t="s">
        <v>8</v>
      </c>
      <c r="AB301" s="4" t="s">
        <v>9</v>
      </c>
      <c r="AC301" s="4" t="s">
        <v>10</v>
      </c>
      <c r="AD301" s="4" t="s">
        <v>11</v>
      </c>
      <c r="AE301" s="4" t="s">
        <v>375</v>
      </c>
      <c r="AF301" s="4" t="s">
        <v>6</v>
      </c>
      <c r="AG301" s="4" t="s">
        <v>7</v>
      </c>
      <c r="AH301" s="4" t="s">
        <v>8</v>
      </c>
      <c r="AI301" s="4" t="s">
        <v>9</v>
      </c>
      <c r="AJ301" s="4" t="s">
        <v>10</v>
      </c>
      <c r="AK301" s="4" t="s">
        <v>11</v>
      </c>
      <c r="AL301" s="4" t="s">
        <v>375</v>
      </c>
      <c r="AM301" s="4" t="s">
        <v>6</v>
      </c>
      <c r="AN301" s="4" t="s">
        <v>7</v>
      </c>
      <c r="AO301" s="4" t="s">
        <v>8</v>
      </c>
      <c r="AP301" s="4" t="s">
        <v>9</v>
      </c>
      <c r="AQ301" s="4" t="s">
        <v>10</v>
      </c>
      <c r="AR301" s="4" t="s">
        <v>11</v>
      </c>
      <c r="AS301" s="4" t="s">
        <v>375</v>
      </c>
      <c r="AT301" s="4" t="s">
        <v>6</v>
      </c>
      <c r="AU301" s="4" t="s">
        <v>7</v>
      </c>
      <c r="AV301" s="4" t="s">
        <v>8</v>
      </c>
      <c r="AW301" s="4" t="s">
        <v>9</v>
      </c>
      <c r="AX301" s="4" t="s">
        <v>10</v>
      </c>
      <c r="AY301" s="4" t="s">
        <v>11</v>
      </c>
    </row>
    <row r="302" spans="1:51" ht="15" customHeight="1" x14ac:dyDescent="0.35">
      <c r="A302" s="5" t="s">
        <v>418</v>
      </c>
      <c r="B302" s="5" t="str">
        <f>INDEX(runs!$D:$D,MATCH(A302,runs!$A:$A,0))</f>
        <v>Get me a list of cases by Carrefour</v>
      </c>
      <c r="C302" s="5">
        <f>COUNTIFS(F2:F295,"gpt-4o",A2:A295,$A302)</f>
        <v>2</v>
      </c>
      <c r="D302" s="5">
        <f>SUMIFS(G2:G295,F2:F295,"gpt-4o",A2:A295,$A302)</f>
        <v>1687</v>
      </c>
      <c r="E302" s="5">
        <f>SUMIFS(H2:H295,F2:F295,"gpt-4o",A2:A295,$A302)</f>
        <v>1024</v>
      </c>
      <c r="F302" s="5">
        <f>SUMIFS(I2:I295,F2:F295,"gpt-4o",A2:A295,$A302)</f>
        <v>83</v>
      </c>
      <c r="G302" s="5">
        <f>SUMIFS(J2:J295,F2:F295,"gpt-4o",A2:A295,$A302)</f>
        <v>0</v>
      </c>
      <c r="H302" s="5">
        <f>SUMIFS(K2:K295,F2:F295,"gpt-4o",A2:A295,$A302)</f>
        <v>3.7680000000000005E-3</v>
      </c>
      <c r="I302" s="5">
        <f>SUMIFS(L2:L295,F2:F295,"gpt-4o",A2:A295,$A302)</f>
        <v>3.1181609999999997</v>
      </c>
      <c r="J302" s="5">
        <f>COUNTIFS(F2:F295,"gpt-4o-mini",A2:A295,$A302)</f>
        <v>31</v>
      </c>
      <c r="K302" s="5">
        <f>SUMIFS(G2:G295,F2:F295,"gpt-4o-mini",A2:A295,$A302)</f>
        <v>23971</v>
      </c>
      <c r="L302" s="5">
        <f>SUMIFS(H2:H295,F2:F295,"gpt-4o-mini",A2:A295,$A302)</f>
        <v>0</v>
      </c>
      <c r="M302" s="5">
        <f>SUMIFS(I2:I295,F2:F295,"gpt-4o-mini",A2:A295,$A302)</f>
        <v>6008</v>
      </c>
      <c r="N302" s="5">
        <f>SUMIFS(J2:J295,F2:F295,"gpt-4o-mini",A2:A295,$A302)</f>
        <v>0</v>
      </c>
      <c r="O302" s="5">
        <f>SUMIFS(K2:K295,F2:F295,"gpt-4o-mini",A2:A295,$A302)</f>
        <v>7.2010000000000008E-3</v>
      </c>
      <c r="P302" s="5">
        <f>SUMIFS(L2:L295,F2:F295,"gpt-4o-mini",A2:A295,$A302)</f>
        <v>77.115185999999994</v>
      </c>
      <c r="Q302" s="5">
        <f>COUNTIFS(F2:F295,"perplexity-search",A2:A295,$A302)</f>
        <v>0</v>
      </c>
      <c r="R302" s="5">
        <f>SUMIFS(G2:G295,F2:F295,"perplexity-search",A2:A295,$A302)</f>
        <v>0</v>
      </c>
      <c r="S302" s="5">
        <f>SUMIFS(H2:H295,F2:F295,"perplexity-search",A2:A295,$A302)</f>
        <v>0</v>
      </c>
      <c r="T302" s="5">
        <f>SUMIFS(I2:I295,F2:F295,"perplexity-search",A2:A295,$A302)</f>
        <v>0</v>
      </c>
      <c r="U302" s="5">
        <f>SUMIFS(J2:J295,F2:F295,"perplexity-search",A2:A295,$A302)</f>
        <v>0</v>
      </c>
      <c r="V302" s="5">
        <f>SUMIFS(K2:K295,F2:F295,"perplexity-search",A2:A295,$A302)</f>
        <v>0</v>
      </c>
      <c r="W302" s="5">
        <f>SUMIFS(L2:L295,F2:F295,"perplexity-search",A2:A295,$A302)</f>
        <v>0</v>
      </c>
      <c r="X302" s="5">
        <f>COUNTIFS(F2:F295,"serper",A2:A295,$A302)</f>
        <v>0</v>
      </c>
      <c r="Y302" s="5">
        <f>SUMIFS(G2:G295,F2:F295,"serper",A2:A295,$A302)</f>
        <v>0</v>
      </c>
      <c r="Z302" s="5">
        <f>SUMIFS(H2:H295,F2:F295,"serper",A2:A295,$A302)</f>
        <v>0</v>
      </c>
      <c r="AA302" s="5">
        <f>SUMIFS(I2:I295,F2:F295,"serper",A2:A295,$A302)</f>
        <v>0</v>
      </c>
      <c r="AB302" s="5">
        <f>SUMIFS(J2:J295,F2:F295,"serper",A2:A295,$A302)</f>
        <v>0</v>
      </c>
      <c r="AC302" s="5">
        <f>SUMIFS(K2:K295,F2:F295,"serper",A2:A295,$A302)</f>
        <v>0</v>
      </c>
      <c r="AD302" s="5">
        <f>SUMIFS(L2:L295,F2:F295,"serper",A2:A295,$A302)</f>
        <v>0</v>
      </c>
      <c r="AE302" s="5">
        <f>COUNTIFS(F2:F295,"sonar",A2:A295,$A302)</f>
        <v>0</v>
      </c>
      <c r="AF302" s="5">
        <f>SUMIFS(G2:G295,F2:F295,"sonar",A2:A295,$A302)</f>
        <v>0</v>
      </c>
      <c r="AG302" s="5">
        <f>SUMIFS(H2:H295,F2:F295,"sonar",A2:A295,$A302)</f>
        <v>0</v>
      </c>
      <c r="AH302" s="5">
        <f>SUMIFS(I2:I295,F2:F295,"sonar",A2:A295,$A302)</f>
        <v>0</v>
      </c>
      <c r="AI302" s="5">
        <f>SUMIFS(J2:J295,F2:F295,"sonar",A2:A295,$A302)</f>
        <v>0</v>
      </c>
      <c r="AJ302" s="5">
        <f>SUMIFS(K2:K295,F2:F295,"sonar",A2:A295,$A302)</f>
        <v>0</v>
      </c>
      <c r="AK302" s="5">
        <f>SUMIFS(L2:L295,F2:F295,"sonar",A2:A295,$A302)</f>
        <v>0</v>
      </c>
      <c r="AL302" s="5">
        <f>COUNTIFS(F2:F295,"sonar-pro",A2:A295,$A302)</f>
        <v>0</v>
      </c>
      <c r="AM302" s="5">
        <f>SUMIFS(G2:G295,F2:F295,"sonar-pro",A2:A295,$A302)</f>
        <v>0</v>
      </c>
      <c r="AN302" s="5">
        <f>SUMIFS(H2:H295,F2:F295,"sonar-pro",A2:A295,$A302)</f>
        <v>0</v>
      </c>
      <c r="AO302" s="5">
        <f>SUMIFS(I2:I295,F2:F295,"sonar-pro",A2:A295,$A302)</f>
        <v>0</v>
      </c>
      <c r="AP302" s="5">
        <f>SUMIFS(J2:J295,F2:F295,"sonar-pro",A2:A295,$A302)</f>
        <v>0</v>
      </c>
      <c r="AQ302" s="5">
        <f>SUMIFS(K2:K295,F2:F295,"sonar-pro",A2:A295,$A302)</f>
        <v>0</v>
      </c>
      <c r="AR302" s="5">
        <f>SUMIFS(L2:L295,F2:F295,"sonar-pro",A2:A295,$A302)</f>
        <v>0</v>
      </c>
      <c r="AS302" s="5">
        <f>COUNTIFS(F2:F295,"text-embedding-3-small",A2:A295,$A302)</f>
        <v>30</v>
      </c>
      <c r="AT302" s="5">
        <f>SUMIFS(G2:G295,F2:F295,"text-embedding-3-small",A2:A295,$A302)</f>
        <v>4040</v>
      </c>
      <c r="AU302" s="5">
        <f>SUMIFS(H2:H295,F2:F295,"text-embedding-3-small",A2:A295,$A302)</f>
        <v>0</v>
      </c>
      <c r="AV302" s="5">
        <f>SUMIFS(I2:I295,F2:F295,"text-embedding-3-small",A2:A295,$A302)</f>
        <v>0</v>
      </c>
      <c r="AW302" s="5">
        <f>SUMIFS(J2:J295,F2:F295,"text-embedding-3-small",A2:A295,$A302)</f>
        <v>0</v>
      </c>
      <c r="AX302" s="5">
        <f>SUMIFS(K2:K295,F2:F295,"text-embedding-3-small",A2:A295,$A302)</f>
        <v>7.9999999999999966E-5</v>
      </c>
      <c r="AY302" s="5">
        <f>SUMIFS(L2:L295,F2:F295,"text-embedding-3-small",A2:A295,$A302)</f>
        <v>10.483786</v>
      </c>
    </row>
    <row r="303" spans="1:51" ht="15" customHeight="1" x14ac:dyDescent="0.35">
      <c r="A303" s="5" t="s">
        <v>422</v>
      </c>
      <c r="B303" s="5" t="str">
        <f>INDEX(runs!$D:$D,MATCH(A303,runs!$A:$A,0))</f>
        <v>Get me Spanish abuse of dominance cases</v>
      </c>
      <c r="C303" s="5">
        <f>COUNTIFS(F2:F295,"gpt-4o",A2:A295,$A303)</f>
        <v>2</v>
      </c>
      <c r="D303" s="5">
        <f>SUMIFS(G2:G295,F2:F295,"gpt-4o",A2:A295,$A303)</f>
        <v>1688</v>
      </c>
      <c r="E303" s="5">
        <f>SUMIFS(H2:H295,F2:F295,"gpt-4o",A2:A295,$A303)</f>
        <v>1024</v>
      </c>
      <c r="F303" s="5">
        <f>SUMIFS(I2:I295,F2:F295,"gpt-4o",A2:A295,$A303)</f>
        <v>83</v>
      </c>
      <c r="G303" s="5">
        <f>SUMIFS(J2:J295,F2:F295,"gpt-4o",A2:A295,$A303)</f>
        <v>0</v>
      </c>
      <c r="H303" s="5">
        <f>SUMIFS(K2:K295,F2:F295,"gpt-4o",A2:A295,$A303)</f>
        <v>3.7699999999999999E-3</v>
      </c>
      <c r="I303" s="5">
        <f>SUMIFS(L2:L295,F2:F295,"gpt-4o",A2:A295,$A303)</f>
        <v>3.6349689999999999</v>
      </c>
      <c r="J303" s="5">
        <f>COUNTIFS(F2:F295,"gpt-4o-mini",A2:A295,$A303)</f>
        <v>31</v>
      </c>
      <c r="K303" s="5">
        <f>SUMIFS(G2:G295,F2:F295,"gpt-4o-mini",A2:A295,$A303)</f>
        <v>150710</v>
      </c>
      <c r="L303" s="5">
        <f>SUMIFS(H2:H295,F2:F295,"gpt-4o-mini",A2:A295,$A303)</f>
        <v>22400</v>
      </c>
      <c r="M303" s="5">
        <f>SUMIFS(I2:I295,F2:F295,"gpt-4o-mini",A2:A295,$A303)</f>
        <v>7805</v>
      </c>
      <c r="N303" s="5">
        <f>SUMIFS(J2:J295,F2:F295,"gpt-4o-mini",A2:A295,$A303)</f>
        <v>0</v>
      </c>
      <c r="O303" s="5">
        <f>SUMIFS(K2:K295,F2:F295,"gpt-4o-mini",A2:A295,$A303)</f>
        <v>2.5609E-2</v>
      </c>
      <c r="P303" s="5">
        <f>SUMIFS(L2:L295,F2:F295,"gpt-4o-mini",A2:A295,$A303)</f>
        <v>98.050201999999985</v>
      </c>
      <c r="Q303" s="5">
        <f>COUNTIFS(F2:F295,"perplexity-search",A2:A295,$A303)</f>
        <v>0</v>
      </c>
      <c r="R303" s="5">
        <f>SUMIFS(G2:G295,F2:F295,"perplexity-search",A2:A295,$A303)</f>
        <v>0</v>
      </c>
      <c r="S303" s="5">
        <f>SUMIFS(H2:H295,F2:F295,"perplexity-search",A2:A295,$A303)</f>
        <v>0</v>
      </c>
      <c r="T303" s="5">
        <f>SUMIFS(I2:I295,F2:F295,"perplexity-search",A2:A295,$A303)</f>
        <v>0</v>
      </c>
      <c r="U303" s="5">
        <f>SUMIFS(J2:J295,F2:F295,"perplexity-search",A2:A295,$A303)</f>
        <v>0</v>
      </c>
      <c r="V303" s="5">
        <f>SUMIFS(K2:K295,F2:F295,"perplexity-search",A2:A295,$A303)</f>
        <v>0</v>
      </c>
      <c r="W303" s="5">
        <f>SUMIFS(L2:L295,F2:F295,"perplexity-search",A2:A295,$A303)</f>
        <v>0</v>
      </c>
      <c r="X303" s="5">
        <f>COUNTIFS(F2:F295,"serper",A2:A295,$A303)</f>
        <v>0</v>
      </c>
      <c r="Y303" s="5">
        <f>SUMIFS(G2:G295,F2:F295,"serper",A2:A295,$A303)</f>
        <v>0</v>
      </c>
      <c r="Z303" s="5">
        <f>SUMIFS(H2:H295,F2:F295,"serper",A2:A295,$A303)</f>
        <v>0</v>
      </c>
      <c r="AA303" s="5">
        <f>SUMIFS(I2:I295,F2:F295,"serper",A2:A295,$A303)</f>
        <v>0</v>
      </c>
      <c r="AB303" s="5">
        <f>SUMIFS(J2:J295,F2:F295,"serper",A2:A295,$A303)</f>
        <v>0</v>
      </c>
      <c r="AC303" s="5">
        <f>SUMIFS(K2:K295,F2:F295,"serper",A2:A295,$A303)</f>
        <v>0</v>
      </c>
      <c r="AD303" s="5">
        <f>SUMIFS(L2:L295,F2:F295,"serper",A2:A295,$A303)</f>
        <v>0</v>
      </c>
      <c r="AE303" s="5">
        <f>COUNTIFS(F2:F295,"sonar",A2:A295,$A303)</f>
        <v>0</v>
      </c>
      <c r="AF303" s="5">
        <f>SUMIFS(G2:G295,F2:F295,"sonar",A2:A295,$A303)</f>
        <v>0</v>
      </c>
      <c r="AG303" s="5">
        <f>SUMIFS(H2:H295,F2:F295,"sonar",A2:A295,$A303)</f>
        <v>0</v>
      </c>
      <c r="AH303" s="5">
        <f>SUMIFS(I2:I295,F2:F295,"sonar",A2:A295,$A303)</f>
        <v>0</v>
      </c>
      <c r="AI303" s="5">
        <f>SUMIFS(J2:J295,F2:F295,"sonar",A2:A295,$A303)</f>
        <v>0</v>
      </c>
      <c r="AJ303" s="5">
        <f>SUMIFS(K2:K295,F2:F295,"sonar",A2:A295,$A303)</f>
        <v>0</v>
      </c>
      <c r="AK303" s="5">
        <f>SUMIFS(L2:L295,F2:F295,"sonar",A2:A295,$A303)</f>
        <v>0</v>
      </c>
      <c r="AL303" s="5">
        <f>COUNTIFS(F2:F295,"sonar-pro",A2:A295,$A303)</f>
        <v>0</v>
      </c>
      <c r="AM303" s="5">
        <f>SUMIFS(G2:G295,F2:F295,"sonar-pro",A2:A295,$A303)</f>
        <v>0</v>
      </c>
      <c r="AN303" s="5">
        <f>SUMIFS(H2:H295,F2:F295,"sonar-pro",A2:A295,$A303)</f>
        <v>0</v>
      </c>
      <c r="AO303" s="5">
        <f>SUMIFS(I2:I295,F2:F295,"sonar-pro",A2:A295,$A303)</f>
        <v>0</v>
      </c>
      <c r="AP303" s="5">
        <f>SUMIFS(J2:J295,F2:F295,"sonar-pro",A2:A295,$A303)</f>
        <v>0</v>
      </c>
      <c r="AQ303" s="5">
        <f>SUMIFS(K2:K295,F2:F295,"sonar-pro",A2:A295,$A303)</f>
        <v>0</v>
      </c>
      <c r="AR303" s="5">
        <f>SUMIFS(L2:L295,F2:F295,"sonar-pro",A2:A295,$A303)</f>
        <v>0</v>
      </c>
      <c r="AS303" s="5">
        <f>COUNTIFS(F2:F295,"text-embedding-3-small",A2:A295,$A303)</f>
        <v>30</v>
      </c>
      <c r="AT303" s="5">
        <f>SUMIFS(G2:G295,F2:F295,"text-embedding-3-small",A2:A295,$A303)</f>
        <v>4040</v>
      </c>
      <c r="AU303" s="5">
        <f>SUMIFS(H2:H295,F2:F295,"text-embedding-3-small",A2:A295,$A303)</f>
        <v>0</v>
      </c>
      <c r="AV303" s="5">
        <f>SUMIFS(I2:I295,F2:F295,"text-embedding-3-small",A2:A295,$A303)</f>
        <v>0</v>
      </c>
      <c r="AW303" s="5">
        <f>SUMIFS(J2:J295,F2:F295,"text-embedding-3-small",A2:A295,$A303)</f>
        <v>0</v>
      </c>
      <c r="AX303" s="5">
        <f>SUMIFS(K2:K295,F2:F295,"text-embedding-3-small",A2:A295,$A303)</f>
        <v>7.9999999999999966E-5</v>
      </c>
      <c r="AY303" s="5">
        <f>SUMIFS(L2:L295,F2:F295,"text-embedding-3-small",A2:A295,$A303)</f>
        <v>10.560564999999999</v>
      </c>
    </row>
    <row r="304" spans="1:51" ht="15" customHeight="1" x14ac:dyDescent="0.35">
      <c r="A304" s="5" t="s">
        <v>429</v>
      </c>
      <c r="B304" s="5" t="str">
        <f>INDEX(runs!$D:$D,MATCH(A304,runs!$A:$A,0))</f>
        <v>Get me French cartel cases in the financial and insurance markets</v>
      </c>
      <c r="C304" s="5">
        <f>COUNTIFS(F2:F295,"gpt-4o",A2:A295,$A304)</f>
        <v>2</v>
      </c>
      <c r="D304" s="5">
        <f>SUMIFS(G2:G295,F2:F295,"gpt-4o",A2:A295,$A304)</f>
        <v>1696</v>
      </c>
      <c r="E304" s="5">
        <f>SUMIFS(H2:H295,F2:F295,"gpt-4o",A2:A295,$A304)</f>
        <v>0</v>
      </c>
      <c r="F304" s="5">
        <f>SUMIFS(I2:I295,F2:F295,"gpt-4o",A2:A295,$A304)</f>
        <v>292</v>
      </c>
      <c r="G304" s="5">
        <f>SUMIFS(J2:J295,F2:F295,"gpt-4o",A2:A295,$A304)</f>
        <v>0</v>
      </c>
      <c r="H304" s="5">
        <f>SUMIFS(K2:K295,F2:F295,"gpt-4o",A2:A295,$A304)</f>
        <v>7.1599999999999997E-3</v>
      </c>
      <c r="I304" s="5">
        <f>SUMIFS(L2:L295,F2:F295,"gpt-4o",A2:A295,$A304)</f>
        <v>6.316065</v>
      </c>
      <c r="J304" s="5">
        <f>COUNTIFS(F2:F295,"gpt-4o-mini",A2:A295,$A304)</f>
        <v>31</v>
      </c>
      <c r="K304" s="5">
        <f>SUMIFS(G2:G295,F2:F295,"gpt-4o-mini",A2:A295,$A304)</f>
        <v>153765</v>
      </c>
      <c r="L304" s="5">
        <f>SUMIFS(H2:H295,F2:F295,"gpt-4o-mini",A2:A295,$A304)</f>
        <v>18304</v>
      </c>
      <c r="M304" s="5">
        <f>SUMIFS(I2:I295,F2:F295,"gpt-4o-mini",A2:A295,$A304)</f>
        <v>7423</v>
      </c>
      <c r="N304" s="5">
        <f>SUMIFS(J2:J295,F2:F295,"gpt-4o-mini",A2:A295,$A304)</f>
        <v>0</v>
      </c>
      <c r="O304" s="5">
        <f>SUMIFS(K2:K295,F2:F295,"gpt-4o-mini",A2:A295,$A304)</f>
        <v>2.6145999999999996E-2</v>
      </c>
      <c r="P304" s="5">
        <f>SUMIFS(L2:L295,F2:F295,"gpt-4o-mini",A2:A295,$A304)</f>
        <v>98.50228300000002</v>
      </c>
      <c r="Q304" s="5">
        <f>COUNTIFS(F2:F295,"perplexity-search",A2:A295,$A304)</f>
        <v>0</v>
      </c>
      <c r="R304" s="5">
        <f>SUMIFS(G2:G295,F2:F295,"perplexity-search",A2:A295,$A304)</f>
        <v>0</v>
      </c>
      <c r="S304" s="5">
        <f>SUMIFS(H2:H295,F2:F295,"perplexity-search",A2:A295,$A304)</f>
        <v>0</v>
      </c>
      <c r="T304" s="5">
        <f>SUMIFS(I2:I295,F2:F295,"perplexity-search",A2:A295,$A304)</f>
        <v>0</v>
      </c>
      <c r="U304" s="5">
        <f>SUMIFS(J2:J295,F2:F295,"perplexity-search",A2:A295,$A304)</f>
        <v>0</v>
      </c>
      <c r="V304" s="5">
        <f>SUMIFS(K2:K295,F2:F295,"perplexity-search",A2:A295,$A304)</f>
        <v>0</v>
      </c>
      <c r="W304" s="5">
        <f>SUMIFS(L2:L295,F2:F295,"perplexity-search",A2:A295,$A304)</f>
        <v>0</v>
      </c>
      <c r="X304" s="5">
        <f>COUNTIFS(F2:F295,"serper",A2:A295,$A304)</f>
        <v>0</v>
      </c>
      <c r="Y304" s="5">
        <f>SUMIFS(G2:G295,F2:F295,"serper",A2:A295,$A304)</f>
        <v>0</v>
      </c>
      <c r="Z304" s="5">
        <f>SUMIFS(H2:H295,F2:F295,"serper",A2:A295,$A304)</f>
        <v>0</v>
      </c>
      <c r="AA304" s="5">
        <f>SUMIFS(I2:I295,F2:F295,"serper",A2:A295,$A304)</f>
        <v>0</v>
      </c>
      <c r="AB304" s="5">
        <f>SUMIFS(J2:J295,F2:F295,"serper",A2:A295,$A304)</f>
        <v>0</v>
      </c>
      <c r="AC304" s="5">
        <f>SUMIFS(K2:K295,F2:F295,"serper",A2:A295,$A304)</f>
        <v>0</v>
      </c>
      <c r="AD304" s="5">
        <f>SUMIFS(L2:L295,F2:F295,"serper",A2:A295,$A304)</f>
        <v>0</v>
      </c>
      <c r="AE304" s="5">
        <f>COUNTIFS(F2:F295,"sonar",A2:A295,$A304)</f>
        <v>0</v>
      </c>
      <c r="AF304" s="5">
        <f>SUMIFS(G2:G295,F2:F295,"sonar",A2:A295,$A304)</f>
        <v>0</v>
      </c>
      <c r="AG304" s="5">
        <f>SUMIFS(H2:H295,F2:F295,"sonar",A2:A295,$A304)</f>
        <v>0</v>
      </c>
      <c r="AH304" s="5">
        <f>SUMIFS(I2:I295,F2:F295,"sonar",A2:A295,$A304)</f>
        <v>0</v>
      </c>
      <c r="AI304" s="5">
        <f>SUMIFS(J2:J295,F2:F295,"sonar",A2:A295,$A304)</f>
        <v>0</v>
      </c>
      <c r="AJ304" s="5">
        <f>SUMIFS(K2:K295,F2:F295,"sonar",A2:A295,$A304)</f>
        <v>0</v>
      </c>
      <c r="AK304" s="5">
        <f>SUMIFS(L2:L295,F2:F295,"sonar",A2:A295,$A304)</f>
        <v>0</v>
      </c>
      <c r="AL304" s="5">
        <f>COUNTIFS(F2:F295,"sonar-pro",A2:A295,$A304)</f>
        <v>0</v>
      </c>
      <c r="AM304" s="5">
        <f>SUMIFS(G2:G295,F2:F295,"sonar-pro",A2:A295,$A304)</f>
        <v>0</v>
      </c>
      <c r="AN304" s="5">
        <f>SUMIFS(H2:H295,F2:F295,"sonar-pro",A2:A295,$A304)</f>
        <v>0</v>
      </c>
      <c r="AO304" s="5">
        <f>SUMIFS(I2:I295,F2:F295,"sonar-pro",A2:A295,$A304)</f>
        <v>0</v>
      </c>
      <c r="AP304" s="5">
        <f>SUMIFS(J2:J295,F2:F295,"sonar-pro",A2:A295,$A304)</f>
        <v>0</v>
      </c>
      <c r="AQ304" s="5">
        <f>SUMIFS(K2:K295,F2:F295,"sonar-pro",A2:A295,$A304)</f>
        <v>0</v>
      </c>
      <c r="AR304" s="5">
        <f>SUMIFS(L2:L295,F2:F295,"sonar-pro",A2:A295,$A304)</f>
        <v>0</v>
      </c>
      <c r="AS304" s="5">
        <f>COUNTIFS(F2:F295,"text-embedding-3-small",A2:A295,$A304)</f>
        <v>30</v>
      </c>
      <c r="AT304" s="5">
        <f>SUMIFS(G2:G295,F2:F295,"text-embedding-3-small",A2:A295,$A304)</f>
        <v>4040</v>
      </c>
      <c r="AU304" s="5">
        <f>SUMIFS(H2:H295,F2:F295,"text-embedding-3-small",A2:A295,$A304)</f>
        <v>0</v>
      </c>
      <c r="AV304" s="5">
        <f>SUMIFS(I2:I295,F2:F295,"text-embedding-3-small",A2:A295,$A304)</f>
        <v>0</v>
      </c>
      <c r="AW304" s="5">
        <f>SUMIFS(J2:J295,F2:F295,"text-embedding-3-small",A2:A295,$A304)</f>
        <v>0</v>
      </c>
      <c r="AX304" s="5">
        <f>SUMIFS(K2:K295,F2:F295,"text-embedding-3-small",A2:A295,$A304)</f>
        <v>7.9999999999999966E-5</v>
      </c>
      <c r="AY304" s="5">
        <f>SUMIFS(L2:L295,F2:F295,"text-embedding-3-small",A2:A295,$A304)</f>
        <v>10.327732000000001</v>
      </c>
    </row>
    <row r="305" spans="1:51" ht="15" customHeight="1" x14ac:dyDescent="0.35">
      <c r="A305" s="5" t="s">
        <v>432</v>
      </c>
      <c r="B305" s="5" t="str">
        <f>INDEX(runs!$D:$D,MATCH(A305,runs!$A:$A,0))</f>
        <v>Get me merger cases by Microsoft</v>
      </c>
      <c r="C305" s="5">
        <f>COUNTIFS(F2:F295,"gpt-4o",A2:A295,$A305)</f>
        <v>2</v>
      </c>
      <c r="D305" s="5">
        <f>SUMIFS(G2:G295,F2:F295,"gpt-4o",A2:A295,$A305)</f>
        <v>1687</v>
      </c>
      <c r="E305" s="5">
        <f>SUMIFS(H2:H295,F2:F295,"gpt-4o",A2:A295,$A305)</f>
        <v>1024</v>
      </c>
      <c r="F305" s="5">
        <f>SUMIFS(I2:I295,F2:F295,"gpt-4o",A2:A295,$A305)</f>
        <v>79</v>
      </c>
      <c r="G305" s="5">
        <f>SUMIFS(J2:J295,F2:F295,"gpt-4o",A2:A295,$A305)</f>
        <v>0</v>
      </c>
      <c r="H305" s="5">
        <f>SUMIFS(K2:K295,F2:F295,"gpt-4o",A2:A295,$A305)</f>
        <v>3.7269999999999998E-3</v>
      </c>
      <c r="I305" s="5">
        <f>SUMIFS(L2:L295,F2:F295,"gpt-4o",A2:A295,$A305)</f>
        <v>3.6659470000000001</v>
      </c>
      <c r="J305" s="5">
        <f>COUNTIFS(F2:F295,"gpt-4o-mini",A2:A295,$A305)</f>
        <v>19</v>
      </c>
      <c r="K305" s="5">
        <f>SUMIFS(G2:G295,F2:F295,"gpt-4o-mini",A2:A295,$A305)</f>
        <v>53762</v>
      </c>
      <c r="L305" s="5">
        <f>SUMIFS(H2:H295,F2:F295,"gpt-4o-mini",A2:A295,$A305)</f>
        <v>18816</v>
      </c>
      <c r="M305" s="5">
        <f>SUMIFS(I2:I295,F2:F295,"gpt-4o-mini",A2:A295,$A305)</f>
        <v>4071</v>
      </c>
      <c r="N305" s="5">
        <f>SUMIFS(J2:J295,F2:F295,"gpt-4o-mini",A2:A295,$A305)</f>
        <v>0</v>
      </c>
      <c r="O305" s="5">
        <f>SUMIFS(K2:K295,F2:F295,"gpt-4o-mini",A2:A295,$A305)</f>
        <v>9.0959999999999982E-3</v>
      </c>
      <c r="P305" s="5">
        <f>SUMIFS(L2:L295,F2:F295,"gpt-4o-mini",A2:A295,$A305)</f>
        <v>52.419433999999995</v>
      </c>
      <c r="Q305" s="5">
        <f>COUNTIFS(F2:F295,"perplexity-search",A2:A295,$A305)</f>
        <v>0</v>
      </c>
      <c r="R305" s="5">
        <f>SUMIFS(G2:G295,F2:F295,"perplexity-search",A2:A295,$A305)</f>
        <v>0</v>
      </c>
      <c r="S305" s="5">
        <f>SUMIFS(H2:H295,F2:F295,"perplexity-search",A2:A295,$A305)</f>
        <v>0</v>
      </c>
      <c r="T305" s="5">
        <f>SUMIFS(I2:I295,F2:F295,"perplexity-search",A2:A295,$A305)</f>
        <v>0</v>
      </c>
      <c r="U305" s="5">
        <f>SUMIFS(J2:J295,F2:F295,"perplexity-search",A2:A295,$A305)</f>
        <v>0</v>
      </c>
      <c r="V305" s="5">
        <f>SUMIFS(K2:K295,F2:F295,"perplexity-search",A2:A295,$A305)</f>
        <v>0</v>
      </c>
      <c r="W305" s="5">
        <f>SUMIFS(L2:L295,F2:F295,"perplexity-search",A2:A295,$A305)</f>
        <v>0</v>
      </c>
      <c r="X305" s="5">
        <f>COUNTIFS(F2:F295,"serper",A2:A295,$A305)</f>
        <v>0</v>
      </c>
      <c r="Y305" s="5">
        <f>SUMIFS(G2:G295,F2:F295,"serper",A2:A295,$A305)</f>
        <v>0</v>
      </c>
      <c r="Z305" s="5">
        <f>SUMIFS(H2:H295,F2:F295,"serper",A2:A295,$A305)</f>
        <v>0</v>
      </c>
      <c r="AA305" s="5">
        <f>SUMIFS(I2:I295,F2:F295,"serper",A2:A295,$A305)</f>
        <v>0</v>
      </c>
      <c r="AB305" s="5">
        <f>SUMIFS(J2:J295,F2:F295,"serper",A2:A295,$A305)</f>
        <v>0</v>
      </c>
      <c r="AC305" s="5">
        <f>SUMIFS(K2:K295,F2:F295,"serper",A2:A295,$A305)</f>
        <v>0</v>
      </c>
      <c r="AD305" s="5">
        <f>SUMIFS(L2:L295,F2:F295,"serper",A2:A295,$A305)</f>
        <v>0</v>
      </c>
      <c r="AE305" s="5">
        <f>COUNTIFS(F2:F295,"sonar",A2:A295,$A305)</f>
        <v>0</v>
      </c>
      <c r="AF305" s="5">
        <f>SUMIFS(G2:G295,F2:F295,"sonar",A2:A295,$A305)</f>
        <v>0</v>
      </c>
      <c r="AG305" s="5">
        <f>SUMIFS(H2:H295,F2:F295,"sonar",A2:A295,$A305)</f>
        <v>0</v>
      </c>
      <c r="AH305" s="5">
        <f>SUMIFS(I2:I295,F2:F295,"sonar",A2:A295,$A305)</f>
        <v>0</v>
      </c>
      <c r="AI305" s="5">
        <f>SUMIFS(J2:J295,F2:F295,"sonar",A2:A295,$A305)</f>
        <v>0</v>
      </c>
      <c r="AJ305" s="5">
        <f>SUMIFS(K2:K295,F2:F295,"sonar",A2:A295,$A305)</f>
        <v>0</v>
      </c>
      <c r="AK305" s="5">
        <f>SUMIFS(L2:L295,F2:F295,"sonar",A2:A295,$A305)</f>
        <v>0</v>
      </c>
      <c r="AL305" s="5">
        <f>COUNTIFS(F2:F295,"sonar-pro",A2:A295,$A305)</f>
        <v>0</v>
      </c>
      <c r="AM305" s="5">
        <f>SUMIFS(G2:G295,F2:F295,"sonar-pro",A2:A295,$A305)</f>
        <v>0</v>
      </c>
      <c r="AN305" s="5">
        <f>SUMIFS(H2:H295,F2:F295,"sonar-pro",A2:A295,$A305)</f>
        <v>0</v>
      </c>
      <c r="AO305" s="5">
        <f>SUMIFS(I2:I295,F2:F295,"sonar-pro",A2:A295,$A305)</f>
        <v>0</v>
      </c>
      <c r="AP305" s="5">
        <f>SUMIFS(J2:J295,F2:F295,"sonar-pro",A2:A295,$A305)</f>
        <v>0</v>
      </c>
      <c r="AQ305" s="5">
        <f>SUMIFS(K2:K295,F2:F295,"sonar-pro",A2:A295,$A305)</f>
        <v>0</v>
      </c>
      <c r="AR305" s="5">
        <f>SUMIFS(L2:L295,F2:F295,"sonar-pro",A2:A295,$A305)</f>
        <v>0</v>
      </c>
      <c r="AS305" s="5">
        <f>COUNTIFS(F2:F295,"text-embedding-3-small",A2:A295,$A305)</f>
        <v>18</v>
      </c>
      <c r="AT305" s="5">
        <f>SUMIFS(G2:G295,F2:F295,"text-embedding-3-small",A2:A295,$A305)</f>
        <v>2424</v>
      </c>
      <c r="AU305" s="5">
        <f>SUMIFS(H2:H295,F2:F295,"text-embedding-3-small",A2:A295,$A305)</f>
        <v>0</v>
      </c>
      <c r="AV305" s="5">
        <f>SUMIFS(I2:I295,F2:F295,"text-embedding-3-small",A2:A295,$A305)</f>
        <v>0</v>
      </c>
      <c r="AW305" s="5">
        <f>SUMIFS(J2:J295,F2:F295,"text-embedding-3-small",A2:A295,$A305)</f>
        <v>0</v>
      </c>
      <c r="AX305" s="5">
        <f>SUMIFS(K2:K295,F2:F295,"text-embedding-3-small",A2:A295,$A305)</f>
        <v>4.7999999999999994E-5</v>
      </c>
      <c r="AY305" s="5">
        <f>SUMIFS(L2:L295,F2:F295,"text-embedding-3-small",A2:A295,$A305)</f>
        <v>7.014774000000001</v>
      </c>
    </row>
    <row r="306" spans="1:51" ht="15" customHeight="1" x14ac:dyDescent="0.35">
      <c r="A306" s="5" t="s">
        <v>438</v>
      </c>
      <c r="B306" s="5" t="str">
        <f>INDEX(runs!$D:$D,MATCH(A306,runs!$A:$A,0))</f>
        <v>Give me a list of EU cases by Apple</v>
      </c>
      <c r="C306" s="5">
        <f>COUNTIFS(F2:F295,"gpt-4o",A2:A295,$A306)</f>
        <v>2</v>
      </c>
      <c r="D306" s="5">
        <f>SUMIFS(G2:G295,F2:F295,"gpt-4o",A2:A295,$A306)</f>
        <v>1689</v>
      </c>
      <c r="E306" s="5">
        <f>SUMIFS(H2:H295,F2:F295,"gpt-4o",A2:A295,$A306)</f>
        <v>1024</v>
      </c>
      <c r="F306" s="5">
        <f>SUMIFS(I2:I295,F2:F295,"gpt-4o",A2:A295,$A306)</f>
        <v>87</v>
      </c>
      <c r="G306" s="5">
        <f>SUMIFS(J2:J295,F2:F295,"gpt-4o",A2:A295,$A306)</f>
        <v>0</v>
      </c>
      <c r="H306" s="5">
        <f>SUMIFS(K2:K295,F2:F295,"gpt-4o",A2:A295,$A306)</f>
        <v>3.8119999999999999E-3</v>
      </c>
      <c r="I306" s="5">
        <f>SUMIFS(L2:L295,F2:F295,"gpt-4o",A2:A295,$A306)</f>
        <v>4.0125220000000006</v>
      </c>
      <c r="J306" s="5">
        <f>COUNTIFS(F2:F295,"gpt-4o-mini",A2:A295,$A306)</f>
        <v>31</v>
      </c>
      <c r="K306" s="5">
        <f>SUMIFS(G2:G295,F2:F295,"gpt-4o-mini",A2:A295,$A306)</f>
        <v>109661</v>
      </c>
      <c r="L306" s="5">
        <f>SUMIFS(H2:H295,F2:F295,"gpt-4o-mini",A2:A295,$A306)</f>
        <v>6912</v>
      </c>
      <c r="M306" s="5">
        <f>SUMIFS(I2:I295,F2:F295,"gpt-4o-mini",A2:A295,$A306)</f>
        <v>6552</v>
      </c>
      <c r="N306" s="5">
        <f>SUMIFS(J2:J295,F2:F295,"gpt-4o-mini",A2:A295,$A306)</f>
        <v>0</v>
      </c>
      <c r="O306" s="5">
        <f>SUMIFS(K2:K295,F2:F295,"gpt-4o-mini",A2:A295,$A306)</f>
        <v>1.9861999999999998E-2</v>
      </c>
      <c r="P306" s="5">
        <f>SUMIFS(L2:L295,F2:F295,"gpt-4o-mini",A2:A295,$A306)</f>
        <v>94.116953999999993</v>
      </c>
      <c r="Q306" s="5">
        <f>COUNTIFS(F2:F295,"perplexity-search",A2:A295,$A306)</f>
        <v>0</v>
      </c>
      <c r="R306" s="5">
        <f>SUMIFS(G2:G295,F2:F295,"perplexity-search",A2:A295,$A306)</f>
        <v>0</v>
      </c>
      <c r="S306" s="5">
        <f>SUMIFS(H2:H295,F2:F295,"perplexity-search",A2:A295,$A306)</f>
        <v>0</v>
      </c>
      <c r="T306" s="5">
        <f>SUMIFS(I2:I295,F2:F295,"perplexity-search",A2:A295,$A306)</f>
        <v>0</v>
      </c>
      <c r="U306" s="5">
        <f>SUMIFS(J2:J295,F2:F295,"perplexity-search",A2:A295,$A306)</f>
        <v>0</v>
      </c>
      <c r="V306" s="5">
        <f>SUMIFS(K2:K295,F2:F295,"perplexity-search",A2:A295,$A306)</f>
        <v>0</v>
      </c>
      <c r="W306" s="5">
        <f>SUMIFS(L2:L295,F2:F295,"perplexity-search",A2:A295,$A306)</f>
        <v>0</v>
      </c>
      <c r="X306" s="5">
        <f>COUNTIFS(F2:F295,"serper",A2:A295,$A306)</f>
        <v>0</v>
      </c>
      <c r="Y306" s="5">
        <f>SUMIFS(G2:G295,F2:F295,"serper",A2:A295,$A306)</f>
        <v>0</v>
      </c>
      <c r="Z306" s="5">
        <f>SUMIFS(H2:H295,F2:F295,"serper",A2:A295,$A306)</f>
        <v>0</v>
      </c>
      <c r="AA306" s="5">
        <f>SUMIFS(I2:I295,F2:F295,"serper",A2:A295,$A306)</f>
        <v>0</v>
      </c>
      <c r="AB306" s="5">
        <f>SUMIFS(J2:J295,F2:F295,"serper",A2:A295,$A306)</f>
        <v>0</v>
      </c>
      <c r="AC306" s="5">
        <f>SUMIFS(K2:K295,F2:F295,"serper",A2:A295,$A306)</f>
        <v>0</v>
      </c>
      <c r="AD306" s="5">
        <f>SUMIFS(L2:L295,F2:F295,"serper",A2:A295,$A306)</f>
        <v>0</v>
      </c>
      <c r="AE306" s="5">
        <f>COUNTIFS(F2:F295,"sonar",A2:A295,$A306)</f>
        <v>0</v>
      </c>
      <c r="AF306" s="5">
        <f>SUMIFS(G2:G295,F2:F295,"sonar",A2:A295,$A306)</f>
        <v>0</v>
      </c>
      <c r="AG306" s="5">
        <f>SUMIFS(H2:H295,F2:F295,"sonar",A2:A295,$A306)</f>
        <v>0</v>
      </c>
      <c r="AH306" s="5">
        <f>SUMIFS(I2:I295,F2:F295,"sonar",A2:A295,$A306)</f>
        <v>0</v>
      </c>
      <c r="AI306" s="5">
        <f>SUMIFS(J2:J295,F2:F295,"sonar",A2:A295,$A306)</f>
        <v>0</v>
      </c>
      <c r="AJ306" s="5">
        <f>SUMIFS(K2:K295,F2:F295,"sonar",A2:A295,$A306)</f>
        <v>0</v>
      </c>
      <c r="AK306" s="5">
        <f>SUMIFS(L2:L295,F2:F295,"sonar",A2:A295,$A306)</f>
        <v>0</v>
      </c>
      <c r="AL306" s="5">
        <f>COUNTIFS(F2:F295,"sonar-pro",A2:A295,$A306)</f>
        <v>0</v>
      </c>
      <c r="AM306" s="5">
        <f>SUMIFS(G2:G295,F2:F295,"sonar-pro",A2:A295,$A306)</f>
        <v>0</v>
      </c>
      <c r="AN306" s="5">
        <f>SUMIFS(H2:H295,F2:F295,"sonar-pro",A2:A295,$A306)</f>
        <v>0</v>
      </c>
      <c r="AO306" s="5">
        <f>SUMIFS(I2:I295,F2:F295,"sonar-pro",A2:A295,$A306)</f>
        <v>0</v>
      </c>
      <c r="AP306" s="5">
        <f>SUMIFS(J2:J295,F2:F295,"sonar-pro",A2:A295,$A306)</f>
        <v>0</v>
      </c>
      <c r="AQ306" s="5">
        <f>SUMIFS(K2:K295,F2:F295,"sonar-pro",A2:A295,$A306)</f>
        <v>0</v>
      </c>
      <c r="AR306" s="5">
        <f>SUMIFS(L2:L295,F2:F295,"sonar-pro",A2:A295,$A306)</f>
        <v>0</v>
      </c>
      <c r="AS306" s="5">
        <f>COUNTIFS(F2:F295,"text-embedding-3-small",A2:A295,$A306)</f>
        <v>33</v>
      </c>
      <c r="AT306" s="5">
        <f>SUMIFS(G2:G295,F2:F295,"text-embedding-3-small",A2:A295,$A306)</f>
        <v>105981</v>
      </c>
      <c r="AU306" s="5">
        <f>SUMIFS(H2:H295,F2:F295,"text-embedding-3-small",A2:A295,$A306)</f>
        <v>0</v>
      </c>
      <c r="AV306" s="5">
        <f>SUMIFS(I2:I295,F2:F295,"text-embedding-3-small",A2:A295,$A306)</f>
        <v>0</v>
      </c>
      <c r="AW306" s="5">
        <f>SUMIFS(J2:J295,F2:F295,"text-embedding-3-small",A2:A295,$A306)</f>
        <v>0</v>
      </c>
      <c r="AX306" s="5">
        <f>SUMIFS(K2:K295,F2:F295,"text-embedding-3-small",A2:A295,$A306)</f>
        <v>2.1189999999999998E-3</v>
      </c>
      <c r="AY306" s="5">
        <f>SUMIFS(L2:L295,F2:F295,"text-embedding-3-small",A2:A295,$A306)</f>
        <v>14.111006999999997</v>
      </c>
    </row>
    <row r="307" spans="1:51" ht="15" customHeight="1" x14ac:dyDescent="0.35">
      <c r="A307" s="5"/>
      <c r="B307" s="6" t="s">
        <v>376</v>
      </c>
      <c r="C307" s="6">
        <f t="shared" ref="C307:AH307" si="0">AVERAGE(C302:C306)</f>
        <v>2</v>
      </c>
      <c r="D307" s="6">
        <f t="shared" si="0"/>
        <v>1689.4</v>
      </c>
      <c r="E307" s="6">
        <f t="shared" si="0"/>
        <v>819.2</v>
      </c>
      <c r="F307" s="6">
        <f t="shared" si="0"/>
        <v>124.8</v>
      </c>
      <c r="G307" s="6">
        <f t="shared" si="0"/>
        <v>0</v>
      </c>
      <c r="H307" s="6">
        <f t="shared" si="0"/>
        <v>4.4473999999999998E-3</v>
      </c>
      <c r="I307" s="6">
        <f t="shared" si="0"/>
        <v>4.1495328000000002</v>
      </c>
      <c r="J307" s="6">
        <f t="shared" si="0"/>
        <v>28.6</v>
      </c>
      <c r="K307" s="6">
        <f t="shared" si="0"/>
        <v>98373.8</v>
      </c>
      <c r="L307" s="6">
        <f t="shared" si="0"/>
        <v>13286.4</v>
      </c>
      <c r="M307" s="6">
        <f t="shared" si="0"/>
        <v>6371.8</v>
      </c>
      <c r="N307" s="6">
        <f t="shared" si="0"/>
        <v>0</v>
      </c>
      <c r="O307" s="6">
        <f t="shared" si="0"/>
        <v>1.7582799999999999E-2</v>
      </c>
      <c r="P307" s="6">
        <f t="shared" si="0"/>
        <v>84.040811799999986</v>
      </c>
      <c r="Q307" s="6">
        <f t="shared" si="0"/>
        <v>0</v>
      </c>
      <c r="R307" s="6">
        <f t="shared" si="0"/>
        <v>0</v>
      </c>
      <c r="S307" s="6">
        <f t="shared" si="0"/>
        <v>0</v>
      </c>
      <c r="T307" s="6">
        <f t="shared" si="0"/>
        <v>0</v>
      </c>
      <c r="U307" s="6">
        <f t="shared" si="0"/>
        <v>0</v>
      </c>
      <c r="V307" s="6">
        <f t="shared" si="0"/>
        <v>0</v>
      </c>
      <c r="W307" s="6">
        <f t="shared" si="0"/>
        <v>0</v>
      </c>
      <c r="X307" s="6">
        <f t="shared" si="0"/>
        <v>0</v>
      </c>
      <c r="Y307" s="6">
        <f t="shared" si="0"/>
        <v>0</v>
      </c>
      <c r="Z307" s="6">
        <f t="shared" si="0"/>
        <v>0</v>
      </c>
      <c r="AA307" s="6">
        <f t="shared" si="0"/>
        <v>0</v>
      </c>
      <c r="AB307" s="6">
        <f t="shared" si="0"/>
        <v>0</v>
      </c>
      <c r="AC307" s="6">
        <f t="shared" si="0"/>
        <v>0</v>
      </c>
      <c r="AD307" s="6">
        <f t="shared" si="0"/>
        <v>0</v>
      </c>
      <c r="AE307" s="6">
        <f t="shared" si="0"/>
        <v>0</v>
      </c>
      <c r="AF307" s="6">
        <f t="shared" si="0"/>
        <v>0</v>
      </c>
      <c r="AG307" s="6">
        <f t="shared" si="0"/>
        <v>0</v>
      </c>
      <c r="AH307" s="6">
        <f t="shared" si="0"/>
        <v>0</v>
      </c>
      <c r="AI307" s="6">
        <f t="shared" ref="AI307:BN307" si="1">AVERAGE(AI302:AI306)</f>
        <v>0</v>
      </c>
      <c r="AJ307" s="6">
        <f t="shared" si="1"/>
        <v>0</v>
      </c>
      <c r="AK307" s="6">
        <f t="shared" si="1"/>
        <v>0</v>
      </c>
      <c r="AL307" s="6">
        <f t="shared" si="1"/>
        <v>0</v>
      </c>
      <c r="AM307" s="6">
        <f t="shared" si="1"/>
        <v>0</v>
      </c>
      <c r="AN307" s="6">
        <f t="shared" si="1"/>
        <v>0</v>
      </c>
      <c r="AO307" s="6">
        <f t="shared" si="1"/>
        <v>0</v>
      </c>
      <c r="AP307" s="6">
        <f t="shared" si="1"/>
        <v>0</v>
      </c>
      <c r="AQ307" s="6">
        <f t="shared" si="1"/>
        <v>0</v>
      </c>
      <c r="AR307" s="6">
        <f t="shared" si="1"/>
        <v>0</v>
      </c>
      <c r="AS307" s="6">
        <f t="shared" si="1"/>
        <v>28.2</v>
      </c>
      <c r="AT307" s="6">
        <f t="shared" si="1"/>
        <v>24105</v>
      </c>
      <c r="AU307" s="6">
        <f t="shared" si="1"/>
        <v>0</v>
      </c>
      <c r="AV307" s="6">
        <f t="shared" si="1"/>
        <v>0</v>
      </c>
      <c r="AW307" s="6">
        <f t="shared" si="1"/>
        <v>0</v>
      </c>
      <c r="AX307" s="6">
        <f t="shared" si="1"/>
        <v>4.8139999999999999E-4</v>
      </c>
      <c r="AY307" s="6">
        <f t="shared" si="1"/>
        <v>10.499572799999999</v>
      </c>
    </row>
    <row r="308" spans="1:51" ht="15" customHeight="1" x14ac:dyDescent="0.35"/>
  </sheetData>
  <mergeCells count="9">
    <mergeCell ref="AL300:AR300"/>
    <mergeCell ref="X300:AD300"/>
    <mergeCell ref="B300:B301"/>
    <mergeCell ref="AS300:AY300"/>
    <mergeCell ref="AE300:AK300"/>
    <mergeCell ref="J300:P300"/>
    <mergeCell ref="A300:A301"/>
    <mergeCell ref="C300:I300"/>
    <mergeCell ref="Q300:W300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13"/>
  <sheetViews>
    <sheetView zoomScaleNormal="100" workbookViewId="0">
      <pane xSplit="2" ySplit="1" topLeftCell="AR97" activePane="bottomRight" state="frozen"/>
      <selection pane="topRight" activeCell="C1" sqref="C1"/>
      <selection pane="bottomLeft" activeCell="A2" sqref="A2"/>
      <selection pane="bottomRight" activeCell="AS108" sqref="AS108:AY108"/>
    </sheetView>
  </sheetViews>
  <sheetFormatPr defaultColWidth="8.6328125" defaultRowHeight="14.5" x14ac:dyDescent="0.35"/>
  <cols>
    <col min="1" max="1" width="24" customWidth="1"/>
    <col min="2" max="2" width="40" customWidth="1"/>
    <col min="3" max="51" width="13" customWidth="1"/>
  </cols>
  <sheetData>
    <row r="1" spans="1:17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 customHeight="1" x14ac:dyDescent="0.35">
      <c r="A2" t="s">
        <v>425</v>
      </c>
      <c r="B2">
        <v>1</v>
      </c>
      <c r="C2" t="s">
        <v>558</v>
      </c>
      <c r="D2" t="s">
        <v>24</v>
      </c>
      <c r="E2" t="s">
        <v>25</v>
      </c>
      <c r="F2" t="s">
        <v>26</v>
      </c>
      <c r="G2">
        <v>1196</v>
      </c>
      <c r="H2">
        <v>1024</v>
      </c>
      <c r="I2">
        <v>100</v>
      </c>
      <c r="J2">
        <v>0</v>
      </c>
      <c r="K2">
        <v>2.7100000000000002E-3</v>
      </c>
      <c r="L2">
        <v>2.7606299999999999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ht="15" customHeight="1" x14ac:dyDescent="0.35">
      <c r="A3" t="s">
        <v>425</v>
      </c>
      <c r="B3">
        <v>2</v>
      </c>
      <c r="C3" t="s">
        <v>559</v>
      </c>
      <c r="D3" t="s">
        <v>421</v>
      </c>
      <c r="E3" t="s">
        <v>25</v>
      </c>
      <c r="F3" t="s">
        <v>34</v>
      </c>
      <c r="G3">
        <v>1584</v>
      </c>
      <c r="H3">
        <v>1024</v>
      </c>
      <c r="I3">
        <v>56</v>
      </c>
      <c r="J3">
        <v>0</v>
      </c>
      <c r="K3">
        <v>1.94E-4</v>
      </c>
      <c r="L3">
        <v>1.578532</v>
      </c>
      <c r="M3" t="s">
        <v>27</v>
      </c>
      <c r="N3" t="s">
        <v>28</v>
      </c>
      <c r="O3" t="s">
        <v>463</v>
      </c>
      <c r="P3" t="s">
        <v>464</v>
      </c>
      <c r="Q3" t="s">
        <v>465</v>
      </c>
    </row>
    <row r="4" spans="1:17" ht="15" customHeight="1" x14ac:dyDescent="0.35">
      <c r="A4" t="s">
        <v>425</v>
      </c>
      <c r="B4">
        <v>3</v>
      </c>
      <c r="C4" t="s">
        <v>560</v>
      </c>
      <c r="D4" t="s">
        <v>421</v>
      </c>
      <c r="E4" t="s">
        <v>25</v>
      </c>
      <c r="F4" t="s">
        <v>26</v>
      </c>
      <c r="G4">
        <v>520</v>
      </c>
      <c r="H4">
        <v>0</v>
      </c>
      <c r="I4">
        <v>50</v>
      </c>
      <c r="J4">
        <v>0</v>
      </c>
      <c r="K4">
        <v>1.8E-3</v>
      </c>
      <c r="L4">
        <v>1.818764</v>
      </c>
      <c r="M4" t="s">
        <v>27</v>
      </c>
      <c r="N4" t="s">
        <v>28</v>
      </c>
      <c r="O4" t="s">
        <v>467</v>
      </c>
      <c r="P4" t="s">
        <v>468</v>
      </c>
      <c r="Q4" t="s">
        <v>469</v>
      </c>
    </row>
    <row r="5" spans="1:17" ht="15" customHeight="1" x14ac:dyDescent="0.35">
      <c r="A5" t="s">
        <v>425</v>
      </c>
      <c r="B5">
        <v>4</v>
      </c>
      <c r="C5" t="s">
        <v>561</v>
      </c>
      <c r="D5" t="s">
        <v>421</v>
      </c>
      <c r="E5" t="s">
        <v>25</v>
      </c>
      <c r="F5" t="s">
        <v>62</v>
      </c>
      <c r="G5">
        <v>8134</v>
      </c>
      <c r="H5">
        <v>0</v>
      </c>
      <c r="I5">
        <v>0</v>
      </c>
      <c r="J5">
        <v>0</v>
      </c>
      <c r="K5">
        <v>1.63E-4</v>
      </c>
      <c r="L5">
        <v>2.1394959999999998</v>
      </c>
      <c r="M5" t="s">
        <v>27</v>
      </c>
      <c r="N5" t="s">
        <v>63</v>
      </c>
      <c r="O5" t="s">
        <v>562</v>
      </c>
      <c r="P5" t="s">
        <v>563</v>
      </c>
      <c r="Q5" t="s">
        <v>564</v>
      </c>
    </row>
    <row r="6" spans="1:17" ht="15" customHeight="1" x14ac:dyDescent="0.35">
      <c r="A6" t="s">
        <v>425</v>
      </c>
      <c r="B6">
        <v>5</v>
      </c>
      <c r="C6" t="s">
        <v>565</v>
      </c>
      <c r="D6" t="s">
        <v>421</v>
      </c>
      <c r="E6" t="s">
        <v>25</v>
      </c>
      <c r="F6" t="s">
        <v>62</v>
      </c>
      <c r="G6">
        <v>3728</v>
      </c>
      <c r="H6">
        <v>0</v>
      </c>
      <c r="I6">
        <v>0</v>
      </c>
      <c r="J6">
        <v>0</v>
      </c>
      <c r="K6">
        <v>7.4999999999999993E-5</v>
      </c>
      <c r="L6">
        <v>1.573888</v>
      </c>
      <c r="M6" t="s">
        <v>27</v>
      </c>
      <c r="N6" t="s">
        <v>63</v>
      </c>
      <c r="O6" t="s">
        <v>562</v>
      </c>
      <c r="P6" t="s">
        <v>563</v>
      </c>
      <c r="Q6" t="s">
        <v>564</v>
      </c>
    </row>
    <row r="7" spans="1:17" ht="15" customHeight="1" x14ac:dyDescent="0.35">
      <c r="A7" t="s">
        <v>425</v>
      </c>
      <c r="B7">
        <v>6</v>
      </c>
      <c r="C7" t="s">
        <v>566</v>
      </c>
      <c r="D7" t="s">
        <v>421</v>
      </c>
      <c r="E7" t="s">
        <v>25</v>
      </c>
      <c r="F7" t="s">
        <v>62</v>
      </c>
      <c r="G7">
        <v>13827</v>
      </c>
      <c r="H7">
        <v>0</v>
      </c>
      <c r="I7">
        <v>0</v>
      </c>
      <c r="J7">
        <v>0</v>
      </c>
      <c r="K7">
        <v>2.7700000000000001E-4</v>
      </c>
      <c r="L7">
        <v>1.650981</v>
      </c>
      <c r="M7" t="s">
        <v>27</v>
      </c>
      <c r="N7" t="s">
        <v>63</v>
      </c>
      <c r="O7" t="s">
        <v>562</v>
      </c>
      <c r="P7" t="s">
        <v>563</v>
      </c>
      <c r="Q7" t="s">
        <v>564</v>
      </c>
    </row>
    <row r="8" spans="1:17" ht="15" customHeight="1" x14ac:dyDescent="0.35">
      <c r="A8" t="s">
        <v>425</v>
      </c>
      <c r="B8">
        <v>7</v>
      </c>
      <c r="C8" t="s">
        <v>567</v>
      </c>
      <c r="D8" t="s">
        <v>421</v>
      </c>
      <c r="E8" t="s">
        <v>25</v>
      </c>
      <c r="F8" t="s">
        <v>62</v>
      </c>
      <c r="G8">
        <v>13742</v>
      </c>
      <c r="H8">
        <v>0</v>
      </c>
      <c r="I8">
        <v>0</v>
      </c>
      <c r="J8">
        <v>0</v>
      </c>
      <c r="K8">
        <v>2.7500000000000002E-4</v>
      </c>
      <c r="L8">
        <v>1.472736</v>
      </c>
      <c r="M8" t="s">
        <v>27</v>
      </c>
      <c r="N8" t="s">
        <v>63</v>
      </c>
      <c r="O8" t="s">
        <v>562</v>
      </c>
      <c r="P8" t="s">
        <v>563</v>
      </c>
      <c r="Q8" t="s">
        <v>564</v>
      </c>
    </row>
    <row r="9" spans="1:17" ht="15" customHeight="1" x14ac:dyDescent="0.35">
      <c r="A9" t="s">
        <v>425</v>
      </c>
      <c r="B9">
        <v>8</v>
      </c>
      <c r="C9" t="s">
        <v>568</v>
      </c>
      <c r="D9" t="s">
        <v>421</v>
      </c>
      <c r="E9" t="s">
        <v>25</v>
      </c>
      <c r="F9" t="s">
        <v>62</v>
      </c>
      <c r="G9">
        <v>13139</v>
      </c>
      <c r="H9">
        <v>0</v>
      </c>
      <c r="I9">
        <v>0</v>
      </c>
      <c r="J9">
        <v>0</v>
      </c>
      <c r="K9">
        <v>2.63E-4</v>
      </c>
      <c r="L9">
        <v>1.61144</v>
      </c>
      <c r="M9" t="s">
        <v>27</v>
      </c>
      <c r="N9" t="s">
        <v>63</v>
      </c>
      <c r="O9" t="s">
        <v>562</v>
      </c>
      <c r="P9" t="s">
        <v>563</v>
      </c>
      <c r="Q9" t="s">
        <v>564</v>
      </c>
    </row>
    <row r="10" spans="1:17" ht="15" customHeight="1" x14ac:dyDescent="0.35">
      <c r="A10" t="s">
        <v>425</v>
      </c>
      <c r="B10">
        <v>9</v>
      </c>
      <c r="C10" t="s">
        <v>569</v>
      </c>
      <c r="D10" t="s">
        <v>421</v>
      </c>
      <c r="E10" t="s">
        <v>25</v>
      </c>
      <c r="F10" t="s">
        <v>62</v>
      </c>
      <c r="G10">
        <v>14196</v>
      </c>
      <c r="H10">
        <v>0</v>
      </c>
      <c r="I10">
        <v>0</v>
      </c>
      <c r="J10">
        <v>0</v>
      </c>
      <c r="K10">
        <v>2.8400000000000002E-4</v>
      </c>
      <c r="L10">
        <v>1.5798080000000001</v>
      </c>
      <c r="M10" t="s">
        <v>27</v>
      </c>
      <c r="N10" t="s">
        <v>63</v>
      </c>
      <c r="O10" t="s">
        <v>562</v>
      </c>
      <c r="P10" t="s">
        <v>563</v>
      </c>
      <c r="Q10" t="s">
        <v>564</v>
      </c>
    </row>
    <row r="11" spans="1:17" ht="15" customHeight="1" x14ac:dyDescent="0.35">
      <c r="A11" t="s">
        <v>425</v>
      </c>
      <c r="B11">
        <v>10</v>
      </c>
      <c r="C11" t="s">
        <v>570</v>
      </c>
      <c r="D11" t="s">
        <v>421</v>
      </c>
      <c r="E11" t="s">
        <v>25</v>
      </c>
      <c r="F11" t="s">
        <v>62</v>
      </c>
      <c r="G11">
        <v>13567</v>
      </c>
      <c r="H11">
        <v>0</v>
      </c>
      <c r="I11">
        <v>0</v>
      </c>
      <c r="J11">
        <v>0</v>
      </c>
      <c r="K11">
        <v>2.7099999999999997E-4</v>
      </c>
      <c r="L11">
        <v>1.9567049999999999</v>
      </c>
      <c r="M11" t="s">
        <v>27</v>
      </c>
      <c r="N11" t="s">
        <v>63</v>
      </c>
      <c r="O11" t="s">
        <v>562</v>
      </c>
      <c r="P11" t="s">
        <v>563</v>
      </c>
      <c r="Q11" t="s">
        <v>564</v>
      </c>
    </row>
    <row r="12" spans="1:17" ht="15" customHeight="1" x14ac:dyDescent="0.35">
      <c r="A12" t="s">
        <v>425</v>
      </c>
      <c r="B12">
        <v>11</v>
      </c>
      <c r="C12" t="s">
        <v>571</v>
      </c>
      <c r="D12" t="s">
        <v>421</v>
      </c>
      <c r="E12" t="s">
        <v>25</v>
      </c>
      <c r="F12" t="s">
        <v>62</v>
      </c>
      <c r="G12">
        <v>13961</v>
      </c>
      <c r="H12">
        <v>0</v>
      </c>
      <c r="I12">
        <v>0</v>
      </c>
      <c r="J12">
        <v>0</v>
      </c>
      <c r="K12">
        <v>2.7900000000000001E-4</v>
      </c>
      <c r="L12">
        <v>1.9939750000000001</v>
      </c>
      <c r="M12" t="s">
        <v>27</v>
      </c>
      <c r="N12" t="s">
        <v>63</v>
      </c>
      <c r="O12" t="s">
        <v>562</v>
      </c>
      <c r="P12" t="s">
        <v>563</v>
      </c>
      <c r="Q12" t="s">
        <v>564</v>
      </c>
    </row>
    <row r="13" spans="1:17" ht="15" customHeight="1" x14ac:dyDescent="0.35">
      <c r="A13" t="s">
        <v>425</v>
      </c>
      <c r="B13">
        <v>12</v>
      </c>
      <c r="C13" t="s">
        <v>572</v>
      </c>
      <c r="D13" t="s">
        <v>421</v>
      </c>
      <c r="E13" t="s">
        <v>25</v>
      </c>
      <c r="F13" t="s">
        <v>62</v>
      </c>
      <c r="G13">
        <v>13969</v>
      </c>
      <c r="H13">
        <v>0</v>
      </c>
      <c r="I13">
        <v>0</v>
      </c>
      <c r="J13">
        <v>0</v>
      </c>
      <c r="K13">
        <v>2.7900000000000001E-4</v>
      </c>
      <c r="L13">
        <v>1.670077</v>
      </c>
      <c r="M13" t="s">
        <v>27</v>
      </c>
      <c r="N13" t="s">
        <v>63</v>
      </c>
      <c r="O13" t="s">
        <v>562</v>
      </c>
      <c r="P13" t="s">
        <v>563</v>
      </c>
      <c r="Q13" t="s">
        <v>564</v>
      </c>
    </row>
    <row r="14" spans="1:17" ht="15" customHeight="1" x14ac:dyDescent="0.35">
      <c r="A14" t="s">
        <v>425</v>
      </c>
      <c r="B14">
        <v>13</v>
      </c>
      <c r="C14" t="s">
        <v>573</v>
      </c>
      <c r="D14" t="s">
        <v>421</v>
      </c>
      <c r="E14" t="s">
        <v>25</v>
      </c>
      <c r="F14" t="s">
        <v>62</v>
      </c>
      <c r="G14">
        <v>13664</v>
      </c>
      <c r="H14">
        <v>0</v>
      </c>
      <c r="I14">
        <v>0</v>
      </c>
      <c r="J14">
        <v>0</v>
      </c>
      <c r="K14">
        <v>2.7300000000000002E-4</v>
      </c>
      <c r="L14">
        <v>1.655009</v>
      </c>
      <c r="M14" t="s">
        <v>27</v>
      </c>
      <c r="N14" t="s">
        <v>63</v>
      </c>
      <c r="O14" t="s">
        <v>562</v>
      </c>
      <c r="P14" t="s">
        <v>563</v>
      </c>
      <c r="Q14" t="s">
        <v>564</v>
      </c>
    </row>
    <row r="15" spans="1:17" ht="15" customHeight="1" x14ac:dyDescent="0.35">
      <c r="A15" t="s">
        <v>425</v>
      </c>
      <c r="B15">
        <v>14</v>
      </c>
      <c r="C15" t="s">
        <v>574</v>
      </c>
      <c r="D15" t="s">
        <v>421</v>
      </c>
      <c r="E15" t="s">
        <v>25</v>
      </c>
      <c r="F15" t="s">
        <v>62</v>
      </c>
      <c r="G15">
        <v>15300</v>
      </c>
      <c r="H15">
        <v>0</v>
      </c>
      <c r="I15">
        <v>0</v>
      </c>
      <c r="J15">
        <v>0</v>
      </c>
      <c r="K15">
        <v>3.0600000000000001E-4</v>
      </c>
      <c r="L15">
        <v>1.9507749999999999</v>
      </c>
      <c r="M15" t="s">
        <v>27</v>
      </c>
      <c r="N15" t="s">
        <v>63</v>
      </c>
      <c r="O15" t="s">
        <v>562</v>
      </c>
      <c r="P15" t="s">
        <v>563</v>
      </c>
      <c r="Q15" t="s">
        <v>564</v>
      </c>
    </row>
    <row r="16" spans="1:17" ht="15" customHeight="1" x14ac:dyDescent="0.35">
      <c r="A16" t="s">
        <v>425</v>
      </c>
      <c r="B16">
        <v>15</v>
      </c>
      <c r="C16" t="s">
        <v>575</v>
      </c>
      <c r="D16" t="s">
        <v>421</v>
      </c>
      <c r="E16" t="s">
        <v>25</v>
      </c>
      <c r="F16" t="s">
        <v>62</v>
      </c>
      <c r="G16">
        <v>14489</v>
      </c>
      <c r="H16">
        <v>0</v>
      </c>
      <c r="I16">
        <v>0</v>
      </c>
      <c r="J16">
        <v>0</v>
      </c>
      <c r="K16">
        <v>2.9E-4</v>
      </c>
      <c r="L16">
        <v>1.7442500000000001</v>
      </c>
      <c r="M16" t="s">
        <v>27</v>
      </c>
      <c r="N16" t="s">
        <v>63</v>
      </c>
      <c r="O16" t="s">
        <v>562</v>
      </c>
      <c r="P16" t="s">
        <v>563</v>
      </c>
      <c r="Q16" t="s">
        <v>564</v>
      </c>
    </row>
    <row r="17" spans="1:17" ht="15" customHeight="1" x14ac:dyDescent="0.35">
      <c r="A17" t="s">
        <v>425</v>
      </c>
      <c r="B17">
        <v>16</v>
      </c>
      <c r="C17" t="s">
        <v>576</v>
      </c>
      <c r="D17" t="s">
        <v>421</v>
      </c>
      <c r="E17" t="s">
        <v>25</v>
      </c>
      <c r="F17" t="s">
        <v>62</v>
      </c>
      <c r="G17">
        <v>14223</v>
      </c>
      <c r="H17">
        <v>0</v>
      </c>
      <c r="I17">
        <v>0</v>
      </c>
      <c r="J17">
        <v>0</v>
      </c>
      <c r="K17">
        <v>2.8400000000000002E-4</v>
      </c>
      <c r="L17">
        <v>1.648339</v>
      </c>
      <c r="M17" t="s">
        <v>27</v>
      </c>
      <c r="N17" t="s">
        <v>63</v>
      </c>
      <c r="O17" t="s">
        <v>562</v>
      </c>
      <c r="P17" t="s">
        <v>563</v>
      </c>
      <c r="Q17" t="s">
        <v>564</v>
      </c>
    </row>
    <row r="18" spans="1:17" ht="15" customHeight="1" x14ac:dyDescent="0.35">
      <c r="A18" t="s">
        <v>425</v>
      </c>
      <c r="B18">
        <v>17</v>
      </c>
      <c r="C18" t="s">
        <v>577</v>
      </c>
      <c r="D18" t="s">
        <v>421</v>
      </c>
      <c r="E18" t="s">
        <v>25</v>
      </c>
      <c r="F18" t="s">
        <v>62</v>
      </c>
      <c r="G18">
        <v>14912</v>
      </c>
      <c r="H18">
        <v>0</v>
      </c>
      <c r="I18">
        <v>0</v>
      </c>
      <c r="J18">
        <v>0</v>
      </c>
      <c r="K18">
        <v>2.9799999999999998E-4</v>
      </c>
      <c r="L18">
        <v>1.738936</v>
      </c>
      <c r="M18" t="s">
        <v>27</v>
      </c>
      <c r="N18" t="s">
        <v>63</v>
      </c>
      <c r="O18" t="s">
        <v>562</v>
      </c>
      <c r="P18" t="s">
        <v>563</v>
      </c>
      <c r="Q18" t="s">
        <v>564</v>
      </c>
    </row>
    <row r="19" spans="1:17" ht="15" customHeight="1" x14ac:dyDescent="0.35">
      <c r="A19" t="s">
        <v>425</v>
      </c>
      <c r="B19">
        <v>18</v>
      </c>
      <c r="C19" t="s">
        <v>578</v>
      </c>
      <c r="D19" t="s">
        <v>421</v>
      </c>
      <c r="E19" t="s">
        <v>25</v>
      </c>
      <c r="F19" t="s">
        <v>62</v>
      </c>
      <c r="G19">
        <v>14029</v>
      </c>
      <c r="H19">
        <v>0</v>
      </c>
      <c r="I19">
        <v>0</v>
      </c>
      <c r="J19">
        <v>0</v>
      </c>
      <c r="K19">
        <v>2.81E-4</v>
      </c>
      <c r="L19">
        <v>1.926796</v>
      </c>
      <c r="M19" t="s">
        <v>27</v>
      </c>
      <c r="N19" t="s">
        <v>63</v>
      </c>
      <c r="O19" t="s">
        <v>562</v>
      </c>
      <c r="P19" t="s">
        <v>563</v>
      </c>
      <c r="Q19" t="s">
        <v>564</v>
      </c>
    </row>
    <row r="20" spans="1:17" ht="15" customHeight="1" x14ac:dyDescent="0.35">
      <c r="A20" t="s">
        <v>425</v>
      </c>
      <c r="B20">
        <v>19</v>
      </c>
      <c r="C20" t="s">
        <v>579</v>
      </c>
      <c r="D20" t="s">
        <v>421</v>
      </c>
      <c r="E20" t="s">
        <v>25</v>
      </c>
      <c r="F20" t="s">
        <v>62</v>
      </c>
      <c r="G20">
        <v>10723</v>
      </c>
      <c r="H20">
        <v>0</v>
      </c>
      <c r="I20">
        <v>0</v>
      </c>
      <c r="J20">
        <v>0</v>
      </c>
      <c r="K20">
        <v>2.14E-4</v>
      </c>
      <c r="L20">
        <v>1.692596</v>
      </c>
      <c r="M20" t="s">
        <v>27</v>
      </c>
      <c r="N20" t="s">
        <v>63</v>
      </c>
      <c r="O20" t="s">
        <v>562</v>
      </c>
      <c r="P20" t="s">
        <v>563</v>
      </c>
      <c r="Q20" t="s">
        <v>564</v>
      </c>
    </row>
    <row r="21" spans="1:17" ht="15" customHeight="1" x14ac:dyDescent="0.35">
      <c r="A21" t="s">
        <v>425</v>
      </c>
      <c r="B21">
        <v>20</v>
      </c>
      <c r="C21" t="s">
        <v>580</v>
      </c>
      <c r="D21" t="s">
        <v>421</v>
      </c>
      <c r="E21" t="s">
        <v>25</v>
      </c>
      <c r="F21" t="s">
        <v>62</v>
      </c>
      <c r="G21">
        <v>10592</v>
      </c>
      <c r="H21">
        <v>0</v>
      </c>
      <c r="I21">
        <v>0</v>
      </c>
      <c r="J21">
        <v>0</v>
      </c>
      <c r="K21">
        <v>2.12E-4</v>
      </c>
      <c r="L21">
        <v>1.5299799999999999</v>
      </c>
      <c r="M21" t="s">
        <v>27</v>
      </c>
      <c r="N21" t="s">
        <v>63</v>
      </c>
      <c r="O21" t="s">
        <v>562</v>
      </c>
      <c r="P21" t="s">
        <v>563</v>
      </c>
      <c r="Q21" t="s">
        <v>564</v>
      </c>
    </row>
    <row r="22" spans="1:17" ht="15" customHeight="1" x14ac:dyDescent="0.35">
      <c r="A22" t="s">
        <v>425</v>
      </c>
      <c r="B22">
        <v>21</v>
      </c>
      <c r="C22" t="s">
        <v>581</v>
      </c>
      <c r="D22" t="s">
        <v>421</v>
      </c>
      <c r="E22" t="s">
        <v>25</v>
      </c>
      <c r="F22" t="s">
        <v>62</v>
      </c>
      <c r="G22">
        <v>5250</v>
      </c>
      <c r="H22">
        <v>0</v>
      </c>
      <c r="I22">
        <v>0</v>
      </c>
      <c r="J22">
        <v>0</v>
      </c>
      <c r="K22">
        <v>1.05E-4</v>
      </c>
      <c r="L22">
        <v>2.6730130000000001</v>
      </c>
      <c r="M22" t="s">
        <v>27</v>
      </c>
      <c r="N22" t="s">
        <v>63</v>
      </c>
      <c r="O22" t="s">
        <v>562</v>
      </c>
      <c r="P22" t="s">
        <v>563</v>
      </c>
      <c r="Q22" t="s">
        <v>564</v>
      </c>
    </row>
    <row r="23" spans="1:17" ht="15" customHeight="1" x14ac:dyDescent="0.35">
      <c r="A23" t="s">
        <v>425</v>
      </c>
      <c r="B23">
        <v>22</v>
      </c>
      <c r="C23" t="s">
        <v>582</v>
      </c>
      <c r="D23" t="s">
        <v>421</v>
      </c>
      <c r="E23" t="s">
        <v>25</v>
      </c>
      <c r="F23" t="s">
        <v>62</v>
      </c>
      <c r="G23">
        <v>4257</v>
      </c>
      <c r="H23">
        <v>0</v>
      </c>
      <c r="I23">
        <v>0</v>
      </c>
      <c r="J23">
        <v>0</v>
      </c>
      <c r="K23">
        <v>8.5000000000000006E-5</v>
      </c>
      <c r="L23">
        <v>1.7547779999999999</v>
      </c>
      <c r="M23" t="s">
        <v>27</v>
      </c>
      <c r="N23" t="s">
        <v>63</v>
      </c>
      <c r="O23" t="s">
        <v>562</v>
      </c>
      <c r="P23" t="s">
        <v>563</v>
      </c>
      <c r="Q23" t="s">
        <v>564</v>
      </c>
    </row>
    <row r="24" spans="1:17" ht="15" customHeight="1" x14ac:dyDescent="0.35">
      <c r="A24" t="s">
        <v>425</v>
      </c>
      <c r="B24">
        <v>23</v>
      </c>
      <c r="C24" t="s">
        <v>583</v>
      </c>
      <c r="D24" t="s">
        <v>421</v>
      </c>
      <c r="E24" t="s">
        <v>25</v>
      </c>
      <c r="F24" t="s">
        <v>62</v>
      </c>
      <c r="G24">
        <v>4486</v>
      </c>
      <c r="H24">
        <v>0</v>
      </c>
      <c r="I24">
        <v>0</v>
      </c>
      <c r="J24">
        <v>0</v>
      </c>
      <c r="K24">
        <v>9.0000000000000006E-5</v>
      </c>
      <c r="L24">
        <v>1.7255860000000001</v>
      </c>
      <c r="M24" t="s">
        <v>27</v>
      </c>
      <c r="N24" t="s">
        <v>63</v>
      </c>
      <c r="O24" t="s">
        <v>562</v>
      </c>
      <c r="P24" t="s">
        <v>563</v>
      </c>
      <c r="Q24" t="s">
        <v>564</v>
      </c>
    </row>
    <row r="25" spans="1:17" ht="15" customHeight="1" x14ac:dyDescent="0.35">
      <c r="A25" t="s">
        <v>425</v>
      </c>
      <c r="B25">
        <v>24</v>
      </c>
      <c r="C25" t="s">
        <v>584</v>
      </c>
      <c r="D25" t="s">
        <v>421</v>
      </c>
      <c r="E25" t="s">
        <v>25</v>
      </c>
      <c r="F25" t="s">
        <v>62</v>
      </c>
      <c r="G25">
        <v>4215</v>
      </c>
      <c r="H25">
        <v>0</v>
      </c>
      <c r="I25">
        <v>0</v>
      </c>
      <c r="J25">
        <v>0</v>
      </c>
      <c r="K25">
        <v>8.3999999999999995E-5</v>
      </c>
      <c r="L25">
        <v>1.5168470000000001</v>
      </c>
      <c r="M25" t="s">
        <v>27</v>
      </c>
      <c r="N25" t="s">
        <v>63</v>
      </c>
      <c r="O25" t="s">
        <v>562</v>
      </c>
      <c r="P25" t="s">
        <v>563</v>
      </c>
      <c r="Q25" t="s">
        <v>564</v>
      </c>
    </row>
    <row r="26" spans="1:17" ht="15" customHeight="1" x14ac:dyDescent="0.35">
      <c r="A26" t="s">
        <v>425</v>
      </c>
      <c r="B26">
        <v>25</v>
      </c>
      <c r="C26" t="s">
        <v>585</v>
      </c>
      <c r="D26" t="s">
        <v>421</v>
      </c>
      <c r="E26" t="s">
        <v>25</v>
      </c>
      <c r="F26" t="s">
        <v>62</v>
      </c>
      <c r="G26">
        <v>3412</v>
      </c>
      <c r="H26">
        <v>0</v>
      </c>
      <c r="I26">
        <v>0</v>
      </c>
      <c r="J26">
        <v>0</v>
      </c>
      <c r="K26">
        <v>6.7999999999999999E-5</v>
      </c>
      <c r="L26">
        <v>1.6799299999999999</v>
      </c>
      <c r="M26" t="s">
        <v>27</v>
      </c>
      <c r="N26" t="s">
        <v>63</v>
      </c>
      <c r="O26" t="s">
        <v>562</v>
      </c>
      <c r="P26" t="s">
        <v>563</v>
      </c>
      <c r="Q26" t="s">
        <v>564</v>
      </c>
    </row>
    <row r="27" spans="1:17" ht="15" customHeight="1" x14ac:dyDescent="0.35">
      <c r="A27" t="s">
        <v>425</v>
      </c>
      <c r="B27">
        <v>26</v>
      </c>
      <c r="C27" t="s">
        <v>586</v>
      </c>
      <c r="D27" t="s">
        <v>421</v>
      </c>
      <c r="E27" t="s">
        <v>25</v>
      </c>
      <c r="F27" t="s">
        <v>62</v>
      </c>
      <c r="G27">
        <v>164</v>
      </c>
      <c r="H27">
        <v>0</v>
      </c>
      <c r="I27">
        <v>0</v>
      </c>
      <c r="J27">
        <v>0</v>
      </c>
      <c r="K27">
        <v>3.0000000000000001E-6</v>
      </c>
      <c r="L27">
        <v>0.48621199999999998</v>
      </c>
      <c r="M27" t="s">
        <v>27</v>
      </c>
      <c r="N27" t="s">
        <v>63</v>
      </c>
      <c r="O27" t="s">
        <v>562</v>
      </c>
      <c r="P27" t="s">
        <v>563</v>
      </c>
      <c r="Q27" t="s">
        <v>564</v>
      </c>
    </row>
    <row r="28" spans="1:17" ht="15" customHeight="1" x14ac:dyDescent="0.35">
      <c r="A28" t="s">
        <v>425</v>
      </c>
      <c r="B28">
        <v>27</v>
      </c>
      <c r="C28" t="s">
        <v>587</v>
      </c>
      <c r="D28" t="s">
        <v>421</v>
      </c>
      <c r="E28" t="s">
        <v>25</v>
      </c>
      <c r="F28" t="s">
        <v>62</v>
      </c>
      <c r="G28">
        <v>11</v>
      </c>
      <c r="H28">
        <v>0</v>
      </c>
      <c r="I28">
        <v>0</v>
      </c>
      <c r="J28">
        <v>0</v>
      </c>
      <c r="K28">
        <v>0</v>
      </c>
      <c r="L28">
        <v>0.25305800000000001</v>
      </c>
      <c r="M28" t="s">
        <v>27</v>
      </c>
      <c r="N28" t="s">
        <v>63</v>
      </c>
      <c r="O28" t="s">
        <v>562</v>
      </c>
      <c r="P28" t="s">
        <v>563</v>
      </c>
      <c r="Q28" t="s">
        <v>564</v>
      </c>
    </row>
    <row r="29" spans="1:17" ht="15" customHeight="1" x14ac:dyDescent="0.35">
      <c r="A29" t="s">
        <v>425</v>
      </c>
      <c r="B29">
        <v>28</v>
      </c>
      <c r="C29" t="s">
        <v>588</v>
      </c>
      <c r="D29" t="s">
        <v>24</v>
      </c>
      <c r="E29" t="s">
        <v>25</v>
      </c>
      <c r="F29" t="s">
        <v>26</v>
      </c>
      <c r="G29">
        <v>1317</v>
      </c>
      <c r="H29">
        <v>0</v>
      </c>
      <c r="I29">
        <v>84</v>
      </c>
      <c r="J29">
        <v>0</v>
      </c>
      <c r="K29">
        <v>4.1320000000000003E-3</v>
      </c>
      <c r="L29">
        <v>2.0165030000000002</v>
      </c>
      <c r="M29" t="s">
        <v>27</v>
      </c>
      <c r="N29" t="s">
        <v>28</v>
      </c>
      <c r="O29" t="s">
        <v>29</v>
      </c>
      <c r="P29" t="s">
        <v>30</v>
      </c>
      <c r="Q29" t="s">
        <v>31</v>
      </c>
    </row>
    <row r="30" spans="1:17" ht="15" customHeight="1" x14ac:dyDescent="0.35">
      <c r="A30" t="s">
        <v>425</v>
      </c>
      <c r="B30">
        <v>29</v>
      </c>
      <c r="C30" t="s">
        <v>589</v>
      </c>
      <c r="D30" t="s">
        <v>460</v>
      </c>
      <c r="E30" t="s">
        <v>40</v>
      </c>
      <c r="F30" t="s">
        <v>41</v>
      </c>
      <c r="G30">
        <v>262</v>
      </c>
      <c r="H30">
        <v>0</v>
      </c>
      <c r="I30">
        <v>20</v>
      </c>
      <c r="J30">
        <v>5.0000000000000001E-3</v>
      </c>
      <c r="K30">
        <v>5.28E-3</v>
      </c>
      <c r="L30">
        <v>1.7403489999999999</v>
      </c>
      <c r="M30" t="s">
        <v>27</v>
      </c>
      <c r="N30" t="s">
        <v>42</v>
      </c>
      <c r="O30" t="s">
        <v>590</v>
      </c>
      <c r="P30" t="s">
        <v>591</v>
      </c>
      <c r="Q30" t="s">
        <v>592</v>
      </c>
    </row>
    <row r="31" spans="1:17" ht="15" customHeight="1" x14ac:dyDescent="0.35">
      <c r="A31" t="s">
        <v>425</v>
      </c>
      <c r="B31">
        <v>30</v>
      </c>
      <c r="C31" t="s">
        <v>593</v>
      </c>
      <c r="D31" t="s">
        <v>460</v>
      </c>
      <c r="E31" t="s">
        <v>40</v>
      </c>
      <c r="F31" t="s">
        <v>373</v>
      </c>
      <c r="G31">
        <v>812</v>
      </c>
      <c r="H31">
        <v>0</v>
      </c>
      <c r="I31">
        <v>58</v>
      </c>
      <c r="J31">
        <v>1.4E-2</v>
      </c>
      <c r="K31">
        <v>1.7309999999999999E-2</v>
      </c>
      <c r="L31">
        <v>6.2383819999999996</v>
      </c>
      <c r="M31" t="s">
        <v>27</v>
      </c>
      <c r="N31" t="s">
        <v>594</v>
      </c>
      <c r="O31" t="s">
        <v>595</v>
      </c>
      <c r="P31" t="s">
        <v>596</v>
      </c>
      <c r="Q31" t="s">
        <v>597</v>
      </c>
    </row>
    <row r="32" spans="1:17" ht="15" customHeight="1" x14ac:dyDescent="0.35">
      <c r="A32" t="s">
        <v>425</v>
      </c>
      <c r="B32">
        <v>31</v>
      </c>
      <c r="C32" t="s">
        <v>598</v>
      </c>
      <c r="D32" t="s">
        <v>460</v>
      </c>
      <c r="E32" t="s">
        <v>47</v>
      </c>
      <c r="F32" t="s">
        <v>47</v>
      </c>
      <c r="G32">
        <v>0</v>
      </c>
      <c r="H32">
        <v>0</v>
      </c>
      <c r="I32">
        <v>0</v>
      </c>
      <c r="J32">
        <v>1E-3</v>
      </c>
      <c r="K32">
        <v>1E-3</v>
      </c>
      <c r="L32">
        <v>1.8178339999999999</v>
      </c>
      <c r="M32" t="s">
        <v>27</v>
      </c>
      <c r="N32" t="s">
        <v>48</v>
      </c>
      <c r="O32" t="s">
        <v>599</v>
      </c>
      <c r="P32" t="s">
        <v>600</v>
      </c>
      <c r="Q32" t="s">
        <v>601</v>
      </c>
    </row>
    <row r="33" spans="1:17" ht="15" customHeight="1" x14ac:dyDescent="0.35">
      <c r="A33" t="s">
        <v>425</v>
      </c>
      <c r="B33">
        <v>32</v>
      </c>
      <c r="C33" t="s">
        <v>602</v>
      </c>
      <c r="D33" t="s">
        <v>460</v>
      </c>
      <c r="E33" t="s">
        <v>40</v>
      </c>
      <c r="F33" t="s">
        <v>603</v>
      </c>
      <c r="G33">
        <v>0</v>
      </c>
      <c r="H33">
        <v>0</v>
      </c>
      <c r="I33">
        <v>0</v>
      </c>
      <c r="J33">
        <v>5.0000000000000001E-3</v>
      </c>
      <c r="K33">
        <v>5.0000000000000001E-3</v>
      </c>
      <c r="L33">
        <v>1.4398029999999999</v>
      </c>
      <c r="M33" t="s">
        <v>27</v>
      </c>
      <c r="N33" t="s">
        <v>604</v>
      </c>
      <c r="O33" t="s">
        <v>605</v>
      </c>
      <c r="P33" t="s">
        <v>606</v>
      </c>
      <c r="Q33" t="s">
        <v>607</v>
      </c>
    </row>
    <row r="34" spans="1:17" ht="15" customHeight="1" x14ac:dyDescent="0.35">
      <c r="A34" t="s">
        <v>425</v>
      </c>
      <c r="B34">
        <v>33</v>
      </c>
      <c r="C34" t="s">
        <v>608</v>
      </c>
      <c r="D34" t="s">
        <v>460</v>
      </c>
      <c r="E34" t="s">
        <v>47</v>
      </c>
      <c r="F34" t="s">
        <v>47</v>
      </c>
      <c r="G34">
        <v>0</v>
      </c>
      <c r="H34">
        <v>0</v>
      </c>
      <c r="I34">
        <v>0</v>
      </c>
      <c r="J34">
        <v>1E-3</v>
      </c>
      <c r="K34">
        <v>1E-3</v>
      </c>
      <c r="L34">
        <v>2.5164490000000002</v>
      </c>
      <c r="M34" t="s">
        <v>27</v>
      </c>
      <c r="N34" t="s">
        <v>48</v>
      </c>
      <c r="O34" t="s">
        <v>599</v>
      </c>
      <c r="P34" t="s">
        <v>600</v>
      </c>
      <c r="Q34" t="s">
        <v>601</v>
      </c>
    </row>
    <row r="35" spans="1:17" ht="15" customHeight="1" x14ac:dyDescent="0.35">
      <c r="A35" t="s">
        <v>425</v>
      </c>
      <c r="B35">
        <v>34</v>
      </c>
      <c r="C35" t="s">
        <v>609</v>
      </c>
      <c r="D35" t="s">
        <v>460</v>
      </c>
      <c r="E35" t="s">
        <v>40</v>
      </c>
      <c r="F35" t="s">
        <v>603</v>
      </c>
      <c r="G35">
        <v>0</v>
      </c>
      <c r="H35">
        <v>0</v>
      </c>
      <c r="I35">
        <v>0</v>
      </c>
      <c r="J35">
        <v>5.0000000000000001E-3</v>
      </c>
      <c r="K35">
        <v>5.0000000000000001E-3</v>
      </c>
      <c r="L35">
        <v>1.5095860000000001</v>
      </c>
      <c r="M35" t="s">
        <v>27</v>
      </c>
      <c r="N35" t="s">
        <v>604</v>
      </c>
      <c r="O35" t="s">
        <v>605</v>
      </c>
      <c r="P35" t="s">
        <v>606</v>
      </c>
      <c r="Q35" t="s">
        <v>607</v>
      </c>
    </row>
    <row r="36" spans="1:17" ht="15" customHeight="1" x14ac:dyDescent="0.35">
      <c r="A36" t="s">
        <v>425</v>
      </c>
      <c r="B36">
        <v>35</v>
      </c>
      <c r="C36" t="s">
        <v>610</v>
      </c>
      <c r="D36" t="s">
        <v>460</v>
      </c>
      <c r="E36" t="s">
        <v>47</v>
      </c>
      <c r="F36" t="s">
        <v>47</v>
      </c>
      <c r="G36">
        <v>0</v>
      </c>
      <c r="H36">
        <v>0</v>
      </c>
      <c r="I36">
        <v>0</v>
      </c>
      <c r="J36">
        <v>1E-3</v>
      </c>
      <c r="K36">
        <v>1E-3</v>
      </c>
      <c r="L36">
        <v>1.19306</v>
      </c>
      <c r="M36" t="s">
        <v>27</v>
      </c>
      <c r="N36" t="s">
        <v>48</v>
      </c>
      <c r="O36" t="s">
        <v>599</v>
      </c>
      <c r="P36" t="s">
        <v>600</v>
      </c>
      <c r="Q36" t="s">
        <v>601</v>
      </c>
    </row>
    <row r="37" spans="1:17" ht="15" customHeight="1" x14ac:dyDescent="0.35">
      <c r="A37" t="s">
        <v>425</v>
      </c>
      <c r="B37">
        <v>36</v>
      </c>
      <c r="C37" t="s">
        <v>611</v>
      </c>
      <c r="D37" t="s">
        <v>460</v>
      </c>
      <c r="E37" t="s">
        <v>40</v>
      </c>
      <c r="F37" t="s">
        <v>603</v>
      </c>
      <c r="G37">
        <v>0</v>
      </c>
      <c r="H37">
        <v>0</v>
      </c>
      <c r="I37">
        <v>0</v>
      </c>
      <c r="J37">
        <v>5.0000000000000001E-3</v>
      </c>
      <c r="K37">
        <v>5.0000000000000001E-3</v>
      </c>
      <c r="L37">
        <v>1.814147</v>
      </c>
      <c r="M37" t="s">
        <v>27</v>
      </c>
      <c r="N37" t="s">
        <v>604</v>
      </c>
      <c r="O37" t="s">
        <v>605</v>
      </c>
      <c r="P37" t="s">
        <v>606</v>
      </c>
      <c r="Q37" t="s">
        <v>607</v>
      </c>
    </row>
    <row r="38" spans="1:17" ht="15" customHeight="1" x14ac:dyDescent="0.35">
      <c r="A38" t="s">
        <v>425</v>
      </c>
      <c r="B38">
        <v>37</v>
      </c>
      <c r="C38" t="s">
        <v>612</v>
      </c>
      <c r="D38" t="s">
        <v>460</v>
      </c>
      <c r="E38" t="s">
        <v>47</v>
      </c>
      <c r="F38" t="s">
        <v>47</v>
      </c>
      <c r="G38">
        <v>0</v>
      </c>
      <c r="H38">
        <v>0</v>
      </c>
      <c r="I38">
        <v>0</v>
      </c>
      <c r="J38">
        <v>1E-3</v>
      </c>
      <c r="K38">
        <v>1E-3</v>
      </c>
      <c r="L38">
        <v>1.2685900000000001</v>
      </c>
      <c r="M38" t="s">
        <v>27</v>
      </c>
      <c r="N38" t="s">
        <v>48</v>
      </c>
      <c r="O38" t="s">
        <v>599</v>
      </c>
      <c r="P38" t="s">
        <v>600</v>
      </c>
      <c r="Q38" t="s">
        <v>601</v>
      </c>
    </row>
    <row r="39" spans="1:17" ht="15" customHeight="1" x14ac:dyDescent="0.35">
      <c r="A39" t="s">
        <v>425</v>
      </c>
      <c r="B39">
        <v>38</v>
      </c>
      <c r="C39" t="s">
        <v>613</v>
      </c>
      <c r="D39" t="s">
        <v>460</v>
      </c>
      <c r="E39" t="s">
        <v>40</v>
      </c>
      <c r="F39" t="s">
        <v>603</v>
      </c>
      <c r="G39">
        <v>0</v>
      </c>
      <c r="H39">
        <v>0</v>
      </c>
      <c r="I39">
        <v>0</v>
      </c>
      <c r="J39">
        <v>5.0000000000000001E-3</v>
      </c>
      <c r="K39">
        <v>5.0000000000000001E-3</v>
      </c>
      <c r="L39">
        <v>2.02677</v>
      </c>
      <c r="M39" t="s">
        <v>27</v>
      </c>
      <c r="N39" t="s">
        <v>604</v>
      </c>
      <c r="O39" t="s">
        <v>605</v>
      </c>
      <c r="P39" t="s">
        <v>606</v>
      </c>
      <c r="Q39" t="s">
        <v>607</v>
      </c>
    </row>
    <row r="40" spans="1:17" ht="15" customHeight="1" x14ac:dyDescent="0.35">
      <c r="A40" t="s">
        <v>425</v>
      </c>
      <c r="B40">
        <v>39</v>
      </c>
      <c r="C40" t="s">
        <v>614</v>
      </c>
      <c r="D40" t="s">
        <v>460</v>
      </c>
      <c r="E40" t="s">
        <v>47</v>
      </c>
      <c r="F40" t="s">
        <v>47</v>
      </c>
      <c r="G40">
        <v>0</v>
      </c>
      <c r="H40">
        <v>0</v>
      </c>
      <c r="I40">
        <v>0</v>
      </c>
      <c r="J40">
        <v>1E-3</v>
      </c>
      <c r="K40">
        <v>1E-3</v>
      </c>
      <c r="L40">
        <v>1.3002609999999999</v>
      </c>
      <c r="M40" t="s">
        <v>27</v>
      </c>
      <c r="N40" t="s">
        <v>48</v>
      </c>
      <c r="O40" t="s">
        <v>599</v>
      </c>
      <c r="P40" t="s">
        <v>600</v>
      </c>
      <c r="Q40" t="s">
        <v>601</v>
      </c>
    </row>
    <row r="41" spans="1:17" ht="15" customHeight="1" x14ac:dyDescent="0.35">
      <c r="A41" t="s">
        <v>425</v>
      </c>
      <c r="B41">
        <v>40</v>
      </c>
      <c r="C41" t="s">
        <v>615</v>
      </c>
      <c r="D41" t="s">
        <v>460</v>
      </c>
      <c r="E41" t="s">
        <v>40</v>
      </c>
      <c r="F41" t="s">
        <v>603</v>
      </c>
      <c r="G41">
        <v>0</v>
      </c>
      <c r="H41">
        <v>0</v>
      </c>
      <c r="I41">
        <v>0</v>
      </c>
      <c r="J41">
        <v>5.0000000000000001E-3</v>
      </c>
      <c r="K41">
        <v>5.0000000000000001E-3</v>
      </c>
      <c r="L41">
        <v>1.551031</v>
      </c>
      <c r="M41" t="s">
        <v>27</v>
      </c>
      <c r="N41" t="s">
        <v>604</v>
      </c>
      <c r="O41" t="s">
        <v>605</v>
      </c>
      <c r="P41" t="s">
        <v>606</v>
      </c>
      <c r="Q41" t="s">
        <v>607</v>
      </c>
    </row>
    <row r="42" spans="1:17" ht="15" customHeight="1" x14ac:dyDescent="0.35">
      <c r="A42" t="s">
        <v>425</v>
      </c>
      <c r="B42">
        <v>41</v>
      </c>
      <c r="C42" t="s">
        <v>616</v>
      </c>
      <c r="D42" t="s">
        <v>460</v>
      </c>
      <c r="E42" t="s">
        <v>40</v>
      </c>
      <c r="F42" t="s">
        <v>41</v>
      </c>
      <c r="G42">
        <v>261</v>
      </c>
      <c r="H42">
        <v>0</v>
      </c>
      <c r="I42">
        <v>7</v>
      </c>
      <c r="J42">
        <v>5.0000000000000001E-3</v>
      </c>
      <c r="K42">
        <v>5.2700000000000004E-3</v>
      </c>
      <c r="L42">
        <v>4.600155</v>
      </c>
      <c r="M42" t="s">
        <v>27</v>
      </c>
      <c r="N42" t="s">
        <v>42</v>
      </c>
      <c r="O42" t="s">
        <v>617</v>
      </c>
      <c r="P42" t="s">
        <v>618</v>
      </c>
      <c r="Q42" t="s">
        <v>619</v>
      </c>
    </row>
    <row r="43" spans="1:17" ht="15" customHeight="1" x14ac:dyDescent="0.35">
      <c r="A43" t="s">
        <v>425</v>
      </c>
      <c r="B43">
        <v>42</v>
      </c>
      <c r="C43" t="s">
        <v>620</v>
      </c>
      <c r="D43" t="s">
        <v>460</v>
      </c>
      <c r="E43" t="s">
        <v>40</v>
      </c>
      <c r="F43" t="s">
        <v>41</v>
      </c>
      <c r="G43">
        <v>241</v>
      </c>
      <c r="H43">
        <v>0</v>
      </c>
      <c r="I43">
        <v>7</v>
      </c>
      <c r="J43">
        <v>5.0000000000000001E-3</v>
      </c>
      <c r="K43">
        <v>5.2500000000000003E-3</v>
      </c>
      <c r="L43">
        <v>3.6516540000000002</v>
      </c>
      <c r="M43" t="s">
        <v>27</v>
      </c>
      <c r="N43" t="s">
        <v>42</v>
      </c>
      <c r="O43" t="s">
        <v>617</v>
      </c>
      <c r="P43" t="s">
        <v>618</v>
      </c>
      <c r="Q43" t="s">
        <v>619</v>
      </c>
    </row>
    <row r="44" spans="1:17" ht="15" customHeight="1" x14ac:dyDescent="0.35">
      <c r="A44" t="s">
        <v>425</v>
      </c>
      <c r="B44">
        <v>43</v>
      </c>
      <c r="C44" t="s">
        <v>621</v>
      </c>
      <c r="D44" t="s">
        <v>460</v>
      </c>
      <c r="E44" t="s">
        <v>40</v>
      </c>
      <c r="F44" t="s">
        <v>41</v>
      </c>
      <c r="G44">
        <v>289</v>
      </c>
      <c r="H44">
        <v>0</v>
      </c>
      <c r="I44">
        <v>7</v>
      </c>
      <c r="J44">
        <v>5.0000000000000001E-3</v>
      </c>
      <c r="K44">
        <v>5.3E-3</v>
      </c>
      <c r="L44">
        <v>3.941551</v>
      </c>
      <c r="M44" t="s">
        <v>27</v>
      </c>
      <c r="N44" t="s">
        <v>42</v>
      </c>
      <c r="O44" t="s">
        <v>617</v>
      </c>
      <c r="P44" t="s">
        <v>618</v>
      </c>
      <c r="Q44" t="s">
        <v>619</v>
      </c>
    </row>
    <row r="45" spans="1:17" ht="15" customHeight="1" x14ac:dyDescent="0.35">
      <c r="A45" t="s">
        <v>425</v>
      </c>
      <c r="B45">
        <v>44</v>
      </c>
      <c r="C45" t="s">
        <v>622</v>
      </c>
      <c r="D45" t="s">
        <v>460</v>
      </c>
      <c r="E45" t="s">
        <v>40</v>
      </c>
      <c r="F45" t="s">
        <v>41</v>
      </c>
      <c r="G45">
        <v>235</v>
      </c>
      <c r="H45">
        <v>0</v>
      </c>
      <c r="I45">
        <v>7</v>
      </c>
      <c r="J45">
        <v>5.0000000000000001E-3</v>
      </c>
      <c r="K45">
        <v>5.2399999999999999E-3</v>
      </c>
      <c r="L45">
        <v>7.8380150000000004</v>
      </c>
      <c r="M45" t="s">
        <v>27</v>
      </c>
      <c r="N45" t="s">
        <v>42</v>
      </c>
      <c r="O45" t="s">
        <v>617</v>
      </c>
      <c r="P45" t="s">
        <v>618</v>
      </c>
      <c r="Q45" t="s">
        <v>619</v>
      </c>
    </row>
    <row r="46" spans="1:17" ht="15" customHeight="1" x14ac:dyDescent="0.35">
      <c r="A46" t="s">
        <v>425</v>
      </c>
      <c r="B46">
        <v>45</v>
      </c>
      <c r="C46" t="s">
        <v>623</v>
      </c>
      <c r="D46" t="s">
        <v>460</v>
      </c>
      <c r="E46" t="s">
        <v>40</v>
      </c>
      <c r="F46" t="s">
        <v>41</v>
      </c>
      <c r="G46">
        <v>215</v>
      </c>
      <c r="H46">
        <v>0</v>
      </c>
      <c r="I46">
        <v>7</v>
      </c>
      <c r="J46">
        <v>5.0000000000000001E-3</v>
      </c>
      <c r="K46">
        <v>5.2199999999999998E-3</v>
      </c>
      <c r="L46">
        <v>5.0316140000000003</v>
      </c>
      <c r="M46" t="s">
        <v>27</v>
      </c>
      <c r="N46" t="s">
        <v>42</v>
      </c>
      <c r="O46" t="s">
        <v>617</v>
      </c>
      <c r="P46" t="s">
        <v>618</v>
      </c>
      <c r="Q46" t="s">
        <v>619</v>
      </c>
    </row>
    <row r="47" spans="1:17" ht="15" customHeight="1" x14ac:dyDescent="0.35">
      <c r="A47" t="s">
        <v>425</v>
      </c>
      <c r="B47">
        <v>46</v>
      </c>
      <c r="C47" t="s">
        <v>624</v>
      </c>
      <c r="D47" t="s">
        <v>460</v>
      </c>
      <c r="E47" t="s">
        <v>25</v>
      </c>
      <c r="F47" t="s">
        <v>62</v>
      </c>
      <c r="G47">
        <v>4981</v>
      </c>
      <c r="H47">
        <v>0</v>
      </c>
      <c r="I47">
        <v>0</v>
      </c>
      <c r="J47">
        <v>0</v>
      </c>
      <c r="K47">
        <v>1E-4</v>
      </c>
      <c r="L47">
        <v>0.83907699999999996</v>
      </c>
      <c r="M47" t="s">
        <v>27</v>
      </c>
      <c r="N47" t="s">
        <v>63</v>
      </c>
      <c r="O47" t="s">
        <v>625</v>
      </c>
      <c r="P47" t="s">
        <v>626</v>
      </c>
      <c r="Q47" t="s">
        <v>627</v>
      </c>
    </row>
    <row r="48" spans="1:17" ht="15" customHeight="1" x14ac:dyDescent="0.35">
      <c r="A48" t="s">
        <v>425</v>
      </c>
      <c r="B48">
        <v>47</v>
      </c>
      <c r="C48" t="s">
        <v>624</v>
      </c>
      <c r="D48" t="s">
        <v>460</v>
      </c>
      <c r="E48" t="s">
        <v>25</v>
      </c>
      <c r="F48" t="s">
        <v>62</v>
      </c>
      <c r="G48">
        <v>41</v>
      </c>
      <c r="H48">
        <v>0</v>
      </c>
      <c r="I48">
        <v>0</v>
      </c>
      <c r="J48">
        <v>0</v>
      </c>
      <c r="K48">
        <v>9.9999999999999995E-7</v>
      </c>
      <c r="L48">
        <v>0.30229899999999998</v>
      </c>
      <c r="M48" t="s">
        <v>27</v>
      </c>
      <c r="N48" t="s">
        <v>63</v>
      </c>
      <c r="O48" t="s">
        <v>625</v>
      </c>
      <c r="P48" t="s">
        <v>628</v>
      </c>
      <c r="Q48" t="s">
        <v>627</v>
      </c>
    </row>
    <row r="49" spans="1:17" ht="15" customHeight="1" x14ac:dyDescent="0.35">
      <c r="A49" t="s">
        <v>425</v>
      </c>
      <c r="B49">
        <v>48</v>
      </c>
      <c r="C49" t="s">
        <v>629</v>
      </c>
      <c r="D49" t="s">
        <v>460</v>
      </c>
      <c r="E49" t="s">
        <v>25</v>
      </c>
      <c r="F49" t="s">
        <v>34</v>
      </c>
      <c r="G49">
        <v>1914</v>
      </c>
      <c r="H49">
        <v>0</v>
      </c>
      <c r="I49">
        <v>3</v>
      </c>
      <c r="J49">
        <v>0</v>
      </c>
      <c r="K49">
        <v>2.8899999999999998E-4</v>
      </c>
      <c r="L49">
        <v>0.99155599999999999</v>
      </c>
      <c r="M49" t="s">
        <v>27</v>
      </c>
      <c r="N49" t="s">
        <v>28</v>
      </c>
      <c r="O49" t="s">
        <v>625</v>
      </c>
      <c r="P49" t="s">
        <v>628</v>
      </c>
      <c r="Q49" t="s">
        <v>627</v>
      </c>
    </row>
    <row r="50" spans="1:17" ht="15" customHeight="1" x14ac:dyDescent="0.35">
      <c r="A50" t="s">
        <v>425</v>
      </c>
      <c r="B50">
        <v>49</v>
      </c>
      <c r="C50" t="s">
        <v>630</v>
      </c>
      <c r="D50" t="s">
        <v>460</v>
      </c>
      <c r="E50" t="s">
        <v>25</v>
      </c>
      <c r="F50" t="s">
        <v>62</v>
      </c>
      <c r="G50">
        <v>11658</v>
      </c>
      <c r="H50">
        <v>0</v>
      </c>
      <c r="I50">
        <v>0</v>
      </c>
      <c r="J50">
        <v>0</v>
      </c>
      <c r="K50">
        <v>2.33E-4</v>
      </c>
      <c r="L50">
        <v>0.968781</v>
      </c>
      <c r="M50" t="s">
        <v>27</v>
      </c>
      <c r="N50" t="s">
        <v>63</v>
      </c>
      <c r="O50" t="s">
        <v>625</v>
      </c>
      <c r="P50" t="s">
        <v>626</v>
      </c>
      <c r="Q50" t="s">
        <v>627</v>
      </c>
    </row>
    <row r="51" spans="1:17" ht="15" customHeight="1" x14ac:dyDescent="0.35">
      <c r="A51" t="s">
        <v>425</v>
      </c>
      <c r="B51">
        <v>50</v>
      </c>
      <c r="C51" t="s">
        <v>630</v>
      </c>
      <c r="D51" t="s">
        <v>460</v>
      </c>
      <c r="E51" t="s">
        <v>25</v>
      </c>
      <c r="F51" t="s">
        <v>62</v>
      </c>
      <c r="G51">
        <v>41</v>
      </c>
      <c r="H51">
        <v>0</v>
      </c>
      <c r="I51">
        <v>0</v>
      </c>
      <c r="J51">
        <v>0</v>
      </c>
      <c r="K51">
        <v>9.9999999999999995E-7</v>
      </c>
      <c r="L51">
        <v>0.27387299999999998</v>
      </c>
      <c r="M51" t="s">
        <v>27</v>
      </c>
      <c r="N51" t="s">
        <v>63</v>
      </c>
      <c r="O51" t="s">
        <v>625</v>
      </c>
      <c r="P51" t="s">
        <v>628</v>
      </c>
      <c r="Q51" t="s">
        <v>627</v>
      </c>
    </row>
    <row r="52" spans="1:17" ht="15" customHeight="1" x14ac:dyDescent="0.35">
      <c r="A52" t="s">
        <v>425</v>
      </c>
      <c r="B52">
        <v>51</v>
      </c>
      <c r="C52" t="s">
        <v>631</v>
      </c>
      <c r="D52" t="s">
        <v>460</v>
      </c>
      <c r="E52" t="s">
        <v>25</v>
      </c>
      <c r="F52" t="s">
        <v>34</v>
      </c>
      <c r="G52">
        <v>2316</v>
      </c>
      <c r="H52">
        <v>0</v>
      </c>
      <c r="I52">
        <v>3</v>
      </c>
      <c r="J52">
        <v>0</v>
      </c>
      <c r="K52">
        <v>3.4900000000000003E-4</v>
      </c>
      <c r="L52">
        <v>0.98650499999999997</v>
      </c>
      <c r="M52" t="s">
        <v>27</v>
      </c>
      <c r="N52" t="s">
        <v>28</v>
      </c>
      <c r="O52" t="s">
        <v>625</v>
      </c>
      <c r="P52" t="s">
        <v>628</v>
      </c>
      <c r="Q52" t="s">
        <v>627</v>
      </c>
    </row>
    <row r="53" spans="1:17" ht="15" customHeight="1" x14ac:dyDescent="0.35">
      <c r="A53" t="s">
        <v>425</v>
      </c>
      <c r="B53">
        <v>52</v>
      </c>
      <c r="C53" t="s">
        <v>632</v>
      </c>
      <c r="D53" t="s">
        <v>24</v>
      </c>
      <c r="E53" t="s">
        <v>25</v>
      </c>
      <c r="F53" t="s">
        <v>26</v>
      </c>
      <c r="G53">
        <v>1422</v>
      </c>
      <c r="H53">
        <v>1280</v>
      </c>
      <c r="I53">
        <v>99</v>
      </c>
      <c r="J53">
        <v>0</v>
      </c>
      <c r="K53">
        <v>2.9450000000000001E-3</v>
      </c>
      <c r="L53">
        <v>2.3407309999999999</v>
      </c>
      <c r="M53" t="s">
        <v>27</v>
      </c>
      <c r="N53" t="s">
        <v>28</v>
      </c>
      <c r="O53" t="s">
        <v>29</v>
      </c>
      <c r="P53" t="s">
        <v>30</v>
      </c>
      <c r="Q53" t="s">
        <v>31</v>
      </c>
    </row>
    <row r="54" spans="1:17" ht="15" customHeight="1" x14ac:dyDescent="0.35">
      <c r="A54" t="s">
        <v>435</v>
      </c>
      <c r="B54">
        <v>1</v>
      </c>
      <c r="C54" t="s">
        <v>707</v>
      </c>
      <c r="D54" t="s">
        <v>24</v>
      </c>
      <c r="E54" t="s">
        <v>25</v>
      </c>
      <c r="F54" t="s">
        <v>26</v>
      </c>
      <c r="G54">
        <v>1173</v>
      </c>
      <c r="H54">
        <v>1024</v>
      </c>
      <c r="I54">
        <v>53</v>
      </c>
      <c r="J54">
        <v>0</v>
      </c>
      <c r="K54">
        <v>2.1819999999999999E-3</v>
      </c>
      <c r="L54">
        <v>1.7210589999999999</v>
      </c>
      <c r="M54" t="s">
        <v>27</v>
      </c>
      <c r="N54" t="s">
        <v>28</v>
      </c>
      <c r="O54" t="s">
        <v>29</v>
      </c>
      <c r="P54" t="s">
        <v>30</v>
      </c>
      <c r="Q54" t="s">
        <v>31</v>
      </c>
    </row>
    <row r="55" spans="1:17" ht="15" customHeight="1" x14ac:dyDescent="0.35">
      <c r="A55" t="s">
        <v>435</v>
      </c>
      <c r="B55">
        <v>2</v>
      </c>
      <c r="C55" t="s">
        <v>708</v>
      </c>
      <c r="D55" t="s">
        <v>421</v>
      </c>
      <c r="E55" t="s">
        <v>25</v>
      </c>
      <c r="F55" t="s">
        <v>34</v>
      </c>
      <c r="G55">
        <v>1584</v>
      </c>
      <c r="H55">
        <v>1024</v>
      </c>
      <c r="I55">
        <v>46</v>
      </c>
      <c r="J55">
        <v>0</v>
      </c>
      <c r="K55">
        <v>1.8799999999999999E-4</v>
      </c>
      <c r="L55">
        <v>1.782511</v>
      </c>
      <c r="M55" t="s">
        <v>27</v>
      </c>
      <c r="N55" t="s">
        <v>28</v>
      </c>
      <c r="O55" t="s">
        <v>463</v>
      </c>
      <c r="P55" t="s">
        <v>464</v>
      </c>
      <c r="Q55" t="s">
        <v>465</v>
      </c>
    </row>
    <row r="56" spans="1:17" ht="15" customHeight="1" x14ac:dyDescent="0.35">
      <c r="A56" t="s">
        <v>435</v>
      </c>
      <c r="B56">
        <v>3</v>
      </c>
      <c r="C56" t="s">
        <v>709</v>
      </c>
      <c r="D56" t="s">
        <v>421</v>
      </c>
      <c r="E56" t="s">
        <v>25</v>
      </c>
      <c r="F56" t="s">
        <v>26</v>
      </c>
      <c r="G56">
        <v>519</v>
      </c>
      <c r="H56">
        <v>0</v>
      </c>
      <c r="I56">
        <v>38</v>
      </c>
      <c r="J56">
        <v>0</v>
      </c>
      <c r="K56">
        <v>1.6770000000000001E-3</v>
      </c>
      <c r="L56">
        <v>1.8102229999999999</v>
      </c>
      <c r="M56" t="s">
        <v>27</v>
      </c>
      <c r="N56" t="s">
        <v>28</v>
      </c>
      <c r="O56" t="s">
        <v>467</v>
      </c>
      <c r="P56" t="s">
        <v>468</v>
      </c>
      <c r="Q56" t="s">
        <v>469</v>
      </c>
    </row>
    <row r="57" spans="1:17" ht="15" customHeight="1" x14ac:dyDescent="0.35">
      <c r="A57" t="s">
        <v>435</v>
      </c>
      <c r="B57">
        <v>4</v>
      </c>
      <c r="C57" t="s">
        <v>710</v>
      </c>
      <c r="D57" t="s">
        <v>24</v>
      </c>
      <c r="E57" t="s">
        <v>25</v>
      </c>
      <c r="F57" t="s">
        <v>26</v>
      </c>
      <c r="G57">
        <v>1247</v>
      </c>
      <c r="H57">
        <v>1024</v>
      </c>
      <c r="I57">
        <v>49</v>
      </c>
      <c r="J57">
        <v>0</v>
      </c>
      <c r="K57">
        <v>2.3280000000000002E-3</v>
      </c>
      <c r="L57">
        <v>2.5263270000000002</v>
      </c>
      <c r="M57" t="s">
        <v>27</v>
      </c>
      <c r="N57" t="s">
        <v>28</v>
      </c>
      <c r="O57" t="s">
        <v>29</v>
      </c>
      <c r="P57" t="s">
        <v>30</v>
      </c>
      <c r="Q57" t="s">
        <v>31</v>
      </c>
    </row>
    <row r="58" spans="1:17" ht="15" customHeight="1" x14ac:dyDescent="0.35">
      <c r="A58" t="s">
        <v>435</v>
      </c>
      <c r="B58">
        <v>5</v>
      </c>
      <c r="C58" t="s">
        <v>711</v>
      </c>
      <c r="D58" t="s">
        <v>460</v>
      </c>
      <c r="E58" t="s">
        <v>40</v>
      </c>
      <c r="F58" t="s">
        <v>41</v>
      </c>
      <c r="G58">
        <v>261</v>
      </c>
      <c r="H58">
        <v>0</v>
      </c>
      <c r="I58">
        <v>18</v>
      </c>
      <c r="J58">
        <v>5.0000000000000001E-3</v>
      </c>
      <c r="K58">
        <v>5.28E-3</v>
      </c>
      <c r="L58">
        <v>1.5298970000000001</v>
      </c>
      <c r="M58" t="s">
        <v>27</v>
      </c>
      <c r="N58" t="s">
        <v>42</v>
      </c>
      <c r="O58" t="s">
        <v>590</v>
      </c>
      <c r="P58" t="s">
        <v>591</v>
      </c>
      <c r="Q58" t="s">
        <v>592</v>
      </c>
    </row>
    <row r="59" spans="1:17" ht="15" customHeight="1" x14ac:dyDescent="0.35">
      <c r="A59" t="s">
        <v>435</v>
      </c>
      <c r="B59">
        <v>6</v>
      </c>
      <c r="C59" t="s">
        <v>712</v>
      </c>
      <c r="D59" t="s">
        <v>460</v>
      </c>
      <c r="E59" t="s">
        <v>40</v>
      </c>
      <c r="F59" t="s">
        <v>373</v>
      </c>
      <c r="G59">
        <v>811</v>
      </c>
      <c r="H59">
        <v>0</v>
      </c>
      <c r="I59">
        <v>181</v>
      </c>
      <c r="J59">
        <v>1.4E-2</v>
      </c>
      <c r="K59">
        <v>1.915E-2</v>
      </c>
      <c r="L59">
        <v>8.2438970000000005</v>
      </c>
      <c r="M59" t="s">
        <v>27</v>
      </c>
      <c r="N59" t="s">
        <v>594</v>
      </c>
      <c r="O59" t="s">
        <v>595</v>
      </c>
      <c r="P59" t="s">
        <v>596</v>
      </c>
      <c r="Q59" t="s">
        <v>597</v>
      </c>
    </row>
    <row r="60" spans="1:17" ht="15" customHeight="1" x14ac:dyDescent="0.35">
      <c r="A60" t="s">
        <v>435</v>
      </c>
      <c r="B60">
        <v>7</v>
      </c>
      <c r="C60" t="s">
        <v>713</v>
      </c>
      <c r="D60" t="s">
        <v>460</v>
      </c>
      <c r="E60" t="s">
        <v>47</v>
      </c>
      <c r="F60" t="s">
        <v>47</v>
      </c>
      <c r="G60">
        <v>0</v>
      </c>
      <c r="H60">
        <v>0</v>
      </c>
      <c r="I60">
        <v>0</v>
      </c>
      <c r="J60">
        <v>1E-3</v>
      </c>
      <c r="K60">
        <v>1E-3</v>
      </c>
      <c r="L60">
        <v>1.904442</v>
      </c>
      <c r="M60" t="s">
        <v>27</v>
      </c>
      <c r="N60" t="s">
        <v>48</v>
      </c>
      <c r="O60" t="s">
        <v>599</v>
      </c>
      <c r="P60" t="s">
        <v>600</v>
      </c>
      <c r="Q60" t="s">
        <v>601</v>
      </c>
    </row>
    <row r="61" spans="1:17" ht="15" customHeight="1" x14ac:dyDescent="0.35">
      <c r="A61" t="s">
        <v>435</v>
      </c>
      <c r="B61">
        <v>8</v>
      </c>
      <c r="C61" t="s">
        <v>714</v>
      </c>
      <c r="D61" t="s">
        <v>460</v>
      </c>
      <c r="E61" t="s">
        <v>40</v>
      </c>
      <c r="F61" t="s">
        <v>603</v>
      </c>
      <c r="G61">
        <v>0</v>
      </c>
      <c r="H61">
        <v>0</v>
      </c>
      <c r="I61">
        <v>0</v>
      </c>
      <c r="J61">
        <v>5.0000000000000001E-3</v>
      </c>
      <c r="K61">
        <v>5.0000000000000001E-3</v>
      </c>
      <c r="L61">
        <v>2.1027439999999999</v>
      </c>
      <c r="M61" t="s">
        <v>27</v>
      </c>
      <c r="N61" t="s">
        <v>604</v>
      </c>
      <c r="O61" t="s">
        <v>605</v>
      </c>
      <c r="P61" t="s">
        <v>606</v>
      </c>
      <c r="Q61" t="s">
        <v>607</v>
      </c>
    </row>
    <row r="62" spans="1:17" ht="15" customHeight="1" x14ac:dyDescent="0.35">
      <c r="A62" t="s">
        <v>435</v>
      </c>
      <c r="B62">
        <v>9</v>
      </c>
      <c r="C62" t="s">
        <v>715</v>
      </c>
      <c r="D62" t="s">
        <v>460</v>
      </c>
      <c r="E62" t="s">
        <v>47</v>
      </c>
      <c r="F62" t="s">
        <v>47</v>
      </c>
      <c r="G62">
        <v>0</v>
      </c>
      <c r="H62">
        <v>0</v>
      </c>
      <c r="I62">
        <v>0</v>
      </c>
      <c r="J62">
        <v>1E-3</v>
      </c>
      <c r="K62">
        <v>1E-3</v>
      </c>
      <c r="L62">
        <v>1.704766</v>
      </c>
      <c r="M62" t="s">
        <v>27</v>
      </c>
      <c r="N62" t="s">
        <v>48</v>
      </c>
      <c r="O62" t="s">
        <v>599</v>
      </c>
      <c r="P62" t="s">
        <v>600</v>
      </c>
      <c r="Q62" t="s">
        <v>601</v>
      </c>
    </row>
    <row r="63" spans="1:17" ht="15" customHeight="1" x14ac:dyDescent="0.35">
      <c r="A63" t="s">
        <v>435</v>
      </c>
      <c r="B63">
        <v>10</v>
      </c>
      <c r="C63" t="s">
        <v>716</v>
      </c>
      <c r="D63" t="s">
        <v>460</v>
      </c>
      <c r="E63" t="s">
        <v>40</v>
      </c>
      <c r="F63" t="s">
        <v>603</v>
      </c>
      <c r="G63">
        <v>0</v>
      </c>
      <c r="H63">
        <v>0</v>
      </c>
      <c r="I63">
        <v>0</v>
      </c>
      <c r="J63">
        <v>5.0000000000000001E-3</v>
      </c>
      <c r="K63">
        <v>5.0000000000000001E-3</v>
      </c>
      <c r="L63">
        <v>1.1879729999999999</v>
      </c>
      <c r="M63" t="s">
        <v>27</v>
      </c>
      <c r="N63" t="s">
        <v>604</v>
      </c>
      <c r="O63" t="s">
        <v>605</v>
      </c>
      <c r="P63" t="s">
        <v>606</v>
      </c>
      <c r="Q63" t="s">
        <v>607</v>
      </c>
    </row>
    <row r="64" spans="1:17" ht="15" customHeight="1" x14ac:dyDescent="0.35">
      <c r="A64" t="s">
        <v>435</v>
      </c>
      <c r="B64">
        <v>11</v>
      </c>
      <c r="C64" t="s">
        <v>717</v>
      </c>
      <c r="D64" t="s">
        <v>460</v>
      </c>
      <c r="E64" t="s">
        <v>47</v>
      </c>
      <c r="F64" t="s">
        <v>47</v>
      </c>
      <c r="G64">
        <v>0</v>
      </c>
      <c r="H64">
        <v>0</v>
      </c>
      <c r="I64">
        <v>0</v>
      </c>
      <c r="J64">
        <v>1E-3</v>
      </c>
      <c r="K64">
        <v>1E-3</v>
      </c>
      <c r="L64">
        <v>1.6950540000000001</v>
      </c>
      <c r="M64" t="s">
        <v>27</v>
      </c>
      <c r="N64" t="s">
        <v>48</v>
      </c>
      <c r="O64" t="s">
        <v>599</v>
      </c>
      <c r="P64" t="s">
        <v>600</v>
      </c>
      <c r="Q64" t="s">
        <v>601</v>
      </c>
    </row>
    <row r="65" spans="1:17" ht="15" customHeight="1" x14ac:dyDescent="0.35">
      <c r="A65" t="s">
        <v>435</v>
      </c>
      <c r="B65">
        <v>12</v>
      </c>
      <c r="C65" t="s">
        <v>718</v>
      </c>
      <c r="D65" t="s">
        <v>460</v>
      </c>
      <c r="E65" t="s">
        <v>40</v>
      </c>
      <c r="F65" t="s">
        <v>603</v>
      </c>
      <c r="G65">
        <v>0</v>
      </c>
      <c r="H65">
        <v>0</v>
      </c>
      <c r="I65">
        <v>0</v>
      </c>
      <c r="J65">
        <v>5.0000000000000001E-3</v>
      </c>
      <c r="K65">
        <v>5.0000000000000001E-3</v>
      </c>
      <c r="L65">
        <v>1.6136649999999999</v>
      </c>
      <c r="M65" t="s">
        <v>27</v>
      </c>
      <c r="N65" t="s">
        <v>604</v>
      </c>
      <c r="O65" t="s">
        <v>605</v>
      </c>
      <c r="P65" t="s">
        <v>606</v>
      </c>
      <c r="Q65" t="s">
        <v>607</v>
      </c>
    </row>
    <row r="66" spans="1:17" ht="15" customHeight="1" x14ac:dyDescent="0.35">
      <c r="A66" t="s">
        <v>435</v>
      </c>
      <c r="B66">
        <v>13</v>
      </c>
      <c r="C66" t="s">
        <v>719</v>
      </c>
      <c r="D66" t="s">
        <v>460</v>
      </c>
      <c r="E66" t="s">
        <v>47</v>
      </c>
      <c r="F66" t="s">
        <v>47</v>
      </c>
      <c r="G66">
        <v>0</v>
      </c>
      <c r="H66">
        <v>0</v>
      </c>
      <c r="I66">
        <v>0</v>
      </c>
      <c r="J66">
        <v>1E-3</v>
      </c>
      <c r="K66">
        <v>1E-3</v>
      </c>
      <c r="L66">
        <v>1.3917120000000001</v>
      </c>
      <c r="M66" t="s">
        <v>27</v>
      </c>
      <c r="N66" t="s">
        <v>48</v>
      </c>
      <c r="O66" t="s">
        <v>599</v>
      </c>
      <c r="P66" t="s">
        <v>600</v>
      </c>
      <c r="Q66" t="s">
        <v>601</v>
      </c>
    </row>
    <row r="67" spans="1:17" ht="15" customHeight="1" x14ac:dyDescent="0.35">
      <c r="A67" t="s">
        <v>435</v>
      </c>
      <c r="B67">
        <v>14</v>
      </c>
      <c r="C67" t="s">
        <v>720</v>
      </c>
      <c r="D67" t="s">
        <v>460</v>
      </c>
      <c r="E67" t="s">
        <v>40</v>
      </c>
      <c r="F67" t="s">
        <v>603</v>
      </c>
      <c r="G67">
        <v>0</v>
      </c>
      <c r="H67">
        <v>0</v>
      </c>
      <c r="I67">
        <v>0</v>
      </c>
      <c r="J67">
        <v>5.0000000000000001E-3</v>
      </c>
      <c r="K67">
        <v>5.0000000000000001E-3</v>
      </c>
      <c r="L67">
        <v>6.3994590000000002</v>
      </c>
      <c r="M67" t="s">
        <v>27</v>
      </c>
      <c r="N67" t="s">
        <v>604</v>
      </c>
      <c r="O67" t="s">
        <v>605</v>
      </c>
      <c r="P67" t="s">
        <v>606</v>
      </c>
      <c r="Q67" t="s">
        <v>607</v>
      </c>
    </row>
    <row r="68" spans="1:17" ht="15" customHeight="1" x14ac:dyDescent="0.35">
      <c r="A68" t="s">
        <v>435</v>
      </c>
      <c r="B68">
        <v>15</v>
      </c>
      <c r="C68" t="s">
        <v>721</v>
      </c>
      <c r="D68" t="s">
        <v>460</v>
      </c>
      <c r="E68" t="s">
        <v>47</v>
      </c>
      <c r="F68" t="s">
        <v>47</v>
      </c>
      <c r="G68">
        <v>0</v>
      </c>
      <c r="H68">
        <v>0</v>
      </c>
      <c r="I68">
        <v>0</v>
      </c>
      <c r="J68">
        <v>1E-3</v>
      </c>
      <c r="K68">
        <v>1E-3</v>
      </c>
      <c r="L68">
        <v>1.4085460000000001</v>
      </c>
      <c r="M68" t="s">
        <v>27</v>
      </c>
      <c r="N68" t="s">
        <v>48</v>
      </c>
      <c r="O68" t="s">
        <v>599</v>
      </c>
      <c r="P68" t="s">
        <v>600</v>
      </c>
      <c r="Q68" t="s">
        <v>601</v>
      </c>
    </row>
    <row r="69" spans="1:17" ht="15" customHeight="1" x14ac:dyDescent="0.35">
      <c r="A69" t="s">
        <v>435</v>
      </c>
      <c r="B69">
        <v>16</v>
      </c>
      <c r="C69" t="s">
        <v>722</v>
      </c>
      <c r="D69" t="s">
        <v>460</v>
      </c>
      <c r="E69" t="s">
        <v>40</v>
      </c>
      <c r="F69" t="s">
        <v>603</v>
      </c>
      <c r="G69">
        <v>0</v>
      </c>
      <c r="H69">
        <v>0</v>
      </c>
      <c r="I69">
        <v>0</v>
      </c>
      <c r="J69">
        <v>5.0000000000000001E-3</v>
      </c>
      <c r="K69">
        <v>5.0000000000000001E-3</v>
      </c>
      <c r="L69">
        <v>1.7006300000000001</v>
      </c>
      <c r="M69" t="s">
        <v>27</v>
      </c>
      <c r="N69" t="s">
        <v>604</v>
      </c>
      <c r="O69" t="s">
        <v>605</v>
      </c>
      <c r="P69" t="s">
        <v>606</v>
      </c>
      <c r="Q69" t="s">
        <v>607</v>
      </c>
    </row>
    <row r="70" spans="1:17" ht="15" customHeight="1" x14ac:dyDescent="0.35">
      <c r="A70" t="s">
        <v>435</v>
      </c>
      <c r="B70">
        <v>17</v>
      </c>
      <c r="C70" t="s">
        <v>723</v>
      </c>
      <c r="D70" t="s">
        <v>460</v>
      </c>
      <c r="E70" t="s">
        <v>40</v>
      </c>
      <c r="F70" t="s">
        <v>41</v>
      </c>
      <c r="G70">
        <v>246</v>
      </c>
      <c r="H70">
        <v>0</v>
      </c>
      <c r="I70">
        <v>7</v>
      </c>
      <c r="J70">
        <v>5.0000000000000001E-3</v>
      </c>
      <c r="K70">
        <v>5.2500000000000003E-3</v>
      </c>
      <c r="L70">
        <v>4.2728820000000001</v>
      </c>
      <c r="M70" t="s">
        <v>27</v>
      </c>
      <c r="N70" t="s">
        <v>42</v>
      </c>
      <c r="O70" t="s">
        <v>617</v>
      </c>
      <c r="P70" t="s">
        <v>618</v>
      </c>
      <c r="Q70" t="s">
        <v>619</v>
      </c>
    </row>
    <row r="71" spans="1:17" ht="15" customHeight="1" x14ac:dyDescent="0.35">
      <c r="A71" t="s">
        <v>435</v>
      </c>
      <c r="B71">
        <v>18</v>
      </c>
      <c r="C71" t="s">
        <v>724</v>
      </c>
      <c r="D71" t="s">
        <v>460</v>
      </c>
      <c r="E71" t="s">
        <v>40</v>
      </c>
      <c r="F71" t="s">
        <v>41</v>
      </c>
      <c r="G71">
        <v>216</v>
      </c>
      <c r="H71">
        <v>0</v>
      </c>
      <c r="I71">
        <v>7</v>
      </c>
      <c r="J71">
        <v>5.0000000000000001E-3</v>
      </c>
      <c r="K71">
        <v>5.2199999999999998E-3</v>
      </c>
      <c r="L71">
        <v>3.7421289999999998</v>
      </c>
      <c r="M71" t="s">
        <v>27</v>
      </c>
      <c r="N71" t="s">
        <v>42</v>
      </c>
      <c r="O71" t="s">
        <v>617</v>
      </c>
      <c r="P71" t="s">
        <v>618</v>
      </c>
      <c r="Q71" t="s">
        <v>619</v>
      </c>
    </row>
    <row r="72" spans="1:17" ht="15" customHeight="1" x14ac:dyDescent="0.35">
      <c r="A72" t="s">
        <v>435</v>
      </c>
      <c r="B72">
        <v>19</v>
      </c>
      <c r="C72" t="s">
        <v>725</v>
      </c>
      <c r="D72" t="s">
        <v>460</v>
      </c>
      <c r="E72" t="s">
        <v>40</v>
      </c>
      <c r="F72" t="s">
        <v>41</v>
      </c>
      <c r="G72">
        <v>207</v>
      </c>
      <c r="H72">
        <v>0</v>
      </c>
      <c r="I72">
        <v>7</v>
      </c>
      <c r="J72">
        <v>5.0000000000000001E-3</v>
      </c>
      <c r="K72">
        <v>5.2100000000000002E-3</v>
      </c>
      <c r="L72">
        <v>4.0690109999999997</v>
      </c>
      <c r="M72" t="s">
        <v>27</v>
      </c>
      <c r="N72" t="s">
        <v>42</v>
      </c>
      <c r="O72" t="s">
        <v>617</v>
      </c>
      <c r="P72" t="s">
        <v>618</v>
      </c>
      <c r="Q72" t="s">
        <v>619</v>
      </c>
    </row>
    <row r="73" spans="1:17" ht="15" customHeight="1" x14ac:dyDescent="0.35">
      <c r="A73" t="s">
        <v>435</v>
      </c>
      <c r="B73">
        <v>20</v>
      </c>
      <c r="C73" t="s">
        <v>726</v>
      </c>
      <c r="D73" t="s">
        <v>460</v>
      </c>
      <c r="E73" t="s">
        <v>40</v>
      </c>
      <c r="F73" t="s">
        <v>41</v>
      </c>
      <c r="G73">
        <v>220</v>
      </c>
      <c r="H73">
        <v>0</v>
      </c>
      <c r="I73">
        <v>7</v>
      </c>
      <c r="J73">
        <v>5.0000000000000001E-3</v>
      </c>
      <c r="K73">
        <v>5.2300000000000003E-3</v>
      </c>
      <c r="L73">
        <v>4.4688730000000003</v>
      </c>
      <c r="M73" t="s">
        <v>27</v>
      </c>
      <c r="N73" t="s">
        <v>42</v>
      </c>
      <c r="O73" t="s">
        <v>617</v>
      </c>
      <c r="P73" t="s">
        <v>618</v>
      </c>
      <c r="Q73" t="s">
        <v>619</v>
      </c>
    </row>
    <row r="74" spans="1:17" ht="15" customHeight="1" x14ac:dyDescent="0.35">
      <c r="A74" t="s">
        <v>435</v>
      </c>
      <c r="B74">
        <v>21</v>
      </c>
      <c r="C74" t="s">
        <v>727</v>
      </c>
      <c r="D74" t="s">
        <v>460</v>
      </c>
      <c r="E74" t="s">
        <v>25</v>
      </c>
      <c r="F74" t="s">
        <v>62</v>
      </c>
      <c r="G74">
        <v>2232</v>
      </c>
      <c r="H74">
        <v>0</v>
      </c>
      <c r="I74">
        <v>0</v>
      </c>
      <c r="J74">
        <v>0</v>
      </c>
      <c r="K74">
        <v>4.5000000000000003E-5</v>
      </c>
      <c r="L74">
        <v>0.83492299999999997</v>
      </c>
      <c r="M74" t="s">
        <v>27</v>
      </c>
      <c r="N74" t="s">
        <v>63</v>
      </c>
      <c r="O74" t="s">
        <v>625</v>
      </c>
      <c r="P74" t="s">
        <v>626</v>
      </c>
      <c r="Q74" t="s">
        <v>627</v>
      </c>
    </row>
    <row r="75" spans="1:17" ht="15" customHeight="1" x14ac:dyDescent="0.35">
      <c r="A75" t="s">
        <v>435</v>
      </c>
      <c r="B75">
        <v>22</v>
      </c>
      <c r="C75" t="s">
        <v>728</v>
      </c>
      <c r="D75" t="s">
        <v>460</v>
      </c>
      <c r="E75" t="s">
        <v>25</v>
      </c>
      <c r="F75" t="s">
        <v>62</v>
      </c>
      <c r="G75">
        <v>41</v>
      </c>
      <c r="H75">
        <v>0</v>
      </c>
      <c r="I75">
        <v>0</v>
      </c>
      <c r="J75">
        <v>0</v>
      </c>
      <c r="K75">
        <v>9.9999999999999995E-7</v>
      </c>
      <c r="L75">
        <v>0.29888900000000002</v>
      </c>
      <c r="M75" t="s">
        <v>27</v>
      </c>
      <c r="N75" t="s">
        <v>63</v>
      </c>
      <c r="O75" t="s">
        <v>625</v>
      </c>
      <c r="P75" t="s">
        <v>628</v>
      </c>
      <c r="Q75" t="s">
        <v>627</v>
      </c>
    </row>
    <row r="76" spans="1:17" ht="15" customHeight="1" x14ac:dyDescent="0.35">
      <c r="A76" t="s">
        <v>435</v>
      </c>
      <c r="B76">
        <v>23</v>
      </c>
      <c r="C76" t="s">
        <v>729</v>
      </c>
      <c r="D76" t="s">
        <v>460</v>
      </c>
      <c r="E76" t="s">
        <v>25</v>
      </c>
      <c r="F76" t="s">
        <v>34</v>
      </c>
      <c r="G76">
        <v>2258</v>
      </c>
      <c r="H76">
        <v>0</v>
      </c>
      <c r="I76">
        <v>3</v>
      </c>
      <c r="J76">
        <v>0</v>
      </c>
      <c r="K76">
        <v>3.4000000000000002E-4</v>
      </c>
      <c r="L76">
        <v>1.3061799999999999</v>
      </c>
      <c r="M76" t="s">
        <v>27</v>
      </c>
      <c r="N76" t="s">
        <v>28</v>
      </c>
      <c r="O76" t="s">
        <v>625</v>
      </c>
      <c r="P76" t="s">
        <v>628</v>
      </c>
      <c r="Q76" t="s">
        <v>627</v>
      </c>
    </row>
    <row r="77" spans="1:17" ht="15" customHeight="1" x14ac:dyDescent="0.35">
      <c r="A77" t="s">
        <v>435</v>
      </c>
      <c r="B77">
        <v>24</v>
      </c>
      <c r="C77" t="s">
        <v>730</v>
      </c>
      <c r="D77" t="s">
        <v>460</v>
      </c>
      <c r="E77" t="s">
        <v>25</v>
      </c>
      <c r="F77" t="s">
        <v>62</v>
      </c>
      <c r="G77">
        <v>36330</v>
      </c>
      <c r="H77">
        <v>0</v>
      </c>
      <c r="I77">
        <v>0</v>
      </c>
      <c r="J77">
        <v>0</v>
      </c>
      <c r="K77">
        <v>7.27E-4</v>
      </c>
      <c r="L77">
        <v>1.5159990000000001</v>
      </c>
      <c r="M77" t="s">
        <v>27</v>
      </c>
      <c r="N77" t="s">
        <v>63</v>
      </c>
      <c r="O77" t="s">
        <v>625</v>
      </c>
      <c r="P77" t="s">
        <v>626</v>
      </c>
      <c r="Q77" t="s">
        <v>627</v>
      </c>
    </row>
    <row r="78" spans="1:17" ht="15" customHeight="1" x14ac:dyDescent="0.35">
      <c r="A78" t="s">
        <v>435</v>
      </c>
      <c r="B78">
        <v>25</v>
      </c>
      <c r="C78" t="s">
        <v>731</v>
      </c>
      <c r="D78" t="s">
        <v>460</v>
      </c>
      <c r="E78" t="s">
        <v>25</v>
      </c>
      <c r="F78" t="s">
        <v>62</v>
      </c>
      <c r="G78">
        <v>41</v>
      </c>
      <c r="H78">
        <v>0</v>
      </c>
      <c r="I78">
        <v>0</v>
      </c>
      <c r="J78">
        <v>0</v>
      </c>
      <c r="K78">
        <v>9.9999999999999995E-7</v>
      </c>
      <c r="L78">
        <v>0.31580399999999997</v>
      </c>
      <c r="M78" t="s">
        <v>27</v>
      </c>
      <c r="N78" t="s">
        <v>63</v>
      </c>
      <c r="O78" t="s">
        <v>625</v>
      </c>
      <c r="P78" t="s">
        <v>628</v>
      </c>
      <c r="Q78" t="s">
        <v>627</v>
      </c>
    </row>
    <row r="79" spans="1:17" ht="15" customHeight="1" x14ac:dyDescent="0.35">
      <c r="A79" t="s">
        <v>435</v>
      </c>
      <c r="B79">
        <v>26</v>
      </c>
      <c r="C79" t="s">
        <v>732</v>
      </c>
      <c r="D79" t="s">
        <v>460</v>
      </c>
      <c r="E79" t="s">
        <v>25</v>
      </c>
      <c r="F79" t="s">
        <v>34</v>
      </c>
      <c r="G79">
        <v>3424</v>
      </c>
      <c r="H79">
        <v>0</v>
      </c>
      <c r="I79">
        <v>3</v>
      </c>
      <c r="J79">
        <v>0</v>
      </c>
      <c r="K79">
        <v>5.1500000000000005E-4</v>
      </c>
      <c r="L79">
        <v>1.3764799999999999</v>
      </c>
      <c r="M79" t="s">
        <v>27</v>
      </c>
      <c r="N79" t="s">
        <v>28</v>
      </c>
      <c r="O79" t="s">
        <v>625</v>
      </c>
      <c r="P79" t="s">
        <v>628</v>
      </c>
      <c r="Q79" t="s">
        <v>627</v>
      </c>
    </row>
    <row r="80" spans="1:17" ht="15" customHeight="1" x14ac:dyDescent="0.35">
      <c r="A80" t="s">
        <v>435</v>
      </c>
      <c r="B80">
        <v>27</v>
      </c>
      <c r="C80" t="s">
        <v>733</v>
      </c>
      <c r="D80" t="s">
        <v>460</v>
      </c>
      <c r="E80" t="s">
        <v>25</v>
      </c>
      <c r="F80" t="s">
        <v>62</v>
      </c>
      <c r="G80">
        <v>10021</v>
      </c>
      <c r="H80">
        <v>0</v>
      </c>
      <c r="I80">
        <v>0</v>
      </c>
      <c r="J80">
        <v>0</v>
      </c>
      <c r="K80">
        <v>2.0000000000000001E-4</v>
      </c>
      <c r="L80">
        <v>1.126781</v>
      </c>
      <c r="M80" t="s">
        <v>27</v>
      </c>
      <c r="N80" t="s">
        <v>63</v>
      </c>
      <c r="O80" t="s">
        <v>625</v>
      </c>
      <c r="P80" t="s">
        <v>626</v>
      </c>
      <c r="Q80" t="s">
        <v>627</v>
      </c>
    </row>
    <row r="81" spans="1:17" ht="15" customHeight="1" x14ac:dyDescent="0.35">
      <c r="A81" t="s">
        <v>435</v>
      </c>
      <c r="B81">
        <v>28</v>
      </c>
      <c r="C81" t="s">
        <v>733</v>
      </c>
      <c r="D81" t="s">
        <v>460</v>
      </c>
      <c r="E81" t="s">
        <v>25</v>
      </c>
      <c r="F81" t="s">
        <v>62</v>
      </c>
      <c r="G81">
        <v>41</v>
      </c>
      <c r="H81">
        <v>0</v>
      </c>
      <c r="I81">
        <v>0</v>
      </c>
      <c r="J81">
        <v>0</v>
      </c>
      <c r="K81">
        <v>9.9999999999999995E-7</v>
      </c>
      <c r="L81">
        <v>0.29409000000000002</v>
      </c>
      <c r="M81" t="s">
        <v>27</v>
      </c>
      <c r="N81" t="s">
        <v>63</v>
      </c>
      <c r="O81" t="s">
        <v>625</v>
      </c>
      <c r="P81" t="s">
        <v>628</v>
      </c>
      <c r="Q81" t="s">
        <v>627</v>
      </c>
    </row>
    <row r="82" spans="1:17" ht="15" customHeight="1" x14ac:dyDescent="0.35">
      <c r="A82" t="s">
        <v>435</v>
      </c>
      <c r="B82">
        <v>29</v>
      </c>
      <c r="C82" t="s">
        <v>734</v>
      </c>
      <c r="D82" t="s">
        <v>460</v>
      </c>
      <c r="E82" t="s">
        <v>25</v>
      </c>
      <c r="F82" t="s">
        <v>34</v>
      </c>
      <c r="G82">
        <v>3045</v>
      </c>
      <c r="H82">
        <v>0</v>
      </c>
      <c r="I82">
        <v>30</v>
      </c>
      <c r="J82">
        <v>0</v>
      </c>
      <c r="K82">
        <v>4.75E-4</v>
      </c>
      <c r="L82">
        <v>1.188024</v>
      </c>
      <c r="M82" t="s">
        <v>27</v>
      </c>
      <c r="N82" t="s">
        <v>28</v>
      </c>
      <c r="O82" t="s">
        <v>625</v>
      </c>
      <c r="P82" t="s">
        <v>628</v>
      </c>
      <c r="Q82" t="s">
        <v>627</v>
      </c>
    </row>
    <row r="83" spans="1:17" ht="15" customHeight="1" x14ac:dyDescent="0.35">
      <c r="A83" t="s">
        <v>435</v>
      </c>
      <c r="B83">
        <v>30</v>
      </c>
      <c r="C83" t="s">
        <v>735</v>
      </c>
      <c r="D83" t="s">
        <v>460</v>
      </c>
      <c r="E83" t="s">
        <v>25</v>
      </c>
      <c r="F83" t="s">
        <v>62</v>
      </c>
      <c r="G83">
        <v>10135</v>
      </c>
      <c r="H83">
        <v>0</v>
      </c>
      <c r="I83">
        <v>0</v>
      </c>
      <c r="J83">
        <v>0</v>
      </c>
      <c r="K83">
        <v>2.03E-4</v>
      </c>
      <c r="L83">
        <v>0.97696499999999997</v>
      </c>
      <c r="M83" t="s">
        <v>27</v>
      </c>
      <c r="N83" t="s">
        <v>63</v>
      </c>
      <c r="O83" t="s">
        <v>109</v>
      </c>
      <c r="P83" t="s">
        <v>110</v>
      </c>
      <c r="Q83" t="s">
        <v>736</v>
      </c>
    </row>
    <row r="84" spans="1:17" ht="15" customHeight="1" x14ac:dyDescent="0.35">
      <c r="A84" t="s">
        <v>435</v>
      </c>
      <c r="B84">
        <v>31</v>
      </c>
      <c r="C84" t="s">
        <v>737</v>
      </c>
      <c r="D84" t="s">
        <v>460</v>
      </c>
      <c r="E84" t="s">
        <v>25</v>
      </c>
      <c r="F84" t="s">
        <v>62</v>
      </c>
      <c r="G84">
        <v>99</v>
      </c>
      <c r="H84">
        <v>0</v>
      </c>
      <c r="I84">
        <v>0</v>
      </c>
      <c r="J84">
        <v>0</v>
      </c>
      <c r="K84">
        <v>1.9999999999999999E-6</v>
      </c>
      <c r="L84">
        <v>0.52220500000000003</v>
      </c>
      <c r="M84" t="s">
        <v>27</v>
      </c>
      <c r="N84" t="s">
        <v>63</v>
      </c>
      <c r="O84" t="s">
        <v>471</v>
      </c>
      <c r="P84" t="s">
        <v>472</v>
      </c>
      <c r="Q84" t="s">
        <v>738</v>
      </c>
    </row>
    <row r="85" spans="1:17" ht="15" customHeight="1" x14ac:dyDescent="0.35">
      <c r="A85" t="s">
        <v>435</v>
      </c>
      <c r="B85">
        <v>32</v>
      </c>
      <c r="C85" t="s">
        <v>739</v>
      </c>
      <c r="D85" t="s">
        <v>460</v>
      </c>
      <c r="E85" t="s">
        <v>25</v>
      </c>
      <c r="F85" t="s">
        <v>34</v>
      </c>
      <c r="G85">
        <v>2347</v>
      </c>
      <c r="H85">
        <v>0</v>
      </c>
      <c r="I85">
        <v>240</v>
      </c>
      <c r="J85">
        <v>0</v>
      </c>
      <c r="K85">
        <v>4.9600000000000002E-4</v>
      </c>
      <c r="L85">
        <v>2.4879989999999998</v>
      </c>
      <c r="M85" t="s">
        <v>27</v>
      </c>
      <c r="N85" t="s">
        <v>28</v>
      </c>
      <c r="O85" t="s">
        <v>471</v>
      </c>
      <c r="P85" t="s">
        <v>472</v>
      </c>
      <c r="Q85" t="s">
        <v>738</v>
      </c>
    </row>
    <row r="86" spans="1:17" ht="15" customHeight="1" x14ac:dyDescent="0.35">
      <c r="A86" t="s">
        <v>435</v>
      </c>
      <c r="B86">
        <v>33</v>
      </c>
      <c r="C86" t="s">
        <v>740</v>
      </c>
      <c r="D86" t="s">
        <v>460</v>
      </c>
      <c r="E86" t="s">
        <v>25</v>
      </c>
      <c r="F86" t="s">
        <v>62</v>
      </c>
      <c r="G86">
        <v>2026</v>
      </c>
      <c r="H86">
        <v>0</v>
      </c>
      <c r="I86">
        <v>0</v>
      </c>
      <c r="J86">
        <v>0</v>
      </c>
      <c r="K86">
        <v>4.1E-5</v>
      </c>
      <c r="L86">
        <v>0.30468200000000001</v>
      </c>
      <c r="M86" t="s">
        <v>27</v>
      </c>
      <c r="N86" t="s">
        <v>63</v>
      </c>
      <c r="O86" t="s">
        <v>471</v>
      </c>
      <c r="P86" t="s">
        <v>472</v>
      </c>
      <c r="Q86" t="s">
        <v>738</v>
      </c>
    </row>
    <row r="87" spans="1:17" ht="15" customHeight="1" x14ac:dyDescent="0.35">
      <c r="A87" t="s">
        <v>435</v>
      </c>
      <c r="B87">
        <v>34</v>
      </c>
      <c r="C87" t="s">
        <v>741</v>
      </c>
      <c r="D87" t="s">
        <v>460</v>
      </c>
      <c r="E87" t="s">
        <v>25</v>
      </c>
      <c r="F87" t="s">
        <v>34</v>
      </c>
      <c r="G87">
        <v>4390</v>
      </c>
      <c r="H87">
        <v>0</v>
      </c>
      <c r="I87">
        <v>341</v>
      </c>
      <c r="J87">
        <v>0</v>
      </c>
      <c r="K87">
        <v>8.6300000000000005E-4</v>
      </c>
      <c r="L87">
        <v>4.7466059999999999</v>
      </c>
      <c r="M87" t="s">
        <v>27</v>
      </c>
      <c r="N87" t="s">
        <v>28</v>
      </c>
      <c r="O87" t="s">
        <v>471</v>
      </c>
      <c r="P87" t="s">
        <v>472</v>
      </c>
      <c r="Q87" t="s">
        <v>738</v>
      </c>
    </row>
    <row r="88" spans="1:17" ht="15" customHeight="1" x14ac:dyDescent="0.35">
      <c r="A88" t="s">
        <v>435</v>
      </c>
      <c r="B88">
        <v>35</v>
      </c>
      <c r="C88" t="s">
        <v>742</v>
      </c>
      <c r="D88" t="s">
        <v>460</v>
      </c>
      <c r="E88" t="s">
        <v>25</v>
      </c>
      <c r="F88" t="s">
        <v>62</v>
      </c>
      <c r="G88">
        <v>74</v>
      </c>
      <c r="H88">
        <v>0</v>
      </c>
      <c r="I88">
        <v>0</v>
      </c>
      <c r="J88">
        <v>0</v>
      </c>
      <c r="K88">
        <v>9.9999999999999995E-7</v>
      </c>
      <c r="L88">
        <v>0.50458599999999998</v>
      </c>
      <c r="M88" t="s">
        <v>27</v>
      </c>
      <c r="N88" t="s">
        <v>63</v>
      </c>
      <c r="O88" t="s">
        <v>471</v>
      </c>
      <c r="P88" t="s">
        <v>472</v>
      </c>
      <c r="Q88" t="s">
        <v>738</v>
      </c>
    </row>
    <row r="89" spans="1:17" ht="15" customHeight="1" x14ac:dyDescent="0.35">
      <c r="A89" t="s">
        <v>435</v>
      </c>
      <c r="B89">
        <v>36</v>
      </c>
      <c r="C89" t="s">
        <v>743</v>
      </c>
      <c r="D89" t="s">
        <v>460</v>
      </c>
      <c r="E89" t="s">
        <v>25</v>
      </c>
      <c r="F89" t="s">
        <v>34</v>
      </c>
      <c r="G89">
        <v>2322</v>
      </c>
      <c r="H89">
        <v>1024</v>
      </c>
      <c r="I89">
        <v>282</v>
      </c>
      <c r="J89">
        <v>0</v>
      </c>
      <c r="K89">
        <v>4.4099999999999999E-4</v>
      </c>
      <c r="L89">
        <v>2.6835019999999998</v>
      </c>
      <c r="M89" t="s">
        <v>27</v>
      </c>
      <c r="N89" t="s">
        <v>28</v>
      </c>
      <c r="O89" t="s">
        <v>471</v>
      </c>
      <c r="P89" t="s">
        <v>472</v>
      </c>
      <c r="Q89" t="s">
        <v>738</v>
      </c>
    </row>
    <row r="90" spans="1:17" ht="15" customHeight="1" x14ac:dyDescent="0.35">
      <c r="A90" t="s">
        <v>435</v>
      </c>
      <c r="B90">
        <v>37</v>
      </c>
      <c r="C90" t="s">
        <v>743</v>
      </c>
      <c r="D90" t="s">
        <v>460</v>
      </c>
      <c r="E90" t="s">
        <v>25</v>
      </c>
      <c r="F90" t="s">
        <v>62</v>
      </c>
      <c r="G90">
        <v>83</v>
      </c>
      <c r="H90">
        <v>0</v>
      </c>
      <c r="I90">
        <v>0</v>
      </c>
      <c r="J90">
        <v>0</v>
      </c>
      <c r="K90">
        <v>1.9999999999999999E-6</v>
      </c>
      <c r="L90">
        <v>0.19914799999999999</v>
      </c>
      <c r="M90" t="s">
        <v>27</v>
      </c>
      <c r="N90" t="s">
        <v>63</v>
      </c>
      <c r="O90" t="s">
        <v>471</v>
      </c>
      <c r="P90" t="s">
        <v>472</v>
      </c>
      <c r="Q90" t="s">
        <v>738</v>
      </c>
    </row>
    <row r="91" spans="1:17" ht="15" customHeight="1" x14ac:dyDescent="0.35">
      <c r="A91" t="s">
        <v>435</v>
      </c>
      <c r="B91">
        <v>38</v>
      </c>
      <c r="C91" t="s">
        <v>744</v>
      </c>
      <c r="D91" t="s">
        <v>460</v>
      </c>
      <c r="E91" t="s">
        <v>25</v>
      </c>
      <c r="F91" t="s">
        <v>34</v>
      </c>
      <c r="G91">
        <v>2332</v>
      </c>
      <c r="H91">
        <v>2176</v>
      </c>
      <c r="I91">
        <v>314</v>
      </c>
      <c r="J91">
        <v>0</v>
      </c>
      <c r="K91">
        <v>3.7500000000000001E-4</v>
      </c>
      <c r="L91">
        <v>3.1228570000000002</v>
      </c>
      <c r="M91" t="s">
        <v>27</v>
      </c>
      <c r="N91" t="s">
        <v>28</v>
      </c>
      <c r="O91" t="s">
        <v>471</v>
      </c>
      <c r="P91" t="s">
        <v>472</v>
      </c>
      <c r="Q91" t="s">
        <v>738</v>
      </c>
    </row>
    <row r="92" spans="1:17" ht="15" customHeight="1" x14ac:dyDescent="0.35">
      <c r="A92" t="s">
        <v>435</v>
      </c>
      <c r="B92">
        <v>39</v>
      </c>
      <c r="C92" t="s">
        <v>744</v>
      </c>
      <c r="D92" t="s">
        <v>460</v>
      </c>
      <c r="E92" t="s">
        <v>25</v>
      </c>
      <c r="F92" t="s">
        <v>62</v>
      </c>
      <c r="G92">
        <v>74</v>
      </c>
      <c r="H92">
        <v>0</v>
      </c>
      <c r="I92">
        <v>0</v>
      </c>
      <c r="J92">
        <v>0</v>
      </c>
      <c r="K92">
        <v>9.9999999999999995E-7</v>
      </c>
      <c r="L92">
        <v>0.28633999999999998</v>
      </c>
      <c r="M92" t="s">
        <v>27</v>
      </c>
      <c r="N92" t="s">
        <v>63</v>
      </c>
      <c r="O92" t="s">
        <v>471</v>
      </c>
      <c r="P92" t="s">
        <v>472</v>
      </c>
      <c r="Q92" t="s">
        <v>738</v>
      </c>
    </row>
    <row r="93" spans="1:17" ht="15" customHeight="1" x14ac:dyDescent="0.35">
      <c r="A93" t="s">
        <v>435</v>
      </c>
      <c r="B93">
        <v>40</v>
      </c>
      <c r="C93" t="s">
        <v>745</v>
      </c>
      <c r="D93" t="s">
        <v>460</v>
      </c>
      <c r="E93" t="s">
        <v>25</v>
      </c>
      <c r="F93" t="s">
        <v>34</v>
      </c>
      <c r="G93">
        <v>2322</v>
      </c>
      <c r="H93">
        <v>0</v>
      </c>
      <c r="I93">
        <v>256</v>
      </c>
      <c r="J93">
        <v>0</v>
      </c>
      <c r="K93">
        <v>5.0199999999999995E-4</v>
      </c>
      <c r="L93">
        <v>3.212164</v>
      </c>
      <c r="M93" t="s">
        <v>27</v>
      </c>
      <c r="N93" t="s">
        <v>28</v>
      </c>
      <c r="O93" t="s">
        <v>471</v>
      </c>
      <c r="P93" t="s">
        <v>472</v>
      </c>
      <c r="Q93" t="s">
        <v>738</v>
      </c>
    </row>
    <row r="94" spans="1:17" ht="15" customHeight="1" x14ac:dyDescent="0.35">
      <c r="A94" t="s">
        <v>435</v>
      </c>
      <c r="B94">
        <v>41</v>
      </c>
      <c r="C94" t="s">
        <v>746</v>
      </c>
      <c r="D94" t="s">
        <v>460</v>
      </c>
      <c r="E94" t="s">
        <v>25</v>
      </c>
      <c r="F94" t="s">
        <v>62</v>
      </c>
      <c r="G94">
        <v>99</v>
      </c>
      <c r="H94">
        <v>0</v>
      </c>
      <c r="I94">
        <v>0</v>
      </c>
      <c r="J94">
        <v>0</v>
      </c>
      <c r="K94">
        <v>1.9999999999999999E-6</v>
      </c>
      <c r="L94">
        <v>0.497367</v>
      </c>
      <c r="M94" t="s">
        <v>27</v>
      </c>
      <c r="N94" t="s">
        <v>63</v>
      </c>
      <c r="O94" t="s">
        <v>471</v>
      </c>
      <c r="P94" t="s">
        <v>472</v>
      </c>
      <c r="Q94" t="s">
        <v>738</v>
      </c>
    </row>
    <row r="95" spans="1:17" ht="15" customHeight="1" x14ac:dyDescent="0.35">
      <c r="A95" t="s">
        <v>435</v>
      </c>
      <c r="B95">
        <v>42</v>
      </c>
      <c r="C95" t="s">
        <v>747</v>
      </c>
      <c r="D95" t="s">
        <v>460</v>
      </c>
      <c r="E95" t="s">
        <v>25</v>
      </c>
      <c r="F95" t="s">
        <v>34</v>
      </c>
      <c r="G95">
        <v>2374</v>
      </c>
      <c r="H95">
        <v>0</v>
      </c>
      <c r="I95">
        <v>201</v>
      </c>
      <c r="J95">
        <v>0</v>
      </c>
      <c r="K95">
        <v>4.7699999999999999E-4</v>
      </c>
      <c r="L95">
        <v>2.1839810000000002</v>
      </c>
      <c r="M95" t="s">
        <v>27</v>
      </c>
      <c r="N95" t="s">
        <v>28</v>
      </c>
      <c r="O95" t="s">
        <v>471</v>
      </c>
      <c r="P95" t="s">
        <v>472</v>
      </c>
      <c r="Q95" t="s">
        <v>738</v>
      </c>
    </row>
    <row r="96" spans="1:17" ht="15" customHeight="1" x14ac:dyDescent="0.35">
      <c r="A96" t="s">
        <v>435</v>
      </c>
      <c r="B96">
        <v>43</v>
      </c>
      <c r="C96" t="s">
        <v>747</v>
      </c>
      <c r="D96" t="s">
        <v>460</v>
      </c>
      <c r="E96" t="s">
        <v>25</v>
      </c>
      <c r="F96" t="s">
        <v>62</v>
      </c>
      <c r="G96">
        <v>2026</v>
      </c>
      <c r="H96">
        <v>0</v>
      </c>
      <c r="I96">
        <v>0</v>
      </c>
      <c r="J96">
        <v>0</v>
      </c>
      <c r="K96">
        <v>4.1E-5</v>
      </c>
      <c r="L96">
        <v>0.30013000000000001</v>
      </c>
      <c r="M96" t="s">
        <v>27</v>
      </c>
      <c r="N96" t="s">
        <v>63</v>
      </c>
      <c r="O96" t="s">
        <v>471</v>
      </c>
      <c r="P96" t="s">
        <v>472</v>
      </c>
      <c r="Q96" t="s">
        <v>738</v>
      </c>
    </row>
    <row r="97" spans="1:51" ht="15" customHeight="1" x14ac:dyDescent="0.35">
      <c r="A97" t="s">
        <v>435</v>
      </c>
      <c r="B97">
        <v>44</v>
      </c>
      <c r="C97" t="s">
        <v>748</v>
      </c>
      <c r="D97" t="s">
        <v>460</v>
      </c>
      <c r="E97" t="s">
        <v>25</v>
      </c>
      <c r="F97" t="s">
        <v>34</v>
      </c>
      <c r="G97">
        <v>5636</v>
      </c>
      <c r="H97">
        <v>0</v>
      </c>
      <c r="I97">
        <v>94</v>
      </c>
      <c r="J97">
        <v>0</v>
      </c>
      <c r="K97">
        <v>9.0200000000000002E-4</v>
      </c>
      <c r="L97">
        <v>1.8416680000000001</v>
      </c>
      <c r="M97" t="s">
        <v>27</v>
      </c>
      <c r="N97" t="s">
        <v>28</v>
      </c>
      <c r="O97" t="s">
        <v>471</v>
      </c>
      <c r="P97" t="s">
        <v>472</v>
      </c>
      <c r="Q97" t="s">
        <v>738</v>
      </c>
    </row>
    <row r="98" spans="1:51" ht="15" customHeight="1" x14ac:dyDescent="0.35">
      <c r="A98" t="s">
        <v>435</v>
      </c>
      <c r="B98">
        <v>45</v>
      </c>
      <c r="C98" t="s">
        <v>748</v>
      </c>
      <c r="D98" t="s">
        <v>460</v>
      </c>
      <c r="E98" t="s">
        <v>25</v>
      </c>
      <c r="F98" t="s">
        <v>62</v>
      </c>
      <c r="G98">
        <v>74</v>
      </c>
      <c r="H98">
        <v>0</v>
      </c>
      <c r="I98">
        <v>0</v>
      </c>
      <c r="J98">
        <v>0</v>
      </c>
      <c r="K98">
        <v>9.9999999999999995E-7</v>
      </c>
      <c r="L98">
        <v>0.30964399999999997</v>
      </c>
      <c r="M98" t="s">
        <v>27</v>
      </c>
      <c r="N98" t="s">
        <v>63</v>
      </c>
      <c r="O98" t="s">
        <v>471</v>
      </c>
      <c r="P98" t="s">
        <v>472</v>
      </c>
      <c r="Q98" t="s">
        <v>738</v>
      </c>
    </row>
    <row r="99" spans="1:51" ht="15" customHeight="1" x14ac:dyDescent="0.35">
      <c r="A99" t="s">
        <v>435</v>
      </c>
      <c r="B99">
        <v>46</v>
      </c>
      <c r="C99" t="s">
        <v>749</v>
      </c>
      <c r="D99" t="s">
        <v>460</v>
      </c>
      <c r="E99" t="s">
        <v>25</v>
      </c>
      <c r="F99" t="s">
        <v>34</v>
      </c>
      <c r="G99">
        <v>3439</v>
      </c>
      <c r="H99">
        <v>0</v>
      </c>
      <c r="I99">
        <v>266</v>
      </c>
      <c r="J99">
        <v>0</v>
      </c>
      <c r="K99">
        <v>6.7500000000000004E-4</v>
      </c>
      <c r="L99">
        <v>3.0848040000000001</v>
      </c>
      <c r="M99" t="s">
        <v>27</v>
      </c>
      <c r="N99" t="s">
        <v>28</v>
      </c>
      <c r="O99" t="s">
        <v>471</v>
      </c>
      <c r="P99" t="s">
        <v>472</v>
      </c>
      <c r="Q99" t="s">
        <v>738</v>
      </c>
    </row>
    <row r="100" spans="1:51" ht="15" customHeight="1" x14ac:dyDescent="0.35">
      <c r="A100" t="s">
        <v>435</v>
      </c>
      <c r="B100">
        <v>47</v>
      </c>
      <c r="C100" t="s">
        <v>749</v>
      </c>
      <c r="D100" t="s">
        <v>460</v>
      </c>
      <c r="E100" t="s">
        <v>25</v>
      </c>
      <c r="F100" t="s">
        <v>62</v>
      </c>
      <c r="G100">
        <v>83</v>
      </c>
      <c r="H100">
        <v>0</v>
      </c>
      <c r="I100">
        <v>0</v>
      </c>
      <c r="J100">
        <v>0</v>
      </c>
      <c r="K100">
        <v>1.9999999999999999E-6</v>
      </c>
      <c r="L100">
        <v>0.20462</v>
      </c>
      <c r="M100" t="s">
        <v>27</v>
      </c>
      <c r="N100" t="s">
        <v>63</v>
      </c>
      <c r="O100" t="s">
        <v>471</v>
      </c>
      <c r="P100" t="s">
        <v>472</v>
      </c>
      <c r="Q100" t="s">
        <v>738</v>
      </c>
    </row>
    <row r="101" spans="1:51" ht="15" customHeight="1" x14ac:dyDescent="0.35">
      <c r="A101" t="s">
        <v>435</v>
      </c>
      <c r="B101">
        <v>48</v>
      </c>
      <c r="C101" t="s">
        <v>750</v>
      </c>
      <c r="D101" t="s">
        <v>460</v>
      </c>
      <c r="E101" t="s">
        <v>25</v>
      </c>
      <c r="F101" t="s">
        <v>34</v>
      </c>
      <c r="G101">
        <v>3290</v>
      </c>
      <c r="H101">
        <v>0</v>
      </c>
      <c r="I101">
        <v>292</v>
      </c>
      <c r="J101">
        <v>0</v>
      </c>
      <c r="K101">
        <v>6.69E-4</v>
      </c>
      <c r="L101">
        <v>2.7977159999999999</v>
      </c>
      <c r="M101" t="s">
        <v>27</v>
      </c>
      <c r="N101" t="s">
        <v>28</v>
      </c>
      <c r="O101" t="s">
        <v>471</v>
      </c>
      <c r="P101" t="s">
        <v>472</v>
      </c>
      <c r="Q101" t="s">
        <v>738</v>
      </c>
    </row>
    <row r="102" spans="1:51" ht="15" customHeight="1" x14ac:dyDescent="0.35">
      <c r="A102" t="s">
        <v>435</v>
      </c>
      <c r="B102">
        <v>49</v>
      </c>
      <c r="C102" t="s">
        <v>751</v>
      </c>
      <c r="D102" t="s">
        <v>460</v>
      </c>
      <c r="E102" t="s">
        <v>25</v>
      </c>
      <c r="F102" t="s">
        <v>62</v>
      </c>
      <c r="G102">
        <v>74</v>
      </c>
      <c r="H102">
        <v>0</v>
      </c>
      <c r="I102">
        <v>0</v>
      </c>
      <c r="J102">
        <v>0</v>
      </c>
      <c r="K102">
        <v>9.9999999999999995E-7</v>
      </c>
      <c r="L102">
        <v>0.299566</v>
      </c>
      <c r="M102" t="s">
        <v>27</v>
      </c>
      <c r="N102" t="s">
        <v>63</v>
      </c>
      <c r="O102" t="s">
        <v>471</v>
      </c>
      <c r="P102" t="s">
        <v>472</v>
      </c>
      <c r="Q102" t="s">
        <v>738</v>
      </c>
    </row>
    <row r="103" spans="1:51" ht="15" customHeight="1" x14ac:dyDescent="0.35">
      <c r="A103" t="s">
        <v>435</v>
      </c>
      <c r="B103">
        <v>50</v>
      </c>
      <c r="C103" t="s">
        <v>752</v>
      </c>
      <c r="D103" t="s">
        <v>460</v>
      </c>
      <c r="E103" t="s">
        <v>25</v>
      </c>
      <c r="F103" t="s">
        <v>34</v>
      </c>
      <c r="G103">
        <v>3249</v>
      </c>
      <c r="H103">
        <v>1920</v>
      </c>
      <c r="I103">
        <v>290</v>
      </c>
      <c r="J103">
        <v>0</v>
      </c>
      <c r="K103">
        <v>5.1699999999999999E-4</v>
      </c>
      <c r="L103">
        <v>3.1920519999999999</v>
      </c>
      <c r="M103" t="s">
        <v>27</v>
      </c>
      <c r="N103" t="s">
        <v>28</v>
      </c>
      <c r="O103" t="s">
        <v>471</v>
      </c>
      <c r="P103" t="s">
        <v>472</v>
      </c>
      <c r="Q103" t="s">
        <v>738</v>
      </c>
    </row>
    <row r="106" spans="1:51" ht="15" customHeight="1" x14ac:dyDescent="0.35">
      <c r="A106" s="3" t="s">
        <v>850</v>
      </c>
    </row>
    <row r="108" spans="1:51" ht="15" customHeight="1" x14ac:dyDescent="0.35">
      <c r="A108" s="27" t="s">
        <v>0</v>
      </c>
      <c r="B108" s="27" t="s">
        <v>371</v>
      </c>
      <c r="C108" s="24" t="s">
        <v>26</v>
      </c>
      <c r="D108" s="25"/>
      <c r="E108" s="25"/>
      <c r="F108" s="25"/>
      <c r="G108" s="25"/>
      <c r="H108" s="25"/>
      <c r="I108" s="26"/>
      <c r="J108" s="24" t="s">
        <v>34</v>
      </c>
      <c r="K108" s="25"/>
      <c r="L108" s="25"/>
      <c r="M108" s="25"/>
      <c r="N108" s="25"/>
      <c r="O108" s="25"/>
      <c r="P108" s="26"/>
      <c r="Q108" s="24" t="s">
        <v>372</v>
      </c>
      <c r="R108" s="25"/>
      <c r="S108" s="25"/>
      <c r="T108" s="25"/>
      <c r="U108" s="25"/>
      <c r="V108" s="25"/>
      <c r="W108" s="26"/>
      <c r="X108" s="24" t="s">
        <v>47</v>
      </c>
      <c r="Y108" s="25"/>
      <c r="Z108" s="25"/>
      <c r="AA108" s="25"/>
      <c r="AB108" s="25"/>
      <c r="AC108" s="25"/>
      <c r="AD108" s="26"/>
      <c r="AE108" s="24" t="s">
        <v>41</v>
      </c>
      <c r="AF108" s="25"/>
      <c r="AG108" s="25"/>
      <c r="AH108" s="25"/>
      <c r="AI108" s="25"/>
      <c r="AJ108" s="25"/>
      <c r="AK108" s="26"/>
      <c r="AL108" s="24" t="s">
        <v>373</v>
      </c>
      <c r="AM108" s="25"/>
      <c r="AN108" s="25"/>
      <c r="AO108" s="25"/>
      <c r="AP108" s="25"/>
      <c r="AQ108" s="25"/>
      <c r="AR108" s="26"/>
      <c r="AS108" s="24" t="s">
        <v>374</v>
      </c>
      <c r="AT108" s="25"/>
      <c r="AU108" s="25"/>
      <c r="AV108" s="25"/>
      <c r="AW108" s="25"/>
      <c r="AX108" s="25"/>
      <c r="AY108" s="26"/>
    </row>
    <row r="109" spans="1:51" ht="27.75" customHeight="1" x14ac:dyDescent="0.35">
      <c r="A109" s="28"/>
      <c r="B109" s="28"/>
      <c r="C109" s="4" t="s">
        <v>375</v>
      </c>
      <c r="D109" s="4" t="s">
        <v>6</v>
      </c>
      <c r="E109" s="4" t="s">
        <v>7</v>
      </c>
      <c r="F109" s="4" t="s">
        <v>8</v>
      </c>
      <c r="G109" s="4" t="s">
        <v>9</v>
      </c>
      <c r="H109" s="4" t="s">
        <v>10</v>
      </c>
      <c r="I109" s="4" t="s">
        <v>11</v>
      </c>
      <c r="J109" s="4" t="s">
        <v>375</v>
      </c>
      <c r="K109" s="4" t="s">
        <v>6</v>
      </c>
      <c r="L109" s="4" t="s">
        <v>7</v>
      </c>
      <c r="M109" s="4" t="s">
        <v>8</v>
      </c>
      <c r="N109" s="4" t="s">
        <v>9</v>
      </c>
      <c r="O109" s="4" t="s">
        <v>10</v>
      </c>
      <c r="P109" s="4" t="s">
        <v>11</v>
      </c>
      <c r="Q109" s="4" t="s">
        <v>375</v>
      </c>
      <c r="R109" s="4" t="s">
        <v>6</v>
      </c>
      <c r="S109" s="4" t="s">
        <v>7</v>
      </c>
      <c r="T109" s="4" t="s">
        <v>8</v>
      </c>
      <c r="U109" s="4" t="s">
        <v>9</v>
      </c>
      <c r="V109" s="4" t="s">
        <v>10</v>
      </c>
      <c r="W109" s="4" t="s">
        <v>11</v>
      </c>
      <c r="X109" s="4" t="s">
        <v>375</v>
      </c>
      <c r="Y109" s="4" t="s">
        <v>6</v>
      </c>
      <c r="Z109" s="4" t="s">
        <v>7</v>
      </c>
      <c r="AA109" s="4" t="s">
        <v>8</v>
      </c>
      <c r="AB109" s="4" t="s">
        <v>9</v>
      </c>
      <c r="AC109" s="4" t="s">
        <v>10</v>
      </c>
      <c r="AD109" s="4" t="s">
        <v>11</v>
      </c>
      <c r="AE109" s="4" t="s">
        <v>375</v>
      </c>
      <c r="AF109" s="4" t="s">
        <v>6</v>
      </c>
      <c r="AG109" s="4" t="s">
        <v>7</v>
      </c>
      <c r="AH109" s="4" t="s">
        <v>8</v>
      </c>
      <c r="AI109" s="4" t="s">
        <v>9</v>
      </c>
      <c r="AJ109" s="4" t="s">
        <v>10</v>
      </c>
      <c r="AK109" s="4" t="s">
        <v>11</v>
      </c>
      <c r="AL109" s="4" t="s">
        <v>375</v>
      </c>
      <c r="AM109" s="4" t="s">
        <v>6</v>
      </c>
      <c r="AN109" s="4" t="s">
        <v>7</v>
      </c>
      <c r="AO109" s="4" t="s">
        <v>8</v>
      </c>
      <c r="AP109" s="4" t="s">
        <v>9</v>
      </c>
      <c r="AQ109" s="4" t="s">
        <v>10</v>
      </c>
      <c r="AR109" s="4" t="s">
        <v>11</v>
      </c>
      <c r="AS109" s="4" t="s">
        <v>375</v>
      </c>
      <c r="AT109" s="4" t="s">
        <v>6</v>
      </c>
      <c r="AU109" s="4" t="s">
        <v>7</v>
      </c>
      <c r="AV109" s="4" t="s">
        <v>8</v>
      </c>
      <c r="AW109" s="4" t="s">
        <v>9</v>
      </c>
      <c r="AX109" s="4" t="s">
        <v>10</v>
      </c>
      <c r="AY109" s="4" t="s">
        <v>11</v>
      </c>
    </row>
    <row r="110" spans="1:51" ht="27.75" customHeight="1" x14ac:dyDescent="0.35">
      <c r="A110" s="5" t="s">
        <v>425</v>
      </c>
      <c r="B110" s="7" t="str">
        <f>INDEX(runs!$D:$D,MATCH(A110,runs!$A:$A,0))</f>
        <v>Get me the US case: United States v. Meridian Fastener Corp.,
No. 1:26-cr-00214 (E.D. Pa.)</v>
      </c>
      <c r="C110" s="5">
        <f>COUNTIFS(F2:F103,"gpt-4o",A2:A103,$A110)</f>
        <v>4</v>
      </c>
      <c r="D110" s="5">
        <f>SUMIFS(G2:G103,F2:F103,"gpt-4o",A2:A103,$A110)</f>
        <v>4455</v>
      </c>
      <c r="E110" s="5">
        <f>SUMIFS(H2:H103,F2:F103,"gpt-4o",A2:A103,$A110)</f>
        <v>2304</v>
      </c>
      <c r="F110" s="5">
        <f>SUMIFS(I2:I103,F2:F103,"gpt-4o",A2:A103,$A110)</f>
        <v>333</v>
      </c>
      <c r="G110" s="5">
        <f>SUMIFS(J2:J103,F2:F103,"gpt-4o",A2:A103,$A110)</f>
        <v>0</v>
      </c>
      <c r="H110" s="5">
        <f>SUMIFS(K2:K103,F2:F103,"gpt-4o",A2:A103,$A110)</f>
        <v>1.1587E-2</v>
      </c>
      <c r="I110" s="5">
        <f>SUMIFS(L2:L103,F2:F103,"gpt-4o",A2:A103,$A110)</f>
        <v>8.9366279999999989</v>
      </c>
      <c r="J110" s="5">
        <f>COUNTIFS(F2:F103,"gpt-4o-mini",A2:A103,$A110)</f>
        <v>3</v>
      </c>
      <c r="K110" s="5">
        <f>SUMIFS(G2:G103,F2:F103,"gpt-4o-mini",A2:A103,$A110)</f>
        <v>5814</v>
      </c>
      <c r="L110" s="5">
        <f>SUMIFS(H2:H103,F2:F103,"gpt-4o-mini",A2:A103,$A110)</f>
        <v>1024</v>
      </c>
      <c r="M110" s="5">
        <f>SUMIFS(I2:I103,F2:F103,"gpt-4o-mini",A2:A103,$A110)</f>
        <v>62</v>
      </c>
      <c r="N110" s="5">
        <f>SUMIFS(J2:J103,F2:F103,"gpt-4o-mini",A2:A103,$A110)</f>
        <v>0</v>
      </c>
      <c r="O110" s="5">
        <f>SUMIFS(K2:K103,F2:F103,"gpt-4o-mini",A2:A103,$A110)</f>
        <v>8.3200000000000006E-4</v>
      </c>
      <c r="P110" s="5">
        <f>SUMIFS(L2:L103,F2:F103,"gpt-4o-mini",A2:A103,$A110)</f>
        <v>3.5565930000000003</v>
      </c>
      <c r="Q110" s="5">
        <f>COUNTIFS(F2:F103,"perplexity-search",A2:A103,$A110)</f>
        <v>5</v>
      </c>
      <c r="R110" s="5">
        <f>SUMIFS(G2:G103,F2:F103,"perplexity-search",A2:A103,$A110)</f>
        <v>0</v>
      </c>
      <c r="S110" s="5">
        <f>SUMIFS(H2:H103,F2:F103,"perplexity-search",A2:A103,$A110)</f>
        <v>0</v>
      </c>
      <c r="T110" s="5">
        <f>SUMIFS(I2:I103,F2:F103,"perplexity-search",A2:A103,$A110)</f>
        <v>0</v>
      </c>
      <c r="U110" s="5">
        <f>SUMIFS(J2:J103,F2:F103,"perplexity-search",A2:A103,$A110)</f>
        <v>2.5000000000000001E-2</v>
      </c>
      <c r="V110" s="5">
        <f>SUMIFS(K2:K103,F2:F103,"perplexity-search",A2:A103,$A110)</f>
        <v>2.5000000000000001E-2</v>
      </c>
      <c r="W110" s="5">
        <f>SUMIFS(L2:L103,F2:F103,"perplexity-search",A2:A103,$A110)</f>
        <v>8.3413369999999993</v>
      </c>
      <c r="X110" s="5">
        <f>COUNTIFS(F2:F103,"serper",A2:A103,$A110)</f>
        <v>5</v>
      </c>
      <c r="Y110" s="5">
        <f>SUMIFS(G2:G103,F2:F103,"serper",A2:A103,$A110)</f>
        <v>0</v>
      </c>
      <c r="Z110" s="5">
        <f>SUMIFS(H2:H103,F2:F103,"serper",A2:A103,$A110)</f>
        <v>0</v>
      </c>
      <c r="AA110" s="5">
        <f>SUMIFS(I2:I103,F2:F103,"serper",A2:A103,$A110)</f>
        <v>0</v>
      </c>
      <c r="AB110" s="5">
        <f>SUMIFS(J2:J103,F2:F103,"serper",A2:A103,$A110)</f>
        <v>5.0000000000000001E-3</v>
      </c>
      <c r="AC110" s="5">
        <f>SUMIFS(K2:K103,F2:F103,"serper",A2:A103,$A110)</f>
        <v>5.0000000000000001E-3</v>
      </c>
      <c r="AD110" s="5">
        <f>SUMIFS(L2:L103,F2:F103,"serper",A2:A103,$A110)</f>
        <v>8.0961940000000006</v>
      </c>
      <c r="AE110" s="5">
        <f>COUNTIFS(F2:F103,"sonar",A2:A103,$A110)</f>
        <v>6</v>
      </c>
      <c r="AF110" s="5">
        <f>SUMIFS(G2:G103,F2:F103,"sonar",A2:A103,$A110)</f>
        <v>1503</v>
      </c>
      <c r="AG110" s="5">
        <f>SUMIFS(H2:H103,F2:F103,"sonar",A2:A103,$A110)</f>
        <v>0</v>
      </c>
      <c r="AH110" s="5">
        <f>SUMIFS(I2:I103,F2:F103,"sonar",A2:A103,$A110)</f>
        <v>55</v>
      </c>
      <c r="AI110" s="5">
        <f>SUMIFS(J2:J103,F2:F103,"sonar",A2:A103,$A110)</f>
        <v>3.0000000000000002E-2</v>
      </c>
      <c r="AJ110" s="5">
        <f>SUMIFS(K2:K103,F2:F103,"sonar",A2:A103,$A110)</f>
        <v>3.1560000000000005E-2</v>
      </c>
      <c r="AK110" s="5">
        <f>SUMIFS(L2:L103,F2:F103,"sonar",A2:A103,$A110)</f>
        <v>26.803338</v>
      </c>
      <c r="AL110" s="5">
        <f>COUNTIFS(F2:F103,"sonar-pro",A2:A103,$A110)</f>
        <v>1</v>
      </c>
      <c r="AM110" s="5">
        <f>SUMIFS(G2:G103,F2:F103,"sonar-pro",A2:A103,$A110)</f>
        <v>812</v>
      </c>
      <c r="AN110" s="5">
        <f>SUMIFS(H2:H103,F2:F103,"sonar-pro",A2:A103,$A110)</f>
        <v>0</v>
      </c>
      <c r="AO110" s="5">
        <f>SUMIFS(I2:I103,F2:F103,"sonar-pro",A2:A103,$A110)</f>
        <v>58</v>
      </c>
      <c r="AP110" s="5">
        <f>SUMIFS(J2:J103,F2:F103,"sonar-pro",A2:A103,$A110)</f>
        <v>1.4E-2</v>
      </c>
      <c r="AQ110" s="5">
        <f>SUMIFS(K2:K103,F2:F103,"sonar-pro",A2:A103,$A110)</f>
        <v>1.7309999999999999E-2</v>
      </c>
      <c r="AR110" s="5">
        <f>SUMIFS(L2:L103,F2:F103,"sonar-pro",A2:A103,$A110)</f>
        <v>6.2383819999999996</v>
      </c>
      <c r="AS110" s="5">
        <f>COUNTIFS(F2:F103,"text-embedding-3-small",A2:A103,$A110)</f>
        <v>28</v>
      </c>
      <c r="AT110" s="5">
        <f>SUMIFS(G2:G103,F2:F103,"text-embedding-3-small",A2:A103,$A110)</f>
        <v>254711</v>
      </c>
      <c r="AU110" s="5">
        <f>SUMIFS(H2:H103,F2:F103,"text-embedding-3-small",A2:A103,$A110)</f>
        <v>0</v>
      </c>
      <c r="AV110" s="5">
        <f>SUMIFS(I2:I103,F2:F103,"text-embedding-3-small",A2:A103,$A110)</f>
        <v>0</v>
      </c>
      <c r="AW110" s="5">
        <f>SUMIFS(J2:J103,F2:F103,"text-embedding-3-small",A2:A103,$A110)</f>
        <v>0</v>
      </c>
      <c r="AX110" s="5">
        <f>SUMIFS(K2:K103,F2:F103,"text-embedding-3-small",A2:A103,$A110)</f>
        <v>5.0940000000000013E-3</v>
      </c>
      <c r="AY110" s="5">
        <f>SUMIFS(L2:L103,F2:F103,"text-embedding-3-small",A2:A103,$A110)</f>
        <v>42.009241000000003</v>
      </c>
    </row>
    <row r="111" spans="1:51" ht="15" customHeight="1" x14ac:dyDescent="0.35">
      <c r="A111" s="5" t="s">
        <v>435</v>
      </c>
      <c r="B111" s="5" t="str">
        <f>INDEX(runs!$D:$D,MATCH(A111,runs!$A:$A,0))</f>
        <v>Get me American cases by bank of america</v>
      </c>
      <c r="C111" s="5">
        <f>COUNTIFS(F2:F103,"gpt-4o",A2:A103,$A111)</f>
        <v>3</v>
      </c>
      <c r="D111" s="5">
        <f>SUMIFS(G2:G103,F2:F103,"gpt-4o",A2:A103,$A111)</f>
        <v>2939</v>
      </c>
      <c r="E111" s="5">
        <f>SUMIFS(H2:H103,F2:F103,"gpt-4o",A2:A103,$A111)</f>
        <v>2048</v>
      </c>
      <c r="F111" s="5">
        <f>SUMIFS(I2:I103,F2:F103,"gpt-4o",A2:A103,$A111)</f>
        <v>140</v>
      </c>
      <c r="G111" s="5">
        <f>SUMIFS(J2:J103,F2:F103,"gpt-4o",A2:A103,$A111)</f>
        <v>0</v>
      </c>
      <c r="H111" s="5">
        <f>SUMIFS(K2:K103,F2:F103,"gpt-4o",A2:A103,$A111)</f>
        <v>6.1869999999999998E-3</v>
      </c>
      <c r="I111" s="5">
        <f>SUMIFS(L2:L103,F2:F103,"gpt-4o",A2:A103,$A111)</f>
        <v>6.0576090000000002</v>
      </c>
      <c r="J111" s="5">
        <f>COUNTIFS(F2:F103,"gpt-4o-mini",A2:A103,$A111)</f>
        <v>14</v>
      </c>
      <c r="K111" s="5">
        <f>SUMIFS(G2:G103,F2:F103,"gpt-4o-mini",A2:A103,$A111)</f>
        <v>42012</v>
      </c>
      <c r="L111" s="5">
        <f>SUMIFS(H2:H103,F2:F103,"gpt-4o-mini",A2:A103,$A111)</f>
        <v>6144</v>
      </c>
      <c r="M111" s="5">
        <f>SUMIFS(I2:I103,F2:F103,"gpt-4o-mini",A2:A103,$A111)</f>
        <v>2658</v>
      </c>
      <c r="N111" s="5">
        <f>SUMIFS(J2:J103,F2:F103,"gpt-4o-mini",A2:A103,$A111)</f>
        <v>0</v>
      </c>
      <c r="O111" s="5">
        <f>SUMIFS(K2:K103,F2:F103,"gpt-4o-mini",A2:A103,$A111)</f>
        <v>7.4350000000000006E-3</v>
      </c>
      <c r="P111" s="5">
        <f>SUMIFS(L2:L103,F2:F103,"gpt-4o-mini",A2:A103,$A111)</f>
        <v>35.006543999999998</v>
      </c>
      <c r="Q111" s="5">
        <f>COUNTIFS(F2:F103,"perplexity-search",A2:A103,$A111)</f>
        <v>5</v>
      </c>
      <c r="R111" s="5">
        <f>SUMIFS(G2:G103,F2:F103,"perplexity-search",A2:A103,$A111)</f>
        <v>0</v>
      </c>
      <c r="S111" s="5">
        <f>SUMIFS(H2:H103,F2:F103,"perplexity-search",A2:A103,$A111)</f>
        <v>0</v>
      </c>
      <c r="T111" s="5">
        <f>SUMIFS(I2:I103,F2:F103,"perplexity-search",A2:A103,$A111)</f>
        <v>0</v>
      </c>
      <c r="U111" s="5">
        <f>SUMIFS(J2:J103,F2:F103,"perplexity-search",A2:A103,$A111)</f>
        <v>2.5000000000000001E-2</v>
      </c>
      <c r="V111" s="5">
        <f>SUMIFS(K2:K103,F2:F103,"perplexity-search",A2:A103,$A111)</f>
        <v>2.5000000000000001E-2</v>
      </c>
      <c r="W111" s="5">
        <f>SUMIFS(L2:L103,F2:F103,"perplexity-search",A2:A103,$A111)</f>
        <v>13.004471000000001</v>
      </c>
      <c r="X111" s="5">
        <f>COUNTIFS(F2:F103,"serper",A2:A103,$A111)</f>
        <v>5</v>
      </c>
      <c r="Y111" s="5">
        <f>SUMIFS(G2:G103,F2:F103,"serper",A2:A103,$A111)</f>
        <v>0</v>
      </c>
      <c r="Z111" s="5">
        <f>SUMIFS(H2:H103,F2:F103,"serper",A2:A103,$A111)</f>
        <v>0</v>
      </c>
      <c r="AA111" s="5">
        <f>SUMIFS(I2:I103,F2:F103,"serper",A2:A103,$A111)</f>
        <v>0</v>
      </c>
      <c r="AB111" s="5">
        <f>SUMIFS(J2:J103,F2:F103,"serper",A2:A103,$A111)</f>
        <v>5.0000000000000001E-3</v>
      </c>
      <c r="AC111" s="5">
        <f>SUMIFS(K2:K103,F2:F103,"serper",A2:A103,$A111)</f>
        <v>5.0000000000000001E-3</v>
      </c>
      <c r="AD111" s="5">
        <f>SUMIFS(L2:L103,F2:F103,"serper",A2:A103,$A111)</f>
        <v>8.1045199999999991</v>
      </c>
      <c r="AE111" s="5">
        <f>COUNTIFS(F2:F103,"sonar",A2:A103,$A111)</f>
        <v>5</v>
      </c>
      <c r="AF111" s="5">
        <f>SUMIFS(G2:G103,F2:F103,"sonar",A2:A103,$A111)</f>
        <v>1150</v>
      </c>
      <c r="AG111" s="5">
        <f>SUMIFS(H2:H103,F2:F103,"sonar",A2:A103,$A111)</f>
        <v>0</v>
      </c>
      <c r="AH111" s="5">
        <f>SUMIFS(I2:I103,F2:F103,"sonar",A2:A103,$A111)</f>
        <v>46</v>
      </c>
      <c r="AI111" s="5">
        <f>SUMIFS(J2:J103,F2:F103,"sonar",A2:A103,$A111)</f>
        <v>2.5000000000000001E-2</v>
      </c>
      <c r="AJ111" s="5">
        <f>SUMIFS(K2:K103,F2:F103,"sonar",A2:A103,$A111)</f>
        <v>2.6189999999999998E-2</v>
      </c>
      <c r="AK111" s="5">
        <f>SUMIFS(L2:L103,F2:F103,"sonar",A2:A103,$A111)</f>
        <v>18.082791999999998</v>
      </c>
      <c r="AL111" s="5">
        <f>COUNTIFS(F2:F103,"sonar-pro",A2:A103,$A111)</f>
        <v>1</v>
      </c>
      <c r="AM111" s="5">
        <f>SUMIFS(G2:G103,F2:F103,"sonar-pro",A2:A103,$A111)</f>
        <v>811</v>
      </c>
      <c r="AN111" s="5">
        <f>SUMIFS(H2:H103,F2:F103,"sonar-pro",A2:A103,$A111)</f>
        <v>0</v>
      </c>
      <c r="AO111" s="5">
        <f>SUMIFS(I2:I103,F2:F103,"sonar-pro",A2:A103,$A111)</f>
        <v>181</v>
      </c>
      <c r="AP111" s="5">
        <f>SUMIFS(J2:J103,F2:F103,"sonar-pro",A2:A103,$A111)</f>
        <v>1.4E-2</v>
      </c>
      <c r="AQ111" s="5">
        <f>SUMIFS(K2:K103,F2:F103,"sonar-pro",A2:A103,$A111)</f>
        <v>1.915E-2</v>
      </c>
      <c r="AR111" s="5">
        <f>SUMIFS(L2:L103,F2:F103,"sonar-pro",A2:A103,$A111)</f>
        <v>8.2438970000000005</v>
      </c>
      <c r="AS111" s="5">
        <f>COUNTIFS(F2:F103,"text-embedding-3-small",A2:A103,$A111)</f>
        <v>17</v>
      </c>
      <c r="AT111" s="5">
        <f>SUMIFS(G2:G103,F2:F103,"text-embedding-3-small",A2:A103,$A111)</f>
        <v>63553</v>
      </c>
      <c r="AU111" s="5">
        <f>SUMIFS(H2:H103,F2:F103,"text-embedding-3-small",A2:A103,$A111)</f>
        <v>0</v>
      </c>
      <c r="AV111" s="5">
        <f>SUMIFS(I2:I103,F2:F103,"text-embedding-3-small",A2:A103,$A111)</f>
        <v>0</v>
      </c>
      <c r="AW111" s="5">
        <f>SUMIFS(J2:J103,F2:F103,"text-embedding-3-small",A2:A103,$A111)</f>
        <v>0</v>
      </c>
      <c r="AX111" s="5">
        <f>SUMIFS(K2:K103,F2:F103,"text-embedding-3-small",A2:A103,$A111)</f>
        <v>1.2719999999999999E-3</v>
      </c>
      <c r="AY111" s="5">
        <f>SUMIFS(L2:L103,F2:F103,"text-embedding-3-small",A2:A103,$A111)</f>
        <v>8.7917389999999997</v>
      </c>
    </row>
    <row r="112" spans="1:51" ht="15" customHeight="1" x14ac:dyDescent="0.35">
      <c r="A112" s="5"/>
      <c r="B112" s="6" t="s">
        <v>376</v>
      </c>
      <c r="C112" s="6">
        <f t="shared" ref="C112:AH112" si="0">AVERAGE(C110:C111)</f>
        <v>3.5</v>
      </c>
      <c r="D112" s="6">
        <f t="shared" si="0"/>
        <v>3697</v>
      </c>
      <c r="E112" s="6">
        <f t="shared" si="0"/>
        <v>2176</v>
      </c>
      <c r="F112" s="6">
        <f t="shared" si="0"/>
        <v>236.5</v>
      </c>
      <c r="G112" s="6">
        <f t="shared" si="0"/>
        <v>0</v>
      </c>
      <c r="H112" s="6">
        <f t="shared" si="0"/>
        <v>8.8869999999999991E-3</v>
      </c>
      <c r="I112" s="6">
        <f t="shared" si="0"/>
        <v>7.4971184999999991</v>
      </c>
      <c r="J112" s="6">
        <f t="shared" si="0"/>
        <v>8.5</v>
      </c>
      <c r="K112" s="6">
        <f t="shared" si="0"/>
        <v>23913</v>
      </c>
      <c r="L112" s="6">
        <f t="shared" si="0"/>
        <v>3584</v>
      </c>
      <c r="M112" s="6">
        <f t="shared" si="0"/>
        <v>1360</v>
      </c>
      <c r="N112" s="6">
        <f t="shared" si="0"/>
        <v>0</v>
      </c>
      <c r="O112" s="6">
        <f t="shared" si="0"/>
        <v>4.1335E-3</v>
      </c>
      <c r="P112" s="6">
        <f t="shared" si="0"/>
        <v>19.281568499999999</v>
      </c>
      <c r="Q112" s="6">
        <f t="shared" si="0"/>
        <v>5</v>
      </c>
      <c r="R112" s="6">
        <f t="shared" si="0"/>
        <v>0</v>
      </c>
      <c r="S112" s="6">
        <f t="shared" si="0"/>
        <v>0</v>
      </c>
      <c r="T112" s="6">
        <f t="shared" si="0"/>
        <v>0</v>
      </c>
      <c r="U112" s="6">
        <f t="shared" si="0"/>
        <v>2.5000000000000001E-2</v>
      </c>
      <c r="V112" s="6">
        <f t="shared" si="0"/>
        <v>2.5000000000000001E-2</v>
      </c>
      <c r="W112" s="6">
        <f t="shared" si="0"/>
        <v>10.672903999999999</v>
      </c>
      <c r="X112" s="6">
        <f t="shared" si="0"/>
        <v>5</v>
      </c>
      <c r="Y112" s="6">
        <f t="shared" si="0"/>
        <v>0</v>
      </c>
      <c r="Z112" s="6">
        <f t="shared" si="0"/>
        <v>0</v>
      </c>
      <c r="AA112" s="6">
        <f t="shared" si="0"/>
        <v>0</v>
      </c>
      <c r="AB112" s="6">
        <f t="shared" si="0"/>
        <v>5.0000000000000001E-3</v>
      </c>
      <c r="AC112" s="6">
        <f t="shared" si="0"/>
        <v>5.0000000000000001E-3</v>
      </c>
      <c r="AD112" s="6">
        <f t="shared" si="0"/>
        <v>8.1003569999999989</v>
      </c>
      <c r="AE112" s="6">
        <f t="shared" si="0"/>
        <v>5.5</v>
      </c>
      <c r="AF112" s="6">
        <f t="shared" si="0"/>
        <v>1326.5</v>
      </c>
      <c r="AG112" s="6">
        <f t="shared" si="0"/>
        <v>0</v>
      </c>
      <c r="AH112" s="6">
        <f t="shared" si="0"/>
        <v>50.5</v>
      </c>
      <c r="AI112" s="6">
        <f t="shared" ref="AI112:BN112" si="1">AVERAGE(AI110:AI111)</f>
        <v>2.7500000000000004E-2</v>
      </c>
      <c r="AJ112" s="6">
        <f t="shared" si="1"/>
        <v>2.8875000000000001E-2</v>
      </c>
      <c r="AK112" s="6">
        <f t="shared" si="1"/>
        <v>22.443064999999997</v>
      </c>
      <c r="AL112" s="6">
        <f t="shared" si="1"/>
        <v>1</v>
      </c>
      <c r="AM112" s="6">
        <f t="shared" si="1"/>
        <v>811.5</v>
      </c>
      <c r="AN112" s="6">
        <f t="shared" si="1"/>
        <v>0</v>
      </c>
      <c r="AO112" s="6">
        <f t="shared" si="1"/>
        <v>119.5</v>
      </c>
      <c r="AP112" s="6">
        <f t="shared" si="1"/>
        <v>1.4E-2</v>
      </c>
      <c r="AQ112" s="6">
        <f t="shared" si="1"/>
        <v>1.823E-2</v>
      </c>
      <c r="AR112" s="6">
        <f t="shared" si="1"/>
        <v>7.2411395000000001</v>
      </c>
      <c r="AS112" s="6">
        <f t="shared" si="1"/>
        <v>22.5</v>
      </c>
      <c r="AT112" s="6">
        <f t="shared" si="1"/>
        <v>159132</v>
      </c>
      <c r="AU112" s="6">
        <f t="shared" si="1"/>
        <v>0</v>
      </c>
      <c r="AV112" s="6">
        <f t="shared" si="1"/>
        <v>0</v>
      </c>
      <c r="AW112" s="6">
        <f t="shared" si="1"/>
        <v>0</v>
      </c>
      <c r="AX112" s="6">
        <f t="shared" si="1"/>
        <v>3.1830000000000005E-3</v>
      </c>
      <c r="AY112" s="6">
        <f t="shared" si="1"/>
        <v>25.400490000000001</v>
      </c>
    </row>
    <row r="113" ht="15" customHeight="1" x14ac:dyDescent="0.35"/>
  </sheetData>
  <mergeCells count="9">
    <mergeCell ref="AS108:AY108"/>
    <mergeCell ref="AE108:AK108"/>
    <mergeCell ref="C108:I108"/>
    <mergeCell ref="AL108:AR108"/>
    <mergeCell ref="J108:P108"/>
    <mergeCell ref="A108:A109"/>
    <mergeCell ref="B108:B109"/>
    <mergeCell ref="Q108:W108"/>
    <mergeCell ref="X108:AD10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runs</vt:lpstr>
      <vt:lpstr>stages</vt:lpstr>
      <vt:lpstr>calls</vt:lpstr>
      <vt:lpstr>answer_theoretical</vt:lpstr>
      <vt:lpstr>theoretical_by_stage</vt:lpstr>
      <vt:lpstr>search_database</vt:lpstr>
      <vt:lpstr>search_database -&gt; search_web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Basant Mounir</cp:lastModifiedBy>
  <cp:revision>0</cp:revision>
  <dcterms:created xsi:type="dcterms:W3CDTF">2026-09-04T15:37:46Z</dcterms:created>
  <dcterms:modified xsi:type="dcterms:W3CDTF">2026-09-25T14:12:15Z</dcterms:modified>
  <dc:language>en-US</dc:language>
</cp:coreProperties>
</file>