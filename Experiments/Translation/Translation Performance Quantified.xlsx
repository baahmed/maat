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FaridaMadkour/Desktop/work/competition chatbot/Translation Task Cases/"/>
    </mc:Choice>
  </mc:AlternateContent>
  <xr:revisionPtr revIDLastSave="0" documentId="13_ncr:1_{F074D145-C99B-5748-BE7C-74EE97E11368}" xr6:coauthVersionLast="47" xr6:coauthVersionMax="47" xr10:uidLastSave="{00000000-0000-0000-0000-000000000000}"/>
  <bookViews>
    <workbookView xWindow="0" yWindow="0" windowWidth="28800" windowHeight="18000" xr2:uid="{6C18DC74-7651-1340-8ED5-53FF1E43B1D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06" i="1" l="1"/>
  <c r="B306" i="1" l="1"/>
  <c r="B305" i="1"/>
  <c r="E306" i="1"/>
  <c r="M306" i="1"/>
  <c r="G306" i="1"/>
  <c r="H306" i="1"/>
  <c r="I306" i="1"/>
  <c r="J306" i="1"/>
  <c r="K306" i="1"/>
  <c r="L306" i="1"/>
  <c r="F306" i="1"/>
  <c r="B229" i="1"/>
  <c r="B153" i="1"/>
  <c r="B77" i="1"/>
  <c r="M305" i="1"/>
  <c r="L305" i="1"/>
  <c r="K305" i="1"/>
  <c r="J305" i="1"/>
  <c r="I305" i="1"/>
  <c r="H305" i="1"/>
  <c r="G305" i="1"/>
  <c r="F305" i="1"/>
  <c r="D305" i="1"/>
  <c r="M229" i="1"/>
  <c r="L229" i="1"/>
  <c r="K229" i="1"/>
  <c r="J229" i="1"/>
  <c r="I229" i="1"/>
  <c r="H229" i="1"/>
  <c r="G229" i="1"/>
  <c r="F229" i="1"/>
  <c r="E229" i="1"/>
  <c r="D229" i="1"/>
  <c r="M153" i="1"/>
  <c r="L153" i="1"/>
  <c r="K153" i="1"/>
  <c r="J153" i="1"/>
  <c r="I153" i="1"/>
  <c r="H153" i="1"/>
  <c r="G153" i="1"/>
  <c r="F153" i="1"/>
  <c r="E153" i="1"/>
  <c r="D153" i="1"/>
  <c r="G77" i="1"/>
  <c r="H77" i="1"/>
  <c r="I77" i="1"/>
  <c r="J77" i="1"/>
  <c r="K77" i="1"/>
  <c r="L77" i="1"/>
  <c r="M77" i="1"/>
  <c r="F77" i="1"/>
  <c r="E77" i="1"/>
  <c r="D77" i="1"/>
  <c r="E305" i="1" l="1"/>
</calcChain>
</file>

<file path=xl/sharedStrings.xml><?xml version="1.0" encoding="utf-8"?>
<sst xmlns="http://schemas.openxmlformats.org/spreadsheetml/2006/main" count="956" uniqueCount="609">
  <si>
    <t>Case ID</t>
  </si>
  <si>
    <t>Jurisdiction</t>
  </si>
  <si>
    <t>Pages Translated</t>
  </si>
  <si>
    <t>Cost</t>
  </si>
  <si>
    <t>BLEU</t>
  </si>
  <si>
    <t>chrF++</t>
  </si>
  <si>
    <t>BERTScore</t>
  </si>
  <si>
    <t>len_ratio</t>
  </si>
  <si>
    <t>B1-7-19-7</t>
  </si>
  <si>
    <t>German</t>
  </si>
  <si>
    <t>Italian</t>
  </si>
  <si>
    <t>French</t>
  </si>
  <si>
    <t>Spanish</t>
  </si>
  <si>
    <t>B1-216-17</t>
  </si>
  <si>
    <t>B2-26-17</t>
  </si>
  <si>
    <t>Time (in secs)</t>
  </si>
  <si>
    <t>Accuracy (/10) - GPT Judge</t>
  </si>
  <si>
    <t>Completeness (/10) - GPT Judge</t>
  </si>
  <si>
    <t>Fluency (/10) - GPT Judge</t>
  </si>
  <si>
    <t>Cost &amp; Performance:</t>
  </si>
  <si>
    <t>GPT Comments</t>
  </si>
  <si>
    <t>Chunk 1: Overall=10/10 | Accuracy=10/10 | Completeness=10/10 | Fluency=10/10 The translation accurately and completely conveys the legal meaning and reads fluently as a professional legal document. Chunk 6: Overall=9/10 | Accuracy=9/10 | Completeness=10/10 | Fluency=9/10 The translation is accurate and complete with minor fluency issues. Chunk 12: Overall=9/10 | Accuracy=9/10 | Completeness=10/10 | Fluency=9/10 The translation is accurate and complete, with minor fluency issues in legal phrasing. Chunk 18: Overall=9/10 | Accuracy=9/10 | Completeness=10/10 | Fluency=9/10 The translation is accurate and complete, with minor fluency issues in legal phrasing. Chunk 23: Overall=10/10 | Accuracy=10/10 | Completeness=10/10 | Fluency=10/10 The translation accurately and completely conveys the legal meaning and reads fluently as a professional legal document.</t>
  </si>
  <si>
    <t>B2-52-14</t>
  </si>
  <si>
    <t>Chunk  1: Overall=9/10 | Accuracy=9/10 | Completeness=10/10 | Fluency=9/10
         The translation is accurate and complete with minor fluency issues.
Chunk  2: Overall=10/10 | Accuracy=10/10 | Completeness=10/10 | Fluency=10/10
         The translation accurately and completely conveys the legal meaning of the source text with professional fluency.</t>
  </si>
  <si>
    <t>B2-62-16</t>
  </si>
  <si>
    <t>B2-72-14</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</si>
  <si>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in legal terminology.</t>
  </si>
  <si>
    <t>B2-87-21</t>
  </si>
  <si>
    <t>B2-88-18</t>
  </si>
  <si>
    <t>Chunk  1: Overall=10/10 | Accuracy=10/10 | Completeness=10/10 | Fluency=10/10
         The translation accurately and completely conveys the legal meaning and reads fluently as a professional legal document.
Chunk  2: Overall=9/10 | Accuracy=9/10 | Completeness=10/10 | Fluency=9/10
         The translation is accurate and complete, with minor fluency issues in legal phrasing.
Chunk  3: Overall=10/10 | Accuracy=10/10 | Completeness=10/10 | Fluency=10/10
         The translation accurately and completely conveys the legal meaning of the source text with natural fluency.
Chunk  4: Overall=10/10 | Accuracy=10/10 | Completeness=10/10 | Fluency=10/10
         The translation is accurate, complete, and reads fluently as a professional legal document.</t>
  </si>
  <si>
    <t>B2-90-21</t>
  </si>
  <si>
    <t>B2-96-14</t>
  </si>
  <si>
    <t>Chunk  1: Overall=10/10 | Accuracy=10/10 | Completeness=10/10 | Fluency=10/10
         The translation accurately and completely conveys the legal meaning and reads fluently as a professional legal document.
Chunk  2: Overall=9/10 | Accuracy=9/10 | Completeness=10/10 | Fluency=9/10
         The translation is accurate and complete, with minor fluency issues.</t>
  </si>
  <si>
    <t>B2-98-11</t>
  </si>
  <si>
    <t>Chunk  1: Overall=10/10 | Accuracy=10/10 | Completeness=10/10 | Fluency=10/10
         The translation accurately and completely conveys the legal meaning and reads fluently as a professional legal document.
Chunk  2: Overall=9/10 | Accuracy=9/10 | Completeness=10/10 | Fluency=9/10
         The translation is accurate and complete, with minor fluency issues in legal phrasing.
Chunk  3: Overall=10/10 | Accuracy=10/10 | Completeness=10/10 | Fluency=10/10
         The translation accurately and completely conveys the legal meaning of the source text with professional fluency.
Chunk  4: Overall=6/10 | Accuracy=6/10 | Completeness=4/10 | Fluency=8/10
         The translation omits significant portions of the source text, affecting completeness and accuracy.
Chunk  5: Overall=10/10 | Accuracy=10/10 | Completeness=10/10 | Fluency=10/10
         The translation accurately and completely conveys the legal meaning and reads fluently.</t>
  </si>
  <si>
    <t>B2-118-10</t>
  </si>
  <si>
    <t>B2-125-10</t>
  </si>
  <si>
    <t>B3-25-24</t>
  </si>
  <si>
    <t>B3-137-12</t>
  </si>
  <si>
    <t>Chunk  1: Overall=10/10 | Accuracy=10/10 | Completeness=10/10 | Fluency=10/10
         The translation accurately and completely conveys the legal meaning and reads fluently as a professional legal document.
Chunk  2: Overall=9/10 | Accuracy=9/10 | Completeness=10/10 | Fluency=9/10
         The translation is accurate and complete with minor fluency issues in legal phrasing.
Chunk  3: Overall=9/10 | Accuracy=9/10 | Completeness=10/10 | Fluency=9/10
         The translation is accurate and complete with minor fluency issues.
Chunk  4: Overall=10/10 | Accuracy=10/10 | Completeness=10/10 | Fluency=10/10
         The translation accurately and completely conveys the legal meaning and reads fluently as a professional legal document.</t>
  </si>
  <si>
    <t>Chunk  1: Overall=9/10 | Accuracy=9/10 | Completeness=10/10 | Fluency=9/10
         The translation is accurate and complete with minor fluency issues in legal phrasing.
Chunk  2: Overall=5/10 | Accuracy=5/10 | Completeness=3/10 | Fluency=7/10
         The translation omits significant portions of the source text, affecting accuracy and completeness.
Chunk  3: Overall=10/10 | Accuracy=10/10 | Completeness=10/10 | Fluency=10/10
         The translation accurately and completely conveys the legal meaning and reads fluently as a professional legal document.</t>
  </si>
  <si>
    <t>B3-164-14</t>
  </si>
  <si>
    <t>Chunk  1: Overall=10/10 | Accuracy=10/10 | Completeness=10/10 | Fluency=10/10
         The translation accurately and completely conveys the legal meaning of the source text with natural fluency.
Chunk  2: Overall=10/10 | Accuracy=10/10 | Completeness=10/10 | Fluency=10/10
         The translation accurately and completely conveys the legal meaning and reads fluently as a professional legal document.
Chunk  4: Overall=9/10 | Accuracy=9/10 | Completeness=10/10 | Fluency=9/10
         The translation is accurate and complete with minor fluency issues.
Chunk  5: Overall=9/10 | Accuracy=9/10 | Completeness=10/10 | Fluency=9/10
         The translation is accurate and complete with minor fluency issues.
Chunk  6: Overall=10/10 | Accuracy=10/10 | Completeness=10/10 | Fluency=10/10
         The translation accurately and completely conveys the legal meaning and reads fluently as a professional legal document.</t>
  </si>
  <si>
    <t>B3-578-06</t>
  </si>
  <si>
    <t>Chunk  1: Overall=9/10 | Accuracy=9/10 | Completeness=10/10 | Fluency=9/10
         The translation is accurate and complete, with minor fluency issues in legal phrasing.
Chunk 10: Overall=9/10 | Accuracy=9/10 | Completeness=10/10 | Fluency=9/10
         The translation is accurate and complete with minor fluency issues.
Chunk 19: Overall=9/10 | Accuracy=9/10 | Completeness=10/10 | Fluency=9/10
         The translation is accurate and complete with minor fluency issues.
Chunk 28: Overall=9/10 | Accuracy=9/10 | Completeness=10/10 | Fluency=9/10
         The translation is accurate and complete with minor fluency issues.
Chunk 37: Overall=9/10 | Accuracy=9/10 | Completeness=10/10 | Fluency=9/10
         The translation is accurate and complete, with minor fluency issues.</t>
  </si>
  <si>
    <t>B4-13-10, B4-117-15</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</si>
  <si>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in legal terminology.</t>
  </si>
  <si>
    <t>B4-21-19</t>
  </si>
  <si>
    <t>Chunk  1: Overall=9/10 | Accuracy=9/10 | Completeness=10/10 | Fluency=9/10
         The translation is accurate and complete, with minor fluency issues.
Chunk  2: Overall=9/10 | Accuracy=9/10 | Completeness=10/10 | Fluency=9/10
         The translation is accurate and complete, with minor fluency issues in legal phrasing.</t>
  </si>
  <si>
    <t>B4-115-19</t>
  </si>
  <si>
    <t>Chunk  1: Overall=9/10 | Accuracy=9/10 | Completeness=10/10 | Fluency=9/10
         The translation is accurate and complete with minor fluency issues.
   Judge attempt 1/3 failed: ValueError: No JSON object found in judge response:
{
    "score": 5,
    "accuracy": 5,
    "completeness": 3,
    "fluency": 7,
    "omitted_text": "The Beschlussabteilung has identified several peculiarities that are significant from the perspective of merger control: The first peculiarity is the size of the corporate group. The vertical integration of the group of state-owned enterprises is significant in a centrally planned economy. This creates synergy advantages. In addition, state-owned enterprises from centrally planned economies have a particularly high level of in-house production within their corporate group, as many intermediate products - sometimes far up the supply chain - can be manufactured internally. For the assessment of the size of the corporate group, the association clause according to § 36 Abs. 2 GWB is decisive in German law. In the present case, the presumption of control under § 17 Abs. 2 AktG applies, as the People's Republic of China indirectly holds the majority of shares in CRRC. The investigations of the Beschlussabteilung have also revealed that there is an explicit claim by the state participation administration SASAC to influence essential aspects of the economic behavior of its state-owned enterprises. In addition, internal documents showed that CRRC aligns its behavior closely with the guidelines of the currently valid 13th Five-Year Plan. Thus, the corporate group according to § 36 Abs. 2 GWB includes at least all majority state-owned enterprises in China. This is significant for the scope of the necessary information in a notification. The present case has shown that knowledge of the participating companies, which must be transmitted with the notification according to § 39 Abs. 3 GWB, is important for the material assessment, at least from the affected sector as well as upstream and downstream areas. For both the competitive scope of action and the technological capabilities are influenced by the reach of the corporate group. In this respect, joint ventures with Western manufacturers in China are also of particular importance. In the present proceedings, investigations within the corporate group have encountered challenges. Not all requested information was submitted in full and on time in response to all information requests. This applies in particular to information on affiliated companies. In this context, the possibility of suspending the deadline due to the incompleteness of the notification or the - so far only limitedly applicable - stop-the-clock regulation of § 40 Abs. 2 S. 5 GWB has proven to be significant. In addition to
Chunk  2: Overall=4/10 | Accuracy=4/10 | Completeness=2/10 | Fluency=6/10
         The translation omits significant portions of the source text, affecting accuracy and completeness.
Chunk  3: Overall=9/10 | Accuracy=9/10 | Completeness=10/10 | Fluency=9/10
         The translation is accurate and complete with minor fluency issues.</t>
  </si>
  <si>
    <t>B4-152-07</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</si>
  <si>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Overall=10/10 | Accuracy=10/10 | Completeness=10/10 | Fluency=10/10
         The translation accurately and completely conveys the legal meaning and reads fluently as a professional legal document.</t>
  </si>
  <si>
    <t>B5-20-10</t>
  </si>
  <si>
    <t>B5-100-09</t>
  </si>
  <si>
    <t>B5-100-10</t>
  </si>
  <si>
    <t>B5-138-13</t>
  </si>
  <si>
    <t>Chunk  1: Overall=10/10 | Accuracy=10/10 | Completeness=10/10 | Fluency=10/10
         The translation accurately and completely conveys the legal meaning and reads fluently as a professional legal document.
Chunk 11: Overall=10/10 | Accuracy=10/10 | Completeness=10/10 | Fluency=10/10
         The translation accurately and completely conveys the legal meaning and reads fluently as a professional legal document.
Chunk 21: Overall=9/10 | Accuracy=9/10 | Completeness=10/10 | Fluency=9/10
         The translation is accurate and complete with minor fluency issues.
Chunk 31: Overall=9/10 | Accuracy=9/10 | Completeness=10/10 | Fluency=9/10
         The translation is accurate and complete with minor fluency issues.
Chunk 41: Overall=10/10 | Accuracy=10/10 | Completeness=10/10 | Fluency=10/10
         The translation is accurate, complete, and reads fluently as a professional legal document.</t>
  </si>
  <si>
    <t>B5-149-19</t>
  </si>
  <si>
    <t>Chunk  1: Overall=10/10 | Accuracy=10/10 | Completeness=10/10 | Fluency=10/10
         The translation accurately and completely conveys the legal meaning and reads fluently as a professional legal document.
Chunk  2: Overall=9/10 | Accuracy=9/10 | Completeness=9/10 | Fluency=10/10
         The translation is accurate and fluent, but omits the reference to the FTC complaint.</t>
  </si>
  <si>
    <t>B6-21-22</t>
  </si>
  <si>
    <t>B6-22-16</t>
  </si>
  <si>
    <t>Chunk  1: Overall=10/10 | Accuracy=10/10 | Completeness=10/10 | Fluency=10/10
         The translation accurately and completely conveys the legal meaning and reads fluently as a professional legal document.
Chunk 26: Overall=9/10 | Accuracy=9/10 | Completeness=10/10 | Fluency=9/10
         The translation is accurate and complete, with minor fluency issues in legal phrasing.
Chunk 52: Overall=9/10 | Accuracy=9/10 | Completeness=10/10 | Fluency=9/10
         The translation is accurate and complete, with minor fluency issues in legal terminology.
Chunk 78: Overall=9/10 | Accuracy=9/10 | Completeness=10/10 | Fluency=9/10
         The translation is accurate and complete with minor fluency issues.
Chunk 103: Overall=10/10 | Accuracy=10/10 | Completeness=10/10 | Fluency=10/10
         The translation accurately and completely conveys the legal meaning of the source text with natural fluency.</t>
  </si>
  <si>
    <t>B6-26-23</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</si>
  <si>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Chunk  3: Overall=10/10 | Accuracy=10/10 | Completeness=10/10 | Fluency=10/10
         The translation accurately and completely conveys the legal meaning and reads fluently as a professional legal document.</t>
  </si>
  <si>
    <t>B6-27-21</t>
  </si>
  <si>
    <t>B6-29-20</t>
  </si>
  <si>
    <t>Chunk  1: Overall=9/10 | Accuracy=9/10 | Completeness=10/10 | Fluency=9/10
         The translation is accurate and complete with minor fluency issues.
Chunk  2: Overall=10/10 | Accuracy=10/10 | Completeness=10/10 | Fluency=10/10
         The translation accurately and completely conveys the legal meaning and reads fluently.</t>
  </si>
  <si>
    <t>B6-32-15</t>
  </si>
  <si>
    <t>B6-33-19</t>
  </si>
  <si>
    <t>B6-34-23</t>
  </si>
  <si>
    <t>Chunk  1: Overall=9/10 | Accuracy=9/10 | Completeness=10/10 | Fluency=9/10
         The translation is accurate and complete with minor fluency issues.</t>
  </si>
  <si>
    <t>B6-39-15</t>
  </si>
  <si>
    <t>Chunk  1: Overall=9/10 | Accuracy=9/10 | Completeness=10/10 | Fluency=9/10
         The translation is accurate and complete with minor fluency issues.
Chunk  2: Overall=10/10 | Accuracy=10/10 | Completeness=10/10 | Fluency=10/10
         The translation accurately and completely conveys the legal meaning and reads fluently as a professional legal document.</t>
  </si>
  <si>
    <t>B6-41-20</t>
  </si>
  <si>
    <t>B6-46-12</t>
  </si>
  <si>
    <t>Chunk  1: Overall=10/10 | Accuracy=10/10 | Completeness=10/10 | Fluency=10/10
         The translation accurately and completely conveys the legal meaning and reads fluently as a professional legal document.
Chunk  2: Overall=10/10 | Accuracy=10/10 | Completeness=10/10 | Fluency=10/10
         The translation accurately and completely conveys the legal meaning and reads fluently.</t>
  </si>
  <si>
    <t>B6-57-15</t>
  </si>
  <si>
    <t>Chunk  1: Overall=10/10 | Accuracy=10/10 | Completeness=10/10 | Fluency=10/10
         The translation accurately and completely conveys the legal meaning and reads fluently as a professional legal document.
Chunk  2: Overall=9/10 | Accuracy=9/10 | Completeness=10/10 | Fluency=9/10
         The translation is accurate and complete, with minor fluency issues in legal phrasing.</t>
  </si>
  <si>
    <t>B6-81-11</t>
  </si>
  <si>
    <t>Chunk  1: Overall=9/10 | Accuracy=9/10 | Completeness=10/10 | Fluency=9/10
         The translation is accurate and complete, with minor fluency issues in legal terminology.
Chunk  2: Overall=9/10 | Accuracy=9/10 | Completeness=10/10 | Fluency=9/10
         The translation is accurate and complete with minor fluency issues.</t>
  </si>
  <si>
    <t>B6-86-19</t>
  </si>
  <si>
    <t>B6-94-10</t>
  </si>
  <si>
    <t>B6-114-10</t>
  </si>
  <si>
    <t>Chunk  1: Overall=9/10 | Accuracy=9/10 | Completeness=10/10 | Fluency=9/10
         The translation is accurate and complete, with minor fluency issues.
Chunk  2: Overall=10/10 | Accuracy=10/10 | Completeness=10/10 | Fluency=10/10
         The translation accurately and completely conveys the legal meaning and reads fluently.</t>
  </si>
  <si>
    <t>B6-126-14</t>
  </si>
  <si>
    <t>Chunk  1: Overall=9/10 | Accuracy=9/10 | Completeness=10/10 | Fluency=9/10
         The translation is accurate and complete with minor fluency issues.
Chunk  2: Overall=8/10 | Accuracy=8/10 | Completeness=9/10 | Fluency=9/10
         The translation is mostly accurate and fluent, but a specific sentence regarding the significance of snippet reduction is missing.
Chunk  3: Overall=10/10 | Accuracy=10/10 | Completeness=10/10 | Fluency=10/10
         The translation accurately and completely conveys the legal meaning and reads fluently as a professional legal document.</t>
  </si>
  <si>
    <t>B7-1-13-35</t>
  </si>
  <si>
    <t>B7-30-21</t>
  </si>
  <si>
    <t>Chunk  1: Overall=10/10 | Accuracy=10/10 | Completeness=10/10 | Fluency=10/10
         The translation accurately and completely conveys the legal meaning and reads fluently as a professional legal document.
Chunk  2: Overall=10/10 | Accuracy=10/10 | Completeness=10/10 | Fluency=10/10
         The translation accurately and completely conveys the legal meaning and reads fluently as a professional legal document.</t>
  </si>
  <si>
    <t>B7-31-17</t>
  </si>
  <si>
    <t>B7-32-21</t>
  </si>
  <si>
    <t>Chunk  1: Overall=10/10 | Accuracy=10/10 | Completeness=10/10 | Fluency=10/10
         The translation accurately and completely conveys the legal meaning and reads fluently as a professional legal document.
Chunk  2: Overall=8/10 | Accuracy=8/10 | Completeness=9/10 | Fluency=9/10
         The translation is mostly accurate and fluent, but the initial part of the source text is omitted.</t>
  </si>
  <si>
    <t>B7-35-22</t>
  </si>
  <si>
    <t>B7-61-21</t>
  </si>
  <si>
    <t>B7-176-18</t>
  </si>
  <si>
    <t>B7-185-17</t>
  </si>
  <si>
    <t>Chunk  1: Overall=10/10 | Accuracy=10/10 | Completeness=10/10 | Fluency=10/10
         The translation accurately and completely conveys the legal content and reads fluently.
Chunk  2: Overall=10/10 | Accuracy=10/10 | Completeness=10/10 | Fluency=10/10
         The translation accurately and completely conveys the legal meaning and reads fluently as a professional legal document.</t>
  </si>
  <si>
    <t>B7-205-19</t>
  </si>
  <si>
    <t>Chunk  1: Overall=9/10 | Accuracy=9/10 | Completeness=10/10 | Fluency=9/10
         The translation is accurate and complete with minor fluency issues in legal terminology.
Chunk  2: Overall=10/10 | Accuracy=10/10 | Completeness=10/10 | Fluency=10/10
         The translation accurately and completely conveys the legal meaning and reads fluently as a professional legal document.</t>
  </si>
  <si>
    <t>B7-250-19</t>
  </si>
  <si>
    <t>Chunk  1: Overall=9/10 | Accuracy=9/10 | Completeness=10/10 | Fluency=9/10
         The translation is accurate and complete, with minor fluency issues.</t>
  </si>
  <si>
    <t>Chunk  1: Overall=9/10 | Accuracy=9/10 | Completeness=10/10 | Fluency=9/10
         The translation is accurate and complete, with minor fluency issues.
Chunk  2: Overall=8/10 | Accuracy=8/10 | Completeness=9/10 | Fluency=9/10
         The translation is mostly accurate and fluent, with minor omissions in completeness.
Chunk  3: Overall=9/10 | Accuracy=9/10 | Completeness=10/10 | Fluency=9/10
         The translation is accurate, complete, and reads fluently as a legal document.</t>
  </si>
  <si>
    <t>B10-16-08</t>
  </si>
  <si>
    <t>Chunk  1: Overall=9/10 | Accuracy=9/10 | Completeness=10/10 | Fluency=9/10
         The translation is accurate, complete, and reads fluently as a legal document.</t>
  </si>
  <si>
    <t>B10-20-15</t>
  </si>
  <si>
    <t>Chunk  1: Overall=9/10 | Accuracy=9/10 | Completeness=9/10 | Fluency=10/10
         The translation is highly accurate and fluent, with minor omissions.
Chunk  2: Overall=9/10 | Accuracy=9/10 | Completeness=10/10 | Fluency=9/10
         The translation is accurate and complete, with minor fluency issues.</t>
  </si>
  <si>
    <t>B10-23-20</t>
  </si>
  <si>
    <t>B10-40-14</t>
  </si>
  <si>
    <t>Chunk  1: Overall=9/10 | Accuracy=9/10 | Completeness=9/10 | Fluency=10/10
         The translation is highly accurate and fluent, with minor omissions in the final section.
Chunk  2: Overall=9/10 | Accuracy=9/10 | Completeness=10/10 | Fluency=9/10
         The translation is accurate, complete, and reads fluently as a legal document.</t>
  </si>
  <si>
    <t>B10-41-14</t>
  </si>
  <si>
    <t>B10-50-14</t>
  </si>
  <si>
    <t>Chunk  1: Overall=9/10 | Accuracy=9/10 | Completeness=10/10 | Fluency=9/10
         The translation is accurate and complete, with minor fluency issues.
Chunk  2: Overall=9/10 | Accuracy=9/10 | Completeness=10/10 | Fluency=9/10
         The translation is accurate and complete, with minor fluency issues.</t>
  </si>
  <si>
    <t>B10-105-11</t>
  </si>
  <si>
    <t>Chunk  1: Overall=9/10 | Accuracy=9/10 | Completeness=10/10 | Fluency=9/10
         The translation is accurate, complete, and reads fluently, with minor deviations in legal terminology.</t>
  </si>
  <si>
    <t>B11-11-08</t>
  </si>
  <si>
    <t>B11-13-06</t>
  </si>
  <si>
    <t>Chunk  1: Overall=9/10 | Accuracy=9/10 | Completeness=10/10 | Fluency=9/10
         The translation is accurate and complete, with minor fluency issues.
Chunk  2: Overall=9/10 | Accuracy=9/10 | Completeness=10/10 | Fluency=9/10
         The translation is accurate, complete, and reads fluently as a legal document.</t>
  </si>
  <si>
    <t>B11-15-09</t>
  </si>
  <si>
    <t>B11-17-06</t>
  </si>
  <si>
    <t>B11-20-05</t>
  </si>
  <si>
    <t>B11-26-05</t>
  </si>
  <si>
    <t>Chunk  1: Overall=9/10 | Accuracy=9/10 | Completeness=9/10 | Fluency=10/10
         The translation is highly accurate and fluent, with minor omissions in the penalty details.
Chunk  2: Overall=9/10 | Accuracy=9/10 | Completeness=10/10 | Fluency=9/10
         The translation accurately conveys the legal meaning and is complete, with minor fluency issues.</t>
  </si>
  <si>
    <t>B12-11-08</t>
  </si>
  <si>
    <t>B12-11-11</t>
  </si>
  <si>
    <t>Chunk  1: Overall=9/10 | Accuracy=9/10 | Completeness=10/10 | Fluency=9/10
         The translation is accurate, complete, and reads fluently, with minor discrepancies in legal terminology.
Chunk  2: Overall=9/10 | Accuracy=9/10 | Completeness=10/10 | Fluency=9/10
         The translation is accurate, complete, and reads fluently as a legal document.</t>
  </si>
  <si>
    <t>B12-12-10</t>
  </si>
  <si>
    <t>B1-164-13, B1-167-13, B1-87-14, B1-47-15</t>
  </si>
  <si>
    <t>Total Number of Cases:</t>
  </si>
  <si>
    <t>B2-58-09</t>
  </si>
  <si>
    <t>Chunk  1: Overall=9/10 | Accuracy=9/10 | Completeness=10/10 | Fluency=9/10
         The translation is accurate, complete, and reads fluently, with minor deviations in legal terminology.
Chunk  2: Overall=9/10 | Accuracy=9/10 | Completeness=10/10 | Fluency=9/10
         The translation accurately conveys the legal meaning and is complete, with minor fluency issues.</t>
  </si>
  <si>
    <t>B3-88-09</t>
  </si>
  <si>
    <t>Chunk  1: Overall=9/10 | Accuracy=9/10 | Completeness=10/10 | Fluency=9/10
         The translation is accurate and complete, with minor deviations in fluency that do not affect the legal meaning.</t>
  </si>
  <si>
    <t>B3-144-08</t>
  </si>
  <si>
    <t>Chunk  1: Overall=9/10 | Accuracy=9/10 | Completeness=10/10 | Fluency=9/10
         The translation accurately conveys the legal meaning and is complete, with minor fluency improvements possible.</t>
  </si>
  <si>
    <t>B9-67-21</t>
  </si>
  <si>
    <t>Chunk  1: Overall=9/10 | Accuracy=9/10 | Completeness=9/10 | Fluency=10/10
         The translation is highly accurate and fluent, with minor omissions in citation details.
Chunk  2: Overall=9/10 | Accuracy=9/10 | Completeness=9/10 | Fluency=10/10
         The translation is highly accurate and fluent, with minor omissions.
Chunk  3: Overall=9/10 | Accuracy=9/10 | Completeness=9/10 | Fluency=10/10
         The translation is highly accurate and fluent, with minor omissions in procedural details.</t>
  </si>
  <si>
    <t>B9-66-10</t>
  </si>
  <si>
    <t>Chunk  1: Overall=9/10 | Accuracy=9/10 | Completeness=10/10 | Fluency=9/10
         The translation is accurate and complete, with minor fluency issues.
Chunk 10: Overall=9/10 | Accuracy=9/10 | Completeness=9/10 | Fluency=10/10
         The translation is accurate and fluent, with minor omissions in completeness.
Chunk 19: Overall=9/10 | Accuracy=9/10 | Completeness=10/10 | Fluency=9/10
         The translation accurately conveys the legal meaning and includes all relevant source text.
Chunk 28: Overall=9/10 | Accuracy=9/10 | Completeness=10/10 | Fluency=9/10
         The translation is accurate and complete, with minor fluency issues.
Chunk 36: Overall=9/10 | Accuracy=9/10 | Completeness=10/10 | Fluency=9/10
         The translation is accurate, complete, and reads fluently as a legal document.</t>
  </si>
  <si>
    <t>10D28</t>
  </si>
  <si>
    <t>12D17</t>
  </si>
  <si>
    <t>12D18</t>
  </si>
  <si>
    <t>18DCC18</t>
  </si>
  <si>
    <t>19D26</t>
  </si>
  <si>
    <t>20D04</t>
  </si>
  <si>
    <t>20MC01</t>
  </si>
  <si>
    <t>21D07</t>
  </si>
  <si>
    <t>21D11</t>
  </si>
  <si>
    <t>21D17</t>
  </si>
  <si>
    <t>22D13</t>
  </si>
  <si>
    <t>24D03</t>
  </si>
  <si>
    <t>25D02</t>
  </si>
  <si>
    <t>Chunk  1: Overall=9/10 | Accuracy=9/10 | Completeness=10/10 | Fluency=9/10
         The translation is accurate and complete, with minor fluency issues.
Chunk 13: Overall=8/10 | Accuracy=9/10 | Completeness=8/10 | Fluency=9/10
         The translation is mostly accurate and fluent, but omits a specific comparison to a previous case.
Chunk 26: Overall=9/10 | Accuracy=9/10 | Completeness=10/10 | Fluency=9/10
         The translation is accurate and complete, with minor fluency issues.
Chunk 38: Overall=8/10 | Accuracy=8/10 | Completeness=7/10 | Fluency=9/10
         The translation is mostly accurate but omits some details about La Banque Postale's creation and role.
Chunk 50: Overall=9/10 | Accuracy=9/10 | Completeness=10/10 | Fluency=9/10
         The translation is accurate, complete, and reads fluently as a legal document.</t>
  </si>
  <si>
    <t>Chunk  1: Overall=9/10 | Accuracy=9/10 | Completeness=10/10 | Fluency=9/10
         The translation is accurate and complete, with minor fluency issues.
Chunk  7: Overall=9/10 | Accuracy=9/10 | Completeness=10/10 | Fluency=9/10
         The translation is accurate and complete, with minor fluency issues.
Chunk 13: Overall=9/10 | Accuracy=9/10 | Completeness=9/10 | Fluency=10/10
         The translation is accurate and fluent, with minor omissions.
Chunk 19: Overall=9/10 | Accuracy=9/10 | Completeness=10/10 | Fluency=9/10
         The translation is accurate and complete, with minor fluency issues.
Chunk 24: Overall=9/10 | Accuracy=9/10 | Completeness=10/10 | Fluency=9/10
         The translation is accurate and complete, with minor fluency issues.</t>
  </si>
  <si>
    <t>Chunk  1: Overall=9/10 | Accuracy=9/10 | Completeness=10/10 | Fluency=9/10
         The translation is accurate, complete, and reads fluently as a legal document.
Chunk  3: Overall=9/10 | Accuracy=9/10 | Completeness=10/10 | Fluency=9/10
         The translation is accurate and complete, with minor fluency issues.
Chunk  6: Overall=8/10 | Accuracy=8/10 | Completeness=7/10 | Fluency=9/10
         The translation is generally accurate but omits some specific details from the source.
Chunk  9: Overall=9/10 | Accuracy=9/10 | Completeness=10/10 | Fluency=9/10
         The translation is accurate and complete, with minor fluency issues.
Chunk 11: Overall=9/10 | Accuracy=9/10 | Completeness=10/10 | Fluency=9/10
         The translation is accurate and complete, with minor fluency issues.</t>
  </si>
  <si>
    <t>Chunk  1: Overall=9/10 | Accuracy=9/10 | Completeness=10/10 | Fluency=9/10
         The translation accurately conveys the legal meaning and is complete, with minor fluency issues.
Chunk  8: Overall=9/10 | Accuracy=9/10 | Completeness=10/10 | Fluency=9/10
         The translation is accurate and complete, with minor fluency issues.
Chunk 16: Overall=9/10 | Accuracy=9/10 | Completeness=10/10 | Fluency=9/10
         The translation is accurate and complete, with minor fluency issues.
Chunk 23: Overall=9/10 | Accuracy=9/10 | Completeness=9/10 | Fluency=10/10
         The translation is accurate and fluent, with minor omissions of page numbers.
Chunk 30: Overall=10/10 | Accuracy=10/10 | Completeness=10/10 | Fluency=10/10
         The translation accurately and completely conveys the legal meaning and reads fluently.</t>
  </si>
  <si>
    <t>Chunk  1: Overall=9/10 | Accuracy=9/10 | Completeness=10/10 | Fluency=9/10
         The translation is accurate and complete, with minor fluency issues.
Chunk 12: Overall=9/10 | Accuracy=9/10 | Completeness=10/10 | Fluency=9/10
         The translation is accurate and complete, with minor fluency issues.
Chunk 24: Overall=9/10 | Accuracy=9/10 | Completeness=10/10 | Fluency=9/10
         The translation is accurate and complete, with minor fluency issues.
Chunk 35: Overall=9/10 | Accuracy=9/10 | Completeness=9/10 | Fluency=10/10
         Minor omission of specific procedural detail, otherwise accurate and fluent.
Chunk 46: Overall=9/10 | Accuracy=9/10 | Completeness=10/10 | Fluency=9/10
         The translation is accurate, complete, and reads fluently as a legal document.</t>
  </si>
  <si>
    <t>Chunk  1: Overall=9/10 | Accuracy=9/10 | Completeness=10/10 | Fluency=9/10
         The translation is accurate and complete, with minor fluency issues.
Chunk 23: Overall=9/10 | Accuracy=9/10 | Completeness=10/10 | Fluency=9/10
         The translation is accurate and complete, with minor fluency issues.
Chunk 46: Overall=9/10 | Accuracy=9/10 | Completeness=10/10 | Fluency=9/10
         The translation is accurate and complete, with minor fluency issues.
Chunk 68: Overall=9/10 | Accuracy=9/10 | Completeness=10/10 | Fluency=9/10
         The translation is accurate and complete, with minor fluency issues.
Chunk 90: Overall=9/10 | Accuracy=9/10 | Completeness=10/10 | Fluency=9/10
         The translation is accurate, complete, and reads fluently as a legal document.</t>
  </si>
  <si>
    <t>Chunk  1: Overall=9/10 | Accuracy=9/10 | Completeness=10/10 | Fluency=9/10
         The translation is accurate and complete, with minor fluency issues.
Chunk  7: Overall=9/10 | Accuracy=9/10 | Completeness=10/10 | Fluency=9/10
         The translation is accurate and complete, with minor fluency issues.
Chunk 13: Overall=9/10 | Accuracy=9/10 | Completeness=9/10 | Fluency=10/10
         The translation is accurate and fluent, with minor omissions.
Chunk 19: Overall=8/10 | Accuracy=9/10 | Completeness=8/10 | Fluency=9/10
         The translation is mostly accurate and fluent, but some introductory context is missing.
Chunk 24: Overall=9/10 | Accuracy=9/10 | Completeness=10/10 | Fluency=9/10
         The translation is accurate, complete, and reads fluently as a legal document.</t>
  </si>
  <si>
    <t>Chunk  1: Overall=9/10 | Accuracy=9/10 | Completeness=9/10 | Fluency=10/10
         The translation is accurate and fluent, with minor omissions.
Chunk  4: Overall=9/10 | Accuracy=9/10 | Completeness=9/10 | Fluency=10/10
         The translation is accurate and fluent, but a small portion of the source text is missing.
Chunk  7: Overall=9/10 | Accuracy=9/10 | Completeness=9/10 | Fluency=10/10
         The translation is highly accurate and fluent, with minor omissions in institutional references.
Chunk 10: Overall=9/10 | Accuracy=9/10 | Completeness=10/10 | Fluency=9/10
         The translation is accurate and complete, with minor fluency issues.
Chunk 13: Overall=9/10 | Accuracy=9/10 | Completeness=9/10 | Fluency=10/10
         The translation is accurate and fluent, with minor omissions in legal references.</t>
  </si>
  <si>
    <t xml:space="preserve"> Chunk  1: Overall=9/10 | Accuracy=9/10 | Completeness=10/10 | Fluency=9/10
         The translation is accurate and complete, with minor fluency issues.
Chunk  9: Overall=9/10 | Accuracy=9/10 | Completeness=10/10 | Fluency=9/10
         The translation is accurate and complete, with minor fluency issues.
Chunk 18: Overall=9/10 | Accuracy=9/10 | Completeness=10/10 | Fluency=9/10
         The translation is accurate and complete, with minor fluency issues.
Chunk 27: Overall=9/10 | Accuracy=9/10 | Completeness=10/10 | Fluency=9/10
         The translation is accurate and complete, with minor fluency issues.
Chunk 35: Overall=9/10 | Accuracy=9/10 | Completeness=10/10 | Fluency=9/10
         The translation is accurate, complete, and reads fluently as a legal document.</t>
  </si>
  <si>
    <t>Chunk  1: Overall=9/10 | Accuracy=9/10 | Completeness=10/10 | Fluency=9/10
         The translation is accurate and complete, with minor fluency issues.
Chunk 12: Overall=9/10 | Accuracy=9/10 | Completeness=9/10 | Fluency=10/10
         The translation is accurate and fluent, with minor omissions in completeness.
Chunk 23: Overall=9/10 | Accuracy=9/10 | Completeness=10/10 | Fluency=9/10
         The translation is accurate and complete, with minor fluency issues.
Chunk 34: Overall=9/10 | Accuracy=9/10 | Completeness=10/10 | Fluency=9/10
         The translation is accurate and complete, with minor fluency issues.
Chunk 44: Overall=9/10 | Accuracy=9/10 | Completeness=9/10 | Fluency=10/10
         The translation is highly accurate and fluent, with minor omissions in the closing formalities.</t>
  </si>
  <si>
    <t>Chunk  1: Overall=9/10 | Accuracy=9/10 | Completeness=10/10 | Fluency=9/10
         The translation is accurate and complete, with minor fluency issues.
Chunk  5: Overall=9/10 | Accuracy=9/10 | Completeness=10/10 | Fluency=9/10
         The translation is accurate and complete, with minor fluency issues.
Chunk  9: Overall=9/10 | Accuracy=9/10 | Completeness=9/10 | Fluency=10/10
         The translation is accurate and fluent, but omits a specific detail about the arbitration process.
Chunk 13: Overall=9/10 | Accuracy=9/10 | Completeness=10/10 | Fluency=9/10
         The translation is accurate and complete, with minor fluency issues.
Chunk 17: Overall=9/10 | Accuracy=9/10 | Completeness=10/10 | Fluency=9/10
         The translation is accurate, complete, and reads fluently as a legal document.</t>
  </si>
  <si>
    <t>Overall (/10) - GPT Judge</t>
  </si>
  <si>
    <t>Chunk  1: Overall=9/10 | Accuracy=9/10 | Completeness=9/10 | Fluency=10/10
         The translation is highly accurate and fluent, with minor omissions.
Chunk  7: Overall=9/10 | Accuracy=9/10 | Completeness=9/10 | Fluency=10/10
         Minor omissions and slight inaccuracies in legal terminology.
Chunk 13: Overall=9/10 | Accuracy=9/10 | Completeness=10/10 | Fluency=9/10
         The translation is accurate and complete, with minor fluency issues.
Chunk 19: Overall=9/10 | Accuracy=9/10 | Completeness=10/10 | Fluency=9/10
         The translation is accurate and complete, with minor fluency issues.
Chunk 25: Overall=9/10 | Accuracy=9/10 | Completeness=9/10 | Fluency=10/10
         The translation is highly accurate and fluent, with minor omissions in the header.</t>
  </si>
  <si>
    <t>Chunk  1: Overall=9/10 | Accuracy=9/10 | Completeness=10/10 | Fluency=9/10
         The translation is accurate and complete, with minor fluency issues.
Chunk 12: Overall=9/10 | Accuracy=9/10 | Completeness=9/10 | Fluency=10/10
         The translation is accurate and fluent, with minor omissions.
Chunk 23: Overall=9/10 | Accuracy=9/10 | Completeness=9/10 | Fluency=10/10
         The translation is accurate and fluent, with minor omissions.
Chunk 34: Overall=9/10 | Accuracy=9/10 | Completeness=10/10 | Fluency=9/10
         The translation is accurate and complete, with minor fluency issues.
Chunk 45: Overall=9/10 | Accuracy=9/10 | Completeness=10/10 | Fluency=9/10
         The translation is accurate and complete, with minor fluency issues.</t>
  </si>
  <si>
    <t>AT.39482</t>
  </si>
  <si>
    <t>SA.32953</t>
  </si>
  <si>
    <t>SA.32179</t>
  </si>
  <si>
    <t>Chunk  1: Overall=9/10 | Accuracy=9/10 | Completeness=10/10 | Fluency=9/10
         The translation is accurate and complete, with minor fluency issues.
Chunk  3: Overall=9/10 | Accuracy=9/10 | Completeness=9/10 | Fluency=10/10
         The translation is accurate and fluent, but some source text is omitted.
Chunk  5: Overall=9/10 | Accuracy=9/10 | Completeness=9/10 | Fluency=10/10
         The translation is accurate and fluent, but omits a specific phrase from the source text.
Chunk  7: Overall=9/10 | Accuracy=9/10 | Completeness=9/10 | Fluency=10/10
         The translation is accurate and fluent, with minor omissions in source text references.
Chunk  9: Overall=9/10 | Accuracy=9/10 | Completeness=10/10 | Fluency=9/10
         The translation is accurate, complete, and reads fluently as a legal document.</t>
  </si>
  <si>
    <t>Chunk  1: Overall=9/10 | Accuracy=9/10 | Completeness=10/10 | Fluency=9/10
         The translation is accurate and complete, with minor fluency issues.
Chunk  3: Overall=9/10 | Accuracy=9/10 | Completeness=9/10 | Fluency=10/10
         The translation is accurate and fluent, but some source text is missing.
Chunk  5: Overall=9/10 | Accuracy=9/10 | Completeness=9/10 | Fluency=10/10
         The translation is accurate and fluent, but omits a specific phrase from the source text.
Chunk  7: Overall=9/10 | Accuracy=9/10 | Completeness=10/10 | Fluency=9/10
         The translation is accurate and complete, with minor fluency issues.
Chunk  9: Overall=9/10 | Accuracy=9/10 | Completeness=10/10 | Fluency=9/10
         The translation is accurate, complete, and reads fluently as a legal document.</t>
  </si>
  <si>
    <t>SA.32014, SA.32015, SA.32016</t>
  </si>
  <si>
    <t>Chunk  1: Overall=9/10 | Accuracy=9/10 | Completeness=10/10 | Fluency=9/10
         The translation is accurate, complete, and reads fluently as a legal document.
Chunk 12: Overall=9/10 | Accuracy=9/10 | Completeness=10/10 | Fluency=9/10
         The translation is accurate and complete, with minor fluency issues.
Chunk 24: Overall=8/10 | Accuracy=8/10 | Completeness=7/10 | Fluency=9/10
         The translation is mostly accurate and fluent but omits some specific details from the source.
Chunk 36: Overall=9/10 | Accuracy=9/10 | Completeness=10/10 | Fluency=9/10
         The translation is accurate and complete, with minor fluency issues.
Chunk 47: Overall=10/10 | Accuracy=10/10 | Completeness=10/10 | Fluency=10/10
         The translation accurately and completely conveys the legal meaning of the source text.</t>
  </si>
  <si>
    <t>SA.31851</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</si>
  <si>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is accurate, complete, and reads fluently as a legal document.
Chunk  4: Overall=9/10 | Accuracy=9/10 | Completeness=10/10 | Fluency=9/10
         The translation is accurate, complete, and reads fluently as a legal document.
Chunk  5: Overall=10/10 | Accuracy=10/10 | Completeness=10/10 | Fluency=10/10
         The translation accurately and completely conveys the original text with professional fluency.</t>
  </si>
  <si>
    <t>SA.31230</t>
  </si>
  <si>
    <t>Chunk  1: Overall=9/10 | Accuracy=9/10 | Completeness=10/10 | Fluency=9/10
         The translation is accurate, complete, and reads fluently as a legal document.
Chunk  2: Overall=9/10 | Accuracy=9/10 | Completeness=10/10 | Fluency=9/10
         The translation is accurate and complete, with minor fluency issues.
Chunk  3: Overall=8/10 | Accuracy=8/10 | Completeness=7/10 | Fluency=9/10
         The translation is generally accurate and fluent but lacks some specific details and references from the source.
Chunk  4: Overall=9/10 | Accuracy=9/10 | Completeness=10/10 | Fluency=9/10
         The translation is accurate and complete, with minor fluency issues.</t>
  </si>
  <si>
    <t>SA.29775</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</si>
  <si>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is accurate and complete, with minor fluency issues.
Chunk  4: Overall=8/10 | Accuracy=8/10 | Completeness=9/10 | Fluency=9/10
         The translation is mostly accurate and complete, with minor discrepancies in legal terminology.
Chunk  5: Overall=9/10 | Accuracy=9/10 | Completeness=10/10 | Fluency=9/10
         The translation is accurate and complete, with minor fluency issues.</t>
  </si>
  <si>
    <t>SA.29706</t>
  </si>
  <si>
    <t>Chunk  1: Overall=9/10 | Accuracy=9/10 | Completeness=10/10 | Fluency=9/10
         The translation is accurate, complete, and reads fluently as a legal document.
Chunk  2: Overall=9/10 | Accuracy=9/10 | Completeness=10/10 | Fluency=9/10
         The translation is accurate and complete, with minor fluency issues.
Chunk  3: Overall=9/10 | Accuracy=9/10 | Completeness=10/10 | Fluency=9/10
         The translation is accurate, complete, and reads fluently as a legal document.
Chunk  4: Overall=9/10 | Accuracy=9/10 | Completeness=10/10 | Fluency=9/10
         The translation is accurate and complete, with minor fluency issues.
Chunk  5: Overall=9/10 | Accuracy=9/10 | Completeness=10/10 | Fluency=9/10
         The translation is accurate and complete, with minor fluency issues.</t>
  </si>
  <si>
    <t>SA.28183</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</si>
  <si>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is accurate, complete, and reads fluently as a legal document.
Chunk  4: Overall=10/10 | Accuracy=10/10 | Completeness=10/10 | Fluency=10/10
         The translation accurately and completely conveys the source text with natural fluency.</t>
  </si>
  <si>
    <t>SA.20940</t>
  </si>
  <si>
    <t>Chunk  1: Overall=9/10 | Accuracy=9/10 | Completeness=10/10 | Fluency=9/10
         The translation is accurate and complete, with minor fluency issues.
Chunk  2: Overall=9/10 | Accuracy=9/10 | Completeness=9/10 | Fluency=10/10
         The translation is accurate and fluent, but some specific details are omitted.
   Judge attempt 1/3 failed: JSONDecodeError: Unterminated string starting at: line 1 column 69 (char 68)
Chunk  4: Overall=5/10 | Accuracy=5/10 | Completeness=3/10 | Fluency=7/10
         The translation lacks completeness and accuracy, omitting key legal details and context.
Chunk  6: Overall=9/10 | Accuracy=9/10 | Completeness=10/10 | Fluency=9/10
         The translation is accurate and complete, with minor fluency issues.
Chunk  7: Overall=9/10 | Accuracy=9/10 | Completeness=10/10 | Fluency=9/10
         The translation is accurate and complete, with minor fluency issues</t>
  </si>
  <si>
    <t>SA.20152</t>
  </si>
  <si>
    <t>Chunk  1: Overall=9/10 | Accuracy=9/10 | Completeness=10/10 | Fluency=9/10
         The translation is accurate and complete, with minor fluency issues.
Chunk  5: Overall=9/10 | Accuracy=9/10 | Completeness=10/10 | Fluency=9/10
         The translation is accurate and complete, with minor fluency issues.
Chunk  9: Overall=9/10 | Accuracy=9/10 | Completeness=10/10 | Fluency=9/10
         The translation is accurate and complete, with minor fluency issues.
Chunk 13: Overall=9/10 | Accuracy=9/10 | Completeness=9/10 | Fluency=10/10
         The translation is accurate and fluent, but some specific source text is omitted.
Chunk 16: Overall=9/10 | Accuracy=9/10 | Completeness=9/10 | Fluency=10/10
         The translation is accurate and fluent, with minor omissions in completeness.</t>
  </si>
  <si>
    <t>M.2876</t>
  </si>
  <si>
    <t>Chunk  1: Overall=9/10 | Accuracy=9/10 | Completeness=10/10 | Fluency=9/10
         The translation is accurate and complete, with minor fluency issues.
Chunk  7: Overall=9/10 | Accuracy=9/10 | Completeness=10/10 | Fluency=9/10
         The translation is accurate and complete, with minor fluency issues.
Chunk 14: Overall=9/10 | Accuracy=9/10 | Completeness=10/10 | Fluency=9/10
         The translation is accurate and complete, with minor fluency issues.
Chunk 21: Overall=9/10 | Accuracy=9/10 | Completeness=10/10 | Fluency=9/10
         The translation is accurate and complete, with minor fluency issues.
Chunk 27: Overall=9/10 | Accuracy=9/10 | Completeness=10/10 | Fluency=9/10
         The translation is accurate, complete, and reads fluently as a legal document.</t>
  </si>
  <si>
    <t>AT.40588</t>
  </si>
  <si>
    <t>Chunk  1: Overall=9/10 | Accuracy=9/10 | Completeness=10/10 | Fluency=9/10
         The translation is accurate, complete, and reads fluently as a legal document.
Chunk  2: Overall=9/10 | Accuracy=9/10 | Completeness=10/10 | Fluency=9/10
         The translation is accurate and complete, with minor fluency issues.</t>
  </si>
  <si>
    <t>AT.39315</t>
  </si>
  <si>
    <t>Chunk  1: Overall=9/10 | Accuracy=9/10 | Completeness=10/10 | Fluency=9/10
         The translation is accurate, complete, and reads fluently as a legal document.
Chunk  3: Overall=9/10 | Accuracy=9/10 | Completeness=9/10 | Fluency=10/10
         The translation is accurate and fluent, with minor omissions in statistical data.
Chunk  6: Overall=9/10 | Accuracy=9/10 | Completeness=10/10 | Fluency=9/10
         The translation accurately conveys the legal meaning and is complete, with minor fluency issues.
Chunk  8: Overall=9/10 | Accuracy=9/10 | Completeness=10/10 | Fluency=9/10
         The translation is accurate and complete, with minor fluency issues.
Chunk 10: Overall=9/10 | Accuracy=9/10 | Completeness=10/10 | Fluency=9/10
         The translation is accurate and complete, with minor fluency issues.</t>
  </si>
  <si>
    <t>AT.37956</t>
  </si>
  <si>
    <t>AT.37685</t>
  </si>
  <si>
    <t>Chunk  1: Overall=9/10 | Accuracy=9/10 | Completeness=10/10 | Fluency=9/10
         The translation is accurate and complete, with minor fluency issues.
Chunk  4: Overall=9/10 | Accuracy=9/10 | Completeness=9/10 | Fluency=10/10
         The translation is accurate and fluent, but some specific details about train schedules and connections are omitted.
Chunk  7: Overall=9/10 | Accuracy=9/10 | Completeness=10/10 | Fluency=9/10
         The translation is accurate, complete, and reads naturally as a legal document.
Chunk 10: Overall=9/10 | Accuracy=9/10 | Completeness=10/10 | Fluency=9/10
         The translation is accurate and complete, with minor fluency issues.
Chunk 13: Overall=9/10 | Accuracy=9/10 | Completeness=10/10 | Fluency=9/10
         The translation is accurate, complete, and reads fluently as a legal document.</t>
  </si>
  <si>
    <t>SA.22495</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</si>
  <si>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Completeness=9/10 | Fluency=10/10
         The translation is accurate and fluent, with minor omissions in specific document references.
Chunk  4: Overall=7/10 | Accuracy=7/10 | Completeness=5/10 | Fluency=8/10
         The translation omits specific details about targeted social groups for aid.
Chunk  5: Overall=9/10 | Accuracy=9/10 | Completeness=10/10 | Fluency=9/10
         The translation is accurate, complete, and reads fluently as a legal document.</t>
  </si>
  <si>
    <t>SA.20846</t>
  </si>
  <si>
    <t>Chunk  1: Overall=9/10 | Accuracy=9/10 | Completeness=10/10 | Fluency=9/10
         The translation is accurate and complete, with minor fluency issues.
Chunk  3: Overall=9/10 | Accuracy=9/10 | Completeness=10/10 | Fluency=9/10
         The translation is accurate and complete, with minor fluency issues.
Chunk  6: Overall=9/10 | Accuracy=9/10 | Completeness=10/10 | Fluency=9/10
         The translation is accurate and complete, with minor fluency issues.
Chunk  9: Overall=8/10 | Accuracy=9/10 | Completeness=8/10 | Fluency=9/10
         The translation is mostly accurate and fluent, but some introductory context is missing.
Chunk 11: Overall=9/10 | Accuracy=9/10 | Completeness=10/10 | Fluency=9/10
         The translation is accurate, complete, and reads fluently as a legal document.</t>
  </si>
  <si>
    <t>SA.30092</t>
  </si>
  <si>
    <t>Chunk  1: Overall=9/10 | Accuracy=9/10 | Completeness=10/10 | Fluency=9/10
         The translation is accurate, complete, and reads fluently as a legal document.
Chunk  2: Overall=9/10 | Accuracy=9/10 | Completeness=10/10 | Fluency=9/10
         The translation is accurate, complete, and reads fluently as a legal document.
Chunk  3: Overall=10/10 | Accuracy=10/10 | Completeness=10/10 | Fluency=10/10
         The translation is accurate, complete, and reads fluently as a professional legal document.</t>
  </si>
  <si>
    <t>SA.33874</t>
  </si>
  <si>
    <t>Chunk  1: Overall=9/10 | Accuracy=9/10 | Completeness=10/10 | Fluency=9/10
         The translation is accurate and complete, with minor fluency issues.
Chunk  2: Overall=9/10 | Accuracy=9/10 | Completeness=10/10 | Fluency=9/10
         The translation is accurate, complete, and reads naturally as a legal document.
Chunk  3: Overall=9/10 | Accuracy=9/10 | Completeness=10/10 | Fluency=9/10
         The translation is accurate, complete, and reads fluently as a legal document.</t>
  </si>
  <si>
    <t>SA.33083</t>
  </si>
  <si>
    <t>SA.23011</t>
  </si>
  <si>
    <t>SA.20618</t>
  </si>
  <si>
    <t>SA.20829</t>
  </si>
  <si>
    <t>SA.20243</t>
  </si>
  <si>
    <t>SA.22046</t>
  </si>
  <si>
    <t>SA.14876</t>
  </si>
  <si>
    <t>SA.21974</t>
  </si>
  <si>
    <t>SA.18030</t>
  </si>
  <si>
    <t>SA.55678</t>
  </si>
  <si>
    <t>SA.39639</t>
  </si>
  <si>
    <t>SA.39913</t>
  </si>
  <si>
    <t>SA.20461</t>
  </si>
  <si>
    <t>SA.48171</t>
  </si>
  <si>
    <t>SA.36112</t>
  </si>
  <si>
    <t>Chunk  1: Overall=9/10 | Accuracy=9/10 | Completeness=9/10 | Fluency=10/10
         Minor omission of procedural text, otherwise accurate and fluent.
Chunk  4: Overall=9/10 | Accuracy=9/10 | Completeness=9/10 | Fluency=10/10
         The translation is accurate and fluent, with minor omissions in decree references.
Chunk  8: Overall=9/10 | Accuracy=9/10 | Completeness=10/10 | Fluency=9/10
         The translation is accurate and complete, with minor fluency issues.
Chunk 12: Overall=9/10 | Accuracy=9/10 | Completeness=10/10 | Fluency=9/10
         The translation is accurate and complete, with minor fluency issues.
Chunk 15: Overall=9/10 | Accuracy=9/10 | Completeness=10/10 | Fluency=9/10
         The translation accurately conveys the legal meaning with no omissions.</t>
  </si>
  <si>
    <t>Chunk  1: Overall=9/10 | Accuracy=9/10 | Completeness=10/10 | Fluency=9/10
         The translation is accurate and complete, with minor fluency issues.
Chunk  2: Overall=9/10 | Accuracy=9/10 | Completeness=10/10 | Fluency=9/10
         The translation is accurate and complete, with minor fluency issues.
Chunk  4: Overall=9/10 | Accuracy=9/10 | Completeness=10/10 | Fluency=9/10
         The translation is accurate and complete, with minor fluency issues.
Chunk  5: Overall=9/10 | Accuracy=9/10 | Completeness=10/10 | Fluency=9/10
         The translation is accurate, complete, and reads fluently as a legal document.
Chunk  6: Overall=9/10 | Accuracy=9/10 | Completeness=9/10 | Fluency=10/10
         Minor omission of a conditional clause regarding confidential information.</t>
  </si>
  <si>
    <t>AT.38344</t>
  </si>
  <si>
    <t>Chunk  1: Overall=9/10 | Accuracy=9/10 | Completeness=10/10 | Fluency=9/10
         The translation is accurate and complete, with minor fluency issues.
Chunk  3: Overall=9/10 | Accuracy=9/10 | Completeness=10/10 | Fluency=9/10
         The translation is accurate, complete, and reads fluently as a legal document.
Chunk  5: Overall=9/10 | Accuracy=9/10 | Completeness=10/10 | Fluency=9/10
         The translation is accurate, complete, and reads fluently as a legal document.
Chunk  7: Overall=9/10 | Accuracy=9/10 | Completeness=10/10 | Fluency=9/10
         The translation accurately conveys the legal meaning and is complete, with minor fluency issues.
Chunk  8: Overall=9/10 | Accuracy=9/10 | Completeness=10/10 | Fluency=9/10
         The translation is accurate and complete, with minor fluency issues.</t>
  </si>
  <si>
    <t>Chunk  1: Overall=9/10 | Accuracy=9/10 | Completeness=10/10 | Fluency=9/10
         The translation is accurate and complete, with minor fluency issues.
Chunk  2: Overall=9/10 | Accuracy=9/10 | Completeness=10/10 | Fluency=9/10
         The translation is accurate, complete, and reads fluently as a legal document.
Chunk  3: Overall=10/10 | Accuracy=10/10 | Completeness=10/10 | Fluency=10/10
         The translation accurately and completely conveys the legal meaning of the source text with natural fluency.</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</si>
  <si>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accurately conveys the legal meaning and is complete, with minor fluency issues.
Chunk  4: Overall=10/10 | Accuracy=10/10 | Completeness=10/10 | Fluency=10/10
         The translation accurately and completely conveys the legal meaning of the source text.</t>
  </si>
  <si>
    <t>Chunk  1: Overall=9/10 | Accuracy=9/10 | Completeness=10/10 | Fluency=9/10
         The translation is accurate, complete, and reads fluently as a legal document.
Chunk  2: Overall=10/10 | Accuracy=10/10 | Completeness=10/10 | Fluency=10/10
         The translation accurately and completely conveys the legal meaning of the source text with natural fluency.</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</si>
  <si>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Completeness=9/10 | Fluency=10/10
         The translation is accurate and fluent, but omits specific labor hour details.</t>
  </si>
  <si>
    <t>Chunk  1: Overall=9/10 | Accuracy=9/10 | Completeness=10/10 | Fluency=9/10
         The translation is accurate and complete, with minor fluency issues.
Chunk  3: Overall=6/10 | Accuracy=5/10 | Completeness=4/10 | Fluency=8/10
         The translation lacks detailed legal references and explanations present in the source.
Chunk  6: Overall=9/10 | Accuracy=9/10 | Completeness=10/10 | Fluency=9/10
         The translation is accurate, complete, and reads naturally as a legal document.
Chunk  8: Overall=9/10 | Accuracy=9/10 | Completeness=10/10 | Fluency=9/10
         The translation is accurate and complete, with minor fluency issues.
Chunk 10: Overall=9/10 | Accuracy=9/10 | Completeness=10/10 | Fluency=9/10
         The translation is accurate and complete, with minor fluency issues.</t>
  </si>
  <si>
    <t>Chunk  1: Overall=9/10 | Accuracy=9/10 | Completeness=10/10 | Fluency=9/10
         The translation is accurate, complete, and reads fluently as a legal document.
Chunk  4: Overall=9/10 | Accuracy=9/10 | Completeness=10/10 | Fluency=9/10
         The translation is accurate and complete, with minor fluency issues.
Chunk  7: Overall=9/10 | Accuracy=9/10 | Completeness=10/10 | Fluency=9/10
         The translation is accurate and complete, with minor fluency issues.
Chunk 10: Overall=9/10 | Accuracy=9/10 | Completeness=10/10 | Fluency=9/10
         The translation accurately conveys the legal meaning and is complete, with minor fluency issues.
Chunk 13: Overall=9/10 | Accuracy=9/10 | Completeness=10/10 | Fluency=9/10
         The translation is accurate and complete, with minor fluency issues.</t>
  </si>
  <si>
    <t>AT.39092</t>
  </si>
  <si>
    <t>Chunk  1: Overall=9/10 | Accuracy=9/10 | Completeness=10/10 | Fluency=9/10
         The translation is accurate, complete, and reads fluently as a legal document.
Chunk 11: Overall=9/10 | Accuracy=9/10 | Completeness=10/10 | Fluency=9/10
         The translation is accurate, complete, and reads fluently as a legal document.
Chunk 21: Overall=9/10 | Accuracy=9/10 | Completeness=10/10 | Fluency=9/10
         The translation is accurate and complete, with minor fluency issues.
Chunk 31: Overall=9/10 | Accuracy=9/10 | Completeness=10/10 | Fluency=9/10
         The translation is accurate and complete, with minor fluency issues.
Chunk 40: Overall=9/10 | Accuracy=9/10 | Completeness=10/10 | Fluency=9/10
         The translation is accurate and complete, with minor fluency issues.</t>
  </si>
  <si>
    <t>Chunk  1: Overall=9/10 | Accuracy=9/10 | Completeness=10/10 | Fluency=9/10
         The translation is accurate and complete, with minor fluency issues.
Chunk  2: Overall=9/10 | Accuracy=9/10 | Completeness=10/10 | Fluency=9/10
         The translation is accurate, complete, and reads naturally as a legal document.
Chunk  4: Overall=9/10 | Accuracy=9/10 | Completeness=9/10 | Fluency=10/10
         The translation is accurate and fluent, with minor omissions in citations.
Chunk  5: Overall=9/10 | Accuracy=9/10 | Completeness=10/10 | Fluency=9/10
         The translation is accurate and complete, with minor fluency issues.
Chunk  6: Overall=10/10 | Accuracy=10/10 | Completeness=10/10 | Fluency=10/10
         The translation accurately and completely conveys the legal meaning and reads fluently.</t>
  </si>
  <si>
    <t>Chunk  1: Overall=9/10 | Accuracy=9/10 | Completeness=10/10 | Fluency=9/10
         The translation is accurate and complete, with minor fluency issues.
Chunk  4: Overall=9/10 | Accuracy=9/10 | Completeness=10/10 | Fluency=9/10
         The translation is accurate and complete, with minor fluency issues.
Chunk  8: Overall=9/10 | Accuracy=9/10 | Completeness=10/10 | Fluency=9/10
         The translation is accurate and complete, with minor fluency issues.
Chunk 11: Overall=9/10 | Accuracy=9/10 | Completeness=9/10 | Fluency=10/10
         The translation is accurate and fluent, with minor omissions in product observations.
Chunk 14: Overall=9/10 | Accuracy=9/10 | Completeness=10/10 | Fluency=9/10
         The translation is accurate and complete, with minor fluency issues.</t>
  </si>
  <si>
    <t>Chunk  1: Overall=9/10 | Accuracy=9/10 | Completeness=10/10 | Fluency=9/10
         The translation is accurate, complete, and reads fluently as a legal document.
Chunk  7: Overall=9/10 | Accuracy=9/10 | Completeness=10/10 | Fluency=9/10
         The translation is accurate and complete, with minor fluency issues.
Chunk 14: Overall=9/10 | Accuracy=9/10 | Completeness=10/10 | Fluency=9/10
         The translation is accurate and complete, with minor fluency issues.
Chunk 20: Overall=9/10 | Accuracy=9/10 | Completeness=10/10 | Fluency=9/10
         The translation is accurate and complete, with minor fluency issues.
Chunk 26: Overall=9/10 | Accuracy=9/10 | Completeness=10/10 | Fluency=9/10
         The translation is accurate and complete, with minor fluency issues.</t>
  </si>
  <si>
    <t>Chunk  1: Overall=9/10 | Accuracy=9/10 | Completeness=10/10 | Fluency=9/10
         The translation is accurate and complete, with minor fluency issues.
Chunk  5: Overall=9/10 | Accuracy=9/10 | Completeness=10/10 | Fluency=9/10
         The translation is accurate, complete, and reads fluently as a legal document.
Chunk  9: Overall=9/10 | Accuracy=9/10 | Completeness=10/10 | Fluency=9/10
         The translation is accurate and complete, with minor fluency issues.
Chunk 13: Overall=9/10 | Accuracy=9/10 | Completeness=10/10 | Fluency=9/10
         The translation is accurate and complete, with minor fluency issues.
Chunk 16: Overall=9/10 | Accuracy=9/10 | Completeness=10/10 | Fluency=9/10
         The translation is accurate, complete, and reads fluently as a legal document.</t>
  </si>
  <si>
    <t>Chunk  1: Overall=9/10 | Accuracy=9/10 | Completeness=9/10 | Fluency=10/10
         The translation is accurate and fluent, with minor omissions in introductory details.
Chunk  2: Overall=10/10 | Accuracy=10/10 | Completeness=10/10 | Fluency=10/10
         The translation accurately and completely reflects the source text with natural legal English fluency.</t>
  </si>
  <si>
    <t>Chunk  1: Overall=9/10 | Accuracy=9/10 | Completeness=10/10 | Fluency=9/10
         The translation is accurate and complete, with minor fluency issues.
Chunk  2: Overall=9/10 | Accuracy=10/10 | Completeness=9/10 | Fluency=10/10
         The translation is accurate and fluent, with no omissions detected.</t>
  </si>
  <si>
    <t>M.2314</t>
  </si>
  <si>
    <t>Chunk  1: Overall=9/10 | Accuracy=9/10 | Completeness=10/10 | Fluency=9/10
         The translation is accurate and complete, with minor fluency issues.
Chunk  3: Overall=9/10 | Accuracy=9/10 | Completeness=10/10 | Fluency=9/10
         The translation is accurate, complete, and reads fluently as a legal document.
Chunk  6: Overall=9/10 | Accuracy=9/10 | Completeness=10/10 | Fluency=9/10
         The translation is accurate, complete, and reads fluently as a legal document.
Chunk  9: Overall=9/10 | Accuracy=9/10 | Completeness=9/10 | Fluency=10/10
         The translation is accurate and fluent, with minor omissions affecting completeness.
Chunk 11: Overall=7/10 | Accuracy=6/10 | Completeness=5/10 | Fluency=9/10
         Significant portions of the source text are missing in the translation.</t>
  </si>
  <si>
    <t>SA.58607</t>
  </si>
  <si>
    <t>Chunk  1: Overall=9/10 | Accuracy=9/10 | Completeness=10/10 | Fluency=9/10
         The translation is accurate, complete, and reads fluently as a legal document.
Chunk  4: Overall=9/10 | Accuracy=9/10 | Completeness=9/10 | Fluency=10/10
         The translation is accurate and fluent, with minor omissions in completeness.
Chunk  7: Overall=9/10 | Accuracy=9/10 | Completeness=10/10 | Fluency=9/10
         The translation is accurate and complete, with minor fluency issues.
Chunk 10: Overall=9/10 | Accuracy=9/10 | Completeness=10/10 | Fluency=9/10
         The translation is accurate and complete, with minor fluency issues.
Chunk 13: Overall=10/10 | Accuracy=10/10 | Completeness=10/10 | Fluency=10/10
         The translation accurately and completely conveys the source text with professional fluency.</t>
  </si>
  <si>
    <t>AT.39406</t>
  </si>
  <si>
    <t>AT.40721, AT.40873</t>
  </si>
  <si>
    <t>SA.21420</t>
  </si>
  <si>
    <t>AT.39574</t>
  </si>
  <si>
    <t>SA.23425</t>
  </si>
  <si>
    <t>AT.39610</t>
  </si>
  <si>
    <t>SA.20362</t>
  </si>
  <si>
    <t>SA.19393</t>
  </si>
  <si>
    <t>SA.23060</t>
  </si>
  <si>
    <t>SA.24184</t>
  </si>
  <si>
    <t>18D17</t>
  </si>
  <si>
    <t>19MC01</t>
  </si>
  <si>
    <t>23MC01</t>
  </si>
  <si>
    <t>Chunk  1: Overall=9/10 | Accuracy=9/10 | Completeness=10/10 | Fluency=9/10
         The translation is accurate and complete, with minor fluency issues.
Chunk  4: Overall=9/10 | Accuracy=9/10 | Completeness=10/10 | Fluency=9/10
         The translation is accurate and complete, with minor fluency issues.
Chunk  8: Overall=9/10 | Accuracy=9/10 | Completeness=10/10 | Fluency=9/10
         The translation is accurate and complete, with minor fluency issues.
Chunk 11: Overall=8/10 | Accuracy=8/10 | Completeness=7/10 | Fluency=9/10
         The translation is generally accurate and fluent but omits specific financial details from the source.
Chunk 14: Overall=9/10 | Accuracy=9/10 | Completeness=10/10 | Fluency=9/10
         The translation is accurate and complete, with minor fluency issues.</t>
  </si>
  <si>
    <t>Chunk  1: Overall=9/10 | Accuracy=9/10 | Completeness=10/10 | Fluency=9/10
         The translation is accurate and complete, with minor fluency issues.
Chunk  4: Overall=9/10 | Accuracy=9/10 | Completeness=10/10 | Fluency=9/10
         The translation is accurate and complete, with minor fluency issues.
Chunk  7: Overall=9/10 | Accuracy=9/10 | Completeness=10/10 | Fluency=9/10
         The translation is accurate and complete, with minor fluency issues.
Chunk 10: Overall=8/10 | Accuracy=8/10 | Completeness=9/10 | Fluency=9/10
         The translation is mostly accurate and fluent, but a small portion of text is missing.
Chunk 12: Overall=9/10 | Accuracy=9/10 | Completeness=10/10 | Fluency=9/10
         The translation accurately conveys the legal meaning and is complete, with minor fluency issues.</t>
  </si>
  <si>
    <t>Chunk  1: Overall=9/10 | Accuracy=9/10 | Completeness=10/10 | Fluency=9/10
         The translation is accurate and complete, with minor fluency issues.
Chunk  6: Overall=9/10 | Accuracy=9/10 | Completeness=10/10 | Fluency=9/10
         The translation is accurate, complete, and reads fluently as a legal document.
Chunk 11: Overall=9/10 | Accuracy=9/10 | Completeness=10/10 | Fluency=9/10
         The translation is accurate and complete, with minor fluency issues.
Chunk 16: Overall=9/10 | Accuracy=9/10 | Completeness=10/10 | Fluency=9/10
         The translation is accurate and complete, with minor fluency issues.
Chunk 21: Overall=9/10 | Accuracy=9/10 | Completeness=10/10 | Fluency=9/10
         The translation is accurate and complete, with minor fluency issues.</t>
  </si>
  <si>
    <t xml:space="preserve"> Chunk  1: Overall=9/10 | Accuracy=9/10 | Completeness=10/10 | Fluency=9/10
         The translation is accurate and complete, with minor fluency issues.</t>
  </si>
  <si>
    <t>Chunk  1: Overall=9/10 | Accuracy=9/10 | Completeness=10/10 | Fluency=9/10
         The translation is accurate and complete, with minor fluency issues.
Chunk  6: Overall=9/10 | Accuracy=9/10 | Completeness=10/10 | Fluency=9/10
         The translation is accurate and complete, with minor fluency issues.
Chunk 11: Overall=9/10 | Accuracy=9/10 | Completeness=10/10 | Fluency=9/10
         The translation is accurate, complete, and reads fluently as a legal document.
Chunk 16: Overall=9/10 | Accuracy=9/10 | Completeness=10/10 | Fluency=9/10
         The translation is accurate and complete, with minor fluency issues.
Chunk 21: Overall=9/10 | Accuracy=9/10 | Completeness=10/10 | Fluency=9/10
         The translation is accurate and complete, with minor fluency issues.</t>
  </si>
  <si>
    <t>SA.21445</t>
  </si>
  <si>
    <t>SA.25731</t>
  </si>
  <si>
    <t>SA.20203</t>
  </si>
  <si>
    <t>Chunk  1: Overall=9/10 | Accuracy=9/10 | Completeness=10/10 | Fluency=9/10
         The translation is accurate and complete, with minor fluency issues.
Chunk 30: Overall=9/10 | Accuracy=9/10 | Completeness=10/10 | Fluency=9/10
         The translation is accurate, complete, and reads fluently as a legal document.
Chunk 59: Overall=9/10 | Accuracy=9/10 | Completeness=10/10 | Fluency=9/10
         The translation is accurate and complete, with minor fluency issues.
Chunk 88: Overall=9/10 | Accuracy=9/10 | Completeness=10/10 | Fluency=9/10
         The translation is accurate, complete, and reads fluently as a legal document.
Chunk 117: Overall=10/10 | Accuracy=10/10 | Completeness=10/10 | Fluency=10/10
         The translation accurately reflects the source text with no omissions and reads fluently.</t>
  </si>
  <si>
    <t>Chunk  1: Overall=9/10 | Accuracy=9/10 | Completeness=10/10 | Fluency=9/10
         The translation is accurate, complete, and reads fluently as a legal document.
Chunk  2: Overall=9/10 | Accuracy=9/10 | Completeness=9/10 | Fluency=10/10
         The translation is accurate and fluent, with minor omissions in citations.</t>
  </si>
  <si>
    <t>Chunk  1: Overall=9/10 | Accuracy=9/10 | Completeness=10/10 | Fluency=9/10
         The translation is accurate and complete, with minor fluency issues.
Chunk  3: Overall=9/10 | Accuracy=9/10 | Completeness=10/10 | Fluency=9/10
         The translation is accurate and complete, with minor fluency issues.
Chunk  5: Overall=9/10 | Accuracy=9/10 | Completeness=10/10 | Fluency=9/10
         The translation is accurate, complete, and reads naturally as a legal document.
Chunk  7: Overall=9/10 | Accuracy=9/10 | Completeness=10/10 | Fluency=9/10
         The translation is accurate and complete, with minor fluency issues.
Chunk  8: Overall=9/10 | Accuracy=9/10 | Completeness=10/10 | Fluency=9/10
         The translation is accurate and complete, with minor fluency issues.</t>
  </si>
  <si>
    <t>SA.123657</t>
  </si>
  <si>
    <t>SA.122840</t>
  </si>
  <si>
    <t>SA.123356</t>
  </si>
  <si>
    <t>SA.122427</t>
  </si>
  <si>
    <t>SA.64693</t>
  </si>
  <si>
    <t>SA.20258</t>
  </si>
  <si>
    <t>Chunk  1: Overall=9/10 | Accuracy=9/10 | Completeness=10/10 | Fluency=9/10
         The translation is accurate and complete, with minor fluency issues.
Chunk  3: Overall=9/10 | Accuracy=9/10 | Completeness=10/10 | Fluency=9/10
         The translation is accurate, complete, and reads fluently as a legal document.
Chunk  6: Overall=9/10 | Accuracy=9/10 | Completeness=10/10 | Fluency=9/10
         The translation is accurate and complete, with minor fluency issues.
Chunk  8: Overall=9/10 | Accuracy=9/10 | Completeness=10/10 | Fluency=9/10
         The translation is accurate and complete, with minor fluency issues.
Chunk 10: Overall=10/10 | Accuracy=10/10 | Completeness=10/10 | Fluency=10/10
         The translation accurately and completely conveys the legal meaning of the source text.</t>
  </si>
  <si>
    <t>SA.20041</t>
  </si>
  <si>
    <t>SA.34076</t>
  </si>
  <si>
    <t>SA.32686</t>
  </si>
  <si>
    <t>SA.36178</t>
  </si>
  <si>
    <t>SA.15876</t>
  </si>
  <si>
    <t>SA.114526</t>
  </si>
  <si>
    <t>SA.30739</t>
  </si>
  <si>
    <t>SA.42011</t>
  </si>
  <si>
    <t>SA.25895</t>
  </si>
  <si>
    <t>SA.32683</t>
  </si>
  <si>
    <t>SA.38298</t>
  </si>
  <si>
    <t>SA.35083</t>
  </si>
  <si>
    <t>SA.55614</t>
  </si>
  <si>
    <t>SA.36567</t>
  </si>
  <si>
    <t>SA.18440</t>
  </si>
  <si>
    <t>Chunk  1: Overall=9/10 | Accuracy=9/10 | Completeness=10/10 | Fluency=9/10
         The translation is accurate, complete, and reads fluently as a legal document.
Chunk  2: Overall=9/10 | Accuracy=9/10 | Completeness=9/10 | Fluency=10/10
         The translation is accurate and fluent, but a specific note about the NUTS3 region is omitted.
Chunk  3: Overall=9/10 | Accuracy=9/10 | Completeness=10/10 | Fluency=9/10
         The translation is accurate and complete, with minor fluency issues.
Chunk  4: Overall=9/10 | Accuracy=9/10 | Completeness=10/10 | Fluency=9/10
         The translation is accurate and complete, with minor fluency issues.</t>
  </si>
  <si>
    <t>AT.37750</t>
  </si>
  <si>
    <t>AT.38284</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</si>
  <si>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is accurate and complete, with minor fluency issues.
Chunk  4: Overall=9/10 | Accuracy=9/10 | Completeness=10/10 | Fluency=9/10
         The translation is accurate and complete, with minor fluency issues.</t>
  </si>
  <si>
    <t>M.4180</t>
  </si>
  <si>
    <t>AT.38233</t>
  </si>
  <si>
    <t>M.1543</t>
  </si>
  <si>
    <t>AT.39316</t>
  </si>
  <si>
    <t>M.4994</t>
  </si>
  <si>
    <t>M.2283</t>
  </si>
  <si>
    <t>AT.39386</t>
  </si>
  <si>
    <t>M.4504</t>
  </si>
  <si>
    <t>AT.40428</t>
  </si>
  <si>
    <t>SA.39621</t>
  </si>
  <si>
    <t>AT.40208</t>
  </si>
  <si>
    <t>SA.101557</t>
  </si>
  <si>
    <t>AT.40420</t>
  </si>
  <si>
    <t>AT.40414</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</si>
  <si>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is accurate, complete, and reads fluently as a legal document.
Chunk  4: Overall=9/10 | Accuracy=9/10 | Completeness=10/10 | Fluency=9/10
         The translation is accurate and complete, with minor fluency issues.
Chunk  5: Overall=9/10 | Accuracy=9/10 | Completeness=10/10 | Fluency=9/10
         The translation is accurate and complete, with minor fluency issues.</t>
  </si>
  <si>
    <t>Chunk  1: Overall=9/10 | Accuracy=9/10 | Completeness=10/10 | Fluency=9/10
         The translation is accurate and complete, with minor fluency issues.
   Judge attempt 1/3 failed: JSONDecodeError: Unterminated string starting at: line 1 column 69 (char 68)
Chunk  2: Overall=5/10 | Accuracy=5/10 | Completeness=3/10 | Fluency=7/10
         The translation lacks completeness and accuracy in capturing specific details from the source.
Chunk  4: Overall=9/10 | Accuracy=9/10 | Completeness=10/10 | Fluency=9/10
         The translation is accurate and complete, with minor fluency issues.
Chunk  5: Overall=9/10 | Accuracy=9/10 | Completeness=9/10 | Fluency=10/10
         The translation is accurate and fluent, but a specific sentence is omitted.
Chunk  6: Overall=9/10 | Accuracy=9/10 | Completeness=9/10 | Fluency=10/10
         The translation is accurate and fluent, with minor omissions.</t>
  </si>
  <si>
    <t>Chunk  1: Overall=9/10 | Accuracy=9/10 | Completeness=10/10 | Fluency=9/10
         The translation accurately conveys the legal meaning and includes all relevant details from the source text.
Chunk  2: Overall=9/10 | Accuracy=9/10 | Completeness=10/10 | Fluency=9/10
         The translation is accurate and complete, with minor fluency issues.
Chunk  4: Overall=9/10 | Accuracy=9/10 | Completeness=10/10 | Fluency=9/10
         The translation is accurate and complete, with minor fluency issues.
Chunk  5: Overall=9/10 | Accuracy=9/10 | Completeness=10/10 | Fluency=9/10
         The translation is accurate and complete, with minor fluency issues.
Chunk  6: Overall=9/10 | Accuracy=9/10 | Completeness=10/10 | Fluency=9/10
         The translation is accurate and complete, with minor fluency issues.</t>
  </si>
  <si>
    <t>AT.38606</t>
  </si>
  <si>
    <t>M.2978</t>
  </si>
  <si>
    <t>M.2621</t>
  </si>
  <si>
    <t>AT.37275</t>
  </si>
  <si>
    <t>AT.36820</t>
  </si>
  <si>
    <t>AT.36623</t>
  </si>
  <si>
    <t>Chunk  1: Overall=9/10 | Accuracy=9/10 | Completeness=10/10 | Fluency=9/10
         The translation is accurate and complete, with minor fluency issues.
Chunk  2: Overall=10/10 | Accuracy=10/10 | Completeness=10/10 | Fluency=10/10
         The translation accurately and completely conveys the legal meaning of the source text.</t>
  </si>
  <si>
    <t>Chunk  1: Overall=9/10 | Accuracy=9/10 | Completeness=10/10 | Fluency=9/10
         The translation is accurate and complete, with minor fluency issues.
Chunk  2: Overall=9/10 | Accuracy=9/10 | Completeness=10/10 | Fluency=9/10
         The translation is accurate, complete, and reads fluently as a legal document.
Chunk  3: Overall=9/10 | Accuracy=9/10 | Completeness=10/10 | Fluency=9/10
         The translation is accurate, complete, and reads fluently as a legal document.
Chunk  4: Overall=9/10 | Accuracy=9/10 | Completeness=10/10 | Fluency=9/10
         The translation is accurate, complete, and reads fluently as a legal document.</t>
  </si>
  <si>
    <t>AT.40966</t>
  </si>
  <si>
    <t>AT.39125</t>
  </si>
  <si>
    <t>AT.37792</t>
  </si>
  <si>
    <t>AT.38700</t>
  </si>
  <si>
    <t>AT.38549</t>
  </si>
  <si>
    <t>AT.38907</t>
  </si>
  <si>
    <t>AT.39402</t>
  </si>
  <si>
    <t>AT.38645</t>
  </si>
  <si>
    <t>AT.39129</t>
  </si>
  <si>
    <t>AT.39317</t>
  </si>
  <si>
    <t>AT.37966</t>
  </si>
  <si>
    <t>AT.39180</t>
  </si>
  <si>
    <t>AT.38381</t>
  </si>
  <si>
    <t>AT.39398</t>
  </si>
  <si>
    <t>AT.38287</t>
  </si>
  <si>
    <t>AT.39416</t>
  </si>
  <si>
    <t>AT.38695</t>
  </si>
  <si>
    <t>AT.39592</t>
  </si>
  <si>
    <t>AT.37773</t>
  </si>
  <si>
    <t>AT.39914</t>
  </si>
  <si>
    <t>"Chunk 1: Overall=9/10 | Accuracy=9/10 | Completeness=10/10 | Fluency=9/10
The translation is accurate and complete, with minor fluency issues in legal terminology.
Chunk 2: Overall=9/10 | Accuracy=9/10 | Completeness=9/10 | Fluency=10/10
The translation is accurate and fluent, but omits a specific citation reference.
Omitted source text: "GU L 1 del 4/1/2003, pagg. 65 -71"
Chunk 3: Overall=9/10 | Accuracy=9/10 | Completeness=10/10 | Fluency=9/10
The translation accurately conveys the legal meaning and includes all source text, with minor fluency issues."</t>
  </si>
  <si>
    <t>"Chunk 1: Overall=9/10 | Accuracy=9/10 | Completeness=10/10 | Fluency=9/10
The translation is accurate and complete, with minor fluency issues in legal phrasing.
Chunk 2: Overall=9/10 | Accuracy=9/10 | Completeness=9/10 | Fluency=10/10
The translation is accurate and fluent, but omits a specific detail about economic damage.
Omitted source text: "Perdite incorse e mancato guadagno associati a interruzione temporanea del processo produttivo, perdita di ordini, clienti, mercati."
Chunk 3: Overall=9/10 | Accuracy=9/10 | Completeness=10/10 | Fluency=9/10
The translation is accurate and complete, with minor fluency issues in formal phrasing."</t>
  </si>
  <si>
    <t>"Chunk 1: Overall=9/10 | Accuracy=9/10 | Completeness=10/10 | Fluency=9/10
The translation is accurate and complete, with minor deviations in legal terminology that do not affect the overall meaning.
Chunk 2: Overall=10/10 | Accuracy=10/10 | Completeness=10/10 | Fluency=10/10
The translation accurately conveys the legal meaning, includes all source text, and reads fluently as a professional legal document."</t>
  </si>
  <si>
    <t>"Chunk 1: Overall=9/10 | Accuracy=9/10 | Completeness=10/10 | Fluency=9/10
The translation is accurate and complete, with minor deviations in fluency.
Chunk 4: Overall=9/10 | Accuracy=9/10 | Completeness=9/10 | Fluency=10/10
The translation is accurate and fluent, with minor omissions in referencing specific points.
Omitted source text: "cfr. le osservazioni dell’Italia in merito alla decisione di avvio, dal punto (87) al punto (94))"
Chunk 8: Overall=9/10 | Accuracy=9/10 | Completeness=9/10 | Fluency=10/10
The translation is accurate and fluent, but slightly incomplete as it omits the specific details of the INPS's response regarding the limitation of aid measures.
Chunk 12: Overall=9/10 | Accuracy=9/10 | Completeness=10/10 | Fluency=9/10
The translation is accurate, complete, and reads fluently as a legal document.
Chunk 15: Overall=9/10 | Accuracy=9/10 | Completeness=10/10 | Fluency=9/10
The translation accurately conveys the legal meaning and maintains completeness, with minor fluency issues."</t>
  </si>
  <si>
    <t>"Chunk 1: Overall=9/10 | Accuracy=9/10 | Completeness=10/10 | Fluency=9/10
The translation is accurate and complete, with minor fluency issues in legal phrasing.
Chunk 2: Overall=9/10 | Accuracy=9/10 | Completeness=10/10 | Fluency=9/10
The translation is accurate, complete, and reads fluently as a legal document.
Chunk 4: Overall=9/10 | Accuracy=9/10 | Completeness=10/10 | Fluency=9/10
The translation is accurate, complete, and reads fluently as a legal document.
Chunk 6: Overall=9/10 | Accuracy=9/10 | Completeness=10/10 | Fluency=9/10
The translation is accurate and complete, with minor fluency issues.
Chunk 7: Overall=9/10 | Accuracy=9/10 | Completeness=9/10 | Fluency=10/10
The translation is accurate and fluent, with a minor omission regarding state participation and private investors.
Omitted source text: La partecipazione statale non dovrà accompagnarsi al disimpegno degli investitori privati"</t>
  </si>
  <si>
    <t>"Chunk 1: Overall=9/10 | Accuracy=9/10 | Completeness=9/10 | Fluency=10/10
The translation is accurate and fluent, with minor omissions in the address section.
Omitted source text: S.E On. Franco FRATTINI Ministro degli Affari esteri P.le della Farnesina 1 I - 00194 Roma Commission européenne, B-1049 Bruxelles – Belgique Europese Commissie, B-1049 Brussel – België Telefono: 00-32-(0)2-299.11.11
Chunk 2: Overall=9/10 | Accuracy=9/10 | Completeness=10/10 | Fluency=9/10
The translation is accurate and complete, with minor fluency issues.
Chunk 3: Overall=9/10 | Accuracy=9/10 | Completeness=10/10 | Fluency=9/10
The translation is accurate and complete, with minor fluency issues in legal phrasing."</t>
  </si>
  <si>
    <t>"Chunk 1: Overall=9/10 | Accuracy=9/10 | Completeness=10/10 | Fluency=9/10
The translation is accurate and complete, with minor fluency issues in legal phrasing.
Chunk 2: Overall=9/10 | Accuracy=9/10 | Completeness=10/10 | Fluency=9/10
The translation is accurate, complete, and reads fluently as a legal document.
Chunk 3: Overall=10/10 | Accuracy=10/10 | Completeness=10/10 | Fluency=10/10
The translation accurately conveys the legal meaning, is complete, and reads fluently."</t>
  </si>
  <si>
    <t>"Chunk 1: Overall=9/10 | Accuracy=9/10 | Completeness=10/10 | Fluency=9/10
The translation is accurate, complete, and reads fluently as a legal document.
Chunk 4: Overall=9/10 | Accuracy=9/10 | Completeness=10/10 | Fluency=9/10
The translation is accurate and complete, with minor fluency issues.
Chunk 8: Overall=9/10 | Accuracy=9/10 | Completeness=10/10 | Fluency=9/10
The translation is accurate and complete, with minor fluency issues.
Chunk 11: Overall=9/10 | Accuracy=9/10 | Completeness=10/10 | Fluency=9/10
The translation is accurate, complete, and reads fluently as a legal document.
Chunk 14: Overall=9/10 | Accuracy=9/10 | Completeness=10/10 | Fluency=9/10
The translation is accurate and complete, with minor deviations in fluency that do not affect the legal meaning."</t>
  </si>
  <si>
    <t>"Chunk 1: Overall=9/10 | Accuracy=9/10 | Completeness=10/10 | Fluency=9/10
The translation is accurate and complete, with minor fluency issues.
Chunk 2: Overall=8/10 | Accuracy=8/10 | Completeness=7/10 | Fluency=9/10
The translation is mostly accurate and fluent but omits a key section on participatory loans.
Omitted source text: "base. Il prestito partecipativo non sarà in alcun caso a condizioni di mercato dal momento che c'è una limitazione del tasso di interesse applicato e che la natura del prestito (subordinato) lo rende più a rischio di un prestito ordinario."
Chunk 4: Overall=9/10 | Accuracy=9/10 | Completeness=10/10 | Fluency=9/10
The translation is accurate and complete, with minor fluency issues.
Chunk 5: Overall=9/10 | Accuracy=9/10 | Completeness=10/10 | Fluency=9/10
The translation is accurate, complete, and reads fluently as a legal document.
Chunk 6: Overall=9/10 | Accuracy=10/10 | Completeness=9/10 | Fluency=10/10
The translation is accurate and fluent, but omits the formal salutation.
Omitted source text: Voglia gradire, signor Ministro, i sensi della mia più alta considerazione."</t>
  </si>
  <si>
    <t>"Chunk 1: Overall=9/10 | Accuracy=9/10 | Completeness=10/10 | Fluency=9/10
The translation is accurate and complete, with minor fluency issues.
Chunk 4: Overall=9/10 | Accuracy=9/10 | Completeness=10/10 | Fluency=9/10
The translation is accurate and complete, with minor fluency issues in legal phrasing.
Chunk 8: Overall=9/10 | Accuracy=9/10 | Completeness=10/10 | Fluency=9/10
The translation is accurate and complete, with minor fluency issues in legal phrasing.
Chunk 11: Overall=9/10 | Accuracy=9/10 | Completeness=10/10 | Fluency=9/10
The translation is accurate, complete, and reads naturally as a legal document.
Chunk 14: Overall=10/10 | Accuracy=10/10 | Completeness=10/10 | Fluency=10/10
The translation accurately conveys the legal meaning, is complete, and reads fluently."</t>
  </si>
  <si>
    <t>"Chunk 1: Overall=9/10 | Accuracy=9/10 | Completeness=10/10 | Fluency=9/10
The translation is accurate and complete, with minor fluency issues in legal phrasing.
Chunk 2: Overall=9/10 | Accuracy=9/10 | Completeness=9/10 | Fluency=10/10
The translation is accurate and fluent, with minor omissions regarding future regulatory adjustments.
Omitted source text: "Le autorità italiane hanno comunicato che adotteranno le idonee misure per adeguare il regime alla nuova disciplina per gli aiuti di Stato alla ricerca e sviluppo, che dovrebbe entrare il vigore il 1º gennaio 2007."
Chunk 3: Overall=9/10 | Accuracy=9/10 | Completeness=9/10 | Fluency=10/10
The translation is highly accurate and fluent, with minor omissions in completeness.
Omitted source text: "le maggiorazioni soddisfano le condizioni dei punti 5.10.1 e 5.10.4;"
Chunk 4: Overall=9/10 | Accuracy=10/10 | Completeness=9/10 | Fluency=10/10
The translation is accurate and fluent, but omits the specific salutation to the Minister.
Omitted source text: Voglia gradire, signor Ministro, i sensi della mia più alta considerazione."</t>
  </si>
  <si>
    <t>"Chunk 1: Overall=9/10 | Accuracy=9/10 | Completeness=10/10 | Fluency=9/10
The translation is accurate, complete, and reads naturally, with minor deviations in phrasing that do not affect legal meaning.
Chunk 2: Overall=9/10 | Accuracy=9/10 | Completeness=10/10 | Fluency=9/10
The translation is accurate and complete, with minor fluency issues.
Chunk 3: Overall=9/10 | Accuracy=9/10 | Completeness=10/10 | Fluency=9/10
The translation is accurate and complete, with minor fluency issues in legal phrasing."</t>
  </si>
  <si>
    <t>"Chunk 1: Overall=9/10 | Accuracy=9/10 | Completeness=10/10 | Fluency=9/10
The translation is accurate and complete, with minor fluency issues.
Chunk 2: Overall=9/10 | Accuracy=9/10 | Completeness=10/10 | Fluency=9/10
The translation is accurate and complete, with minor fluency issues in legal phrasing.
Chunk 4: Overall=9/10 | Accuracy=9/10 | Completeness=10/10 | Fluency=9/10
The translation is accurate and complete, with minor fluency issues in legal phrasing.
Chunk 6: Overall=9/10 | Accuracy=9/10 | Completeness=10/10 | Fluency=9/10
The translation is accurate and complete, with minor fluency issues.
Chunk 7: Overall=9/10 | Accuracy=9/10 | Completeness=10/10 | Fluency=9/10
The translation is accurate and complete, with minor fluency issues in legal phrasing."</t>
  </si>
  <si>
    <t>AT.39168</t>
  </si>
  <si>
    <t>AT.39165</t>
  </si>
  <si>
    <t>Chunk 1: Overall=9/10 | Accuracy=9/10 | Completeness=10/10 | Fluency=9/10
The translation is accurate, complete, and reads fluently as a legal document.
Chunk 2: Overall=9/10 | Accuracy=9/10 | Completeness=10/10 | Fluency=9/10
The translation is accurate and complete, with minor fluency issues in legal phrasing.
Chunk 4: Overall=9/10 | Accuracy=9/10 | Completeness=10/10 | Fluency=9/10
The translation is accurate and complete, with minor fluency issues.
Chunk 6: Overall=9/10 | Accuracy=9/10 | Completeness=10/10 | Fluency=9/10
The translation is accurate, complete, and reads fluently as a legal document.
Chunk 7: Overall=9/10 | Accuracy=9/10 | Completeness=10/10 | Fluency=9/10
The translation is accurate and complete, with minor fluency issues in legal phrasing.</t>
  </si>
  <si>
    <t>AT.39181</t>
  </si>
  <si>
    <t>AT.38629</t>
  </si>
  <si>
    <t>AT.38240</t>
  </si>
  <si>
    <t>AT.38348</t>
  </si>
  <si>
    <t>AT.38866</t>
  </si>
  <si>
    <t>AT.39401</t>
  </si>
  <si>
    <t>AT.38543</t>
  </si>
  <si>
    <t>AT.37667</t>
  </si>
  <si>
    <t>AT.38121</t>
  </si>
  <si>
    <t>AT.39612</t>
  </si>
  <si>
    <t>Chunk  1: Overall=9/10 | Accuracy=10/10 | Completeness=9/10 | Fluency=10/10
         The translation is accurate and fluent, with no missing source text.
Chunk 12: Overall=9/10 | Accuracy=9/10 | Completeness=10/10 | Fluency=9/10
         The translation is accurate and complete, with minor fluency issues.
Chunk 24: Overall=9/10 | Accuracy=9/10 | Completeness=10/10 | Fluency=9/10
         The translation is accurate, complete, and reads fluently as a legal document.
Chunk 35: Overall=9/10 | Accuracy=9/10 | Completeness=9/10 | Fluency=10/10
         The translation is highly accurate and fluent, with minor omissions.
Chunk 46: Overall=10/10 | Accuracy=10/10 | Completeness=10/10 | Fluency=10/10
         The translation accurately and completely reflects the source text with professional fluency.</t>
  </si>
  <si>
    <t>AT.37533</t>
  </si>
  <si>
    <t>M.4734</t>
  </si>
  <si>
    <t>M.4980</t>
  </si>
  <si>
    <t>M.4919</t>
  </si>
  <si>
    <t>AT.39839</t>
  </si>
  <si>
    <t>AT.40735</t>
  </si>
  <si>
    <t>M.7297</t>
  </si>
  <si>
    <t>SA.49579</t>
  </si>
  <si>
    <t>SA.50872</t>
  </si>
  <si>
    <t>SA.32619</t>
  </si>
  <si>
    <t>SA.34998</t>
  </si>
  <si>
    <t>SA.50707</t>
  </si>
  <si>
    <t>Chunk  1: Overall=9/10 | Accuracy=9/10 | Completeness=9/10 | Fluency=10/10
         The translation is accurate and fluent, with minor omission of introductory phrase.
Chunk  5: Overall=9/10 | Accuracy=9/10 | Completeness=10/10 | Fluency=9/10
         The translation is accurate and complete, with minor fluency issues.
Chunk 10: Overall=9/10 | Accuracy=9/10 | Completeness=10/10 | Fluency=9/10
         The translation is accurate and complete, with minor fluency issues.
Chunk 14: Overall=9/10 | Accuracy=9/10 | Completeness=10/10 | Fluency=9/10
         The translation is accurate, complete, and reads fluently as a legal document.
Chunk 18: Overall=9/10 | Accuracy=9/10 | Completeness=10/10 | Fluency=9/10
         The translation is accurate and complete, with minor fluency issues.</t>
  </si>
  <si>
    <t>SA.22309</t>
  </si>
  <si>
    <t>SA.11619</t>
  </si>
  <si>
    <t>M.8652</t>
  </si>
  <si>
    <t>SA.18042</t>
  </si>
  <si>
    <t>SA.54155</t>
  </si>
  <si>
    <t>M.4197</t>
  </si>
  <si>
    <t>SA.20828</t>
  </si>
  <si>
    <t>SA.21419</t>
  </si>
  <si>
    <t>SA.29148</t>
  </si>
  <si>
    <t>SA.37977</t>
  </si>
  <si>
    <t>M.4685</t>
  </si>
  <si>
    <t>SA.28599</t>
  </si>
  <si>
    <t>SA.33754</t>
  </si>
  <si>
    <t>SA.29769</t>
  </si>
  <si>
    <t>SA.36559</t>
  </si>
  <si>
    <t>SA.21817</t>
  </si>
  <si>
    <t>Chunk  1: Overall=9/10 | Accuracy=9/10 | Completeness=10/10 | Fluency=9/10
         The translation is accurate and complete, with minor fluency issues.
Chunk  9: Overall=9/10 | Accuracy=9/10 | Completeness=10/10 | Fluency=9/10
         The translation is accurate and complete, with minor fluency issues.
Chunk 18: Overall=9/10 | Accuracy=9/10 | Completeness=10/10 | Fluency=9/10
         The translation is accurate and complete, with minor fluency issues.
Chunk 27: Overall=9/10 | Accuracy=9/10 | Completeness=10/10 | Fluency=9/10
         The translation is accurate, complete, and reads fluently as a legal document.
Chunk 35: Overall=9/10 | Accuracy=9/10 | Completeness=10/10 | Fluency=9/10
         The translation is accurate, complete, and reads fluently as a legal document.</t>
  </si>
  <si>
    <t>SA.21693</t>
  </si>
  <si>
    <t>SA.37185</t>
  </si>
  <si>
    <t>SA.28356</t>
  </si>
  <si>
    <t>SA.35818</t>
  </si>
  <si>
    <t>SA.36387</t>
  </si>
  <si>
    <t>SA.34001</t>
  </si>
  <si>
    <t>SA.22668</t>
  </si>
  <si>
    <t>SA.27408</t>
  </si>
  <si>
    <t>SA.35550</t>
  </si>
  <si>
    <t>SA.21233</t>
  </si>
  <si>
    <t>M.2434</t>
  </si>
  <si>
    <t>AT.38784</t>
  </si>
  <si>
    <t>SA.19312</t>
  </si>
  <si>
    <t>M.7421</t>
  </si>
  <si>
    <t>AT.38698</t>
  </si>
  <si>
    <t>AT.38238</t>
  </si>
  <si>
    <t>AT.40490</t>
  </si>
  <si>
    <t>AT.40324</t>
  </si>
  <si>
    <t>AT.38710</t>
  </si>
  <si>
    <t>AT.37857</t>
  </si>
  <si>
    <t>AT.40023</t>
  </si>
  <si>
    <t>AT.40182</t>
  </si>
  <si>
    <t>AT.39116</t>
  </si>
  <si>
    <t>Chunk  1: Overall=9/10 | Accuracy=9/10 | Completeness=10/10 | Fluency=9/10
         The translation is accurate and complete, with minor fluency issues.
Chunk  6: Overall=9/10 | Accuracy=9/10 | Completeness=10/10 | Fluency=9/10
         The translation is accurate, complete, and reads fluently as a legal document.
Chunk 11: Overall=9/10 | Accuracy=9/10 | Completeness=10/10 | Fluency=9/10
         The translation is accurate and complete, with minor fluency issues.
Chunk 16: Overall=9/10 | Accuracy=9/10 | Completeness=10/10 | Fluency=9/10
         The translation is accurate and complete, with minor fluency issues.
Chunk 20: Overall=9/10 | Accuracy=9/10 | Completeness=10/10 | Fluency=9/10
         The translation is accurate and complete, with minor fluency issues.</t>
  </si>
  <si>
    <t>AT.39563</t>
  </si>
  <si>
    <t>AT.39780</t>
  </si>
  <si>
    <t>AT.40462</t>
  </si>
  <si>
    <t>AT.38432</t>
  </si>
  <si>
    <t>AT.40577</t>
  </si>
  <si>
    <t>AT.39740</t>
  </si>
  <si>
    <t>Chunk  1: Overall=9/10 | Accuracy=9/10 | Completeness=10/10 | Fluency=9/10
         The translation is accurate, complete, and reads fluently as a legal document.
Chunk  2: Overall=10/10 | Accuracy=10/10 | Completeness=10/10 | Fluency=10/10
         The translation accurately and completely conveys the legal meaning and reads fluently as a professional legal document.</t>
  </si>
  <si>
    <t>Chunk  1: Overall=9/10 | Accuracy=9/10 | Completeness=10/10 | Fluency=9/10
         The translation is accurate, complete, and reads naturally as a legal document.
Chunk  7: Overall=9/10 | Accuracy=9/10 | Completeness=10/10 | Fluency=9/10
         The translation is accurate and complete, with minor fluency issues.
Chunk 14: Overall=9/10 | Accuracy=9/10 | Completeness=10/10 | Fluency=9/10
         The translation is accurate and complete, with minor fluency issues.
Chunk 21: Overall=9/10 | Accuracy=9/10 | Completeness=10/10 | Fluency=9/10
         The translation is accurate and complete, with minor fluency issues.
Chunk 27: Overall=10/10 | Accuracy=10/10 | Completeness=10/10 | Fluency=10/10
         The translation accurately and completely conveys the legal meaning of the source text with natural fluency.</t>
  </si>
  <si>
    <t>Chunk  1: Overall=9/10 | Accuracy=9/10 | Completeness=10/10 | Fluency=9/10
         The translation is accurate, complete, and reads naturally as a legal document.
Chunk 12: Overall=9/10 | Accuracy=9/10 | Completeness=10/10 | Fluency=9/10
         The translation is accurate and complete, with minor fluency issues.
Chunk 24: Overall=9/10 | Accuracy=9/10 | Completeness=9/10 | Fluency=10/10
         Translation is highly accurate and fluent, with minor omissions in redacted sections.
Chunk 35: Overall=9/10 | Accuracy=9/10 | Completeness=10/10 | Fluency=9/10
         The translation is accurate and complete, with minor fluency issues.
Chunk 46: Overall=10/10 | Accuracy=10/10 | Completeness=10/10 | Fluency=10/10
         The translation accurately and completely reflects the source text with natural fluency.</t>
  </si>
  <si>
    <t>AT.40528</t>
  </si>
  <si>
    <t>AT.40642</t>
  </si>
  <si>
    <t>AT.39686</t>
  </si>
  <si>
    <t>Chunk  1: Overall=9/10 | Accuracy=9/10 | Completeness=10/10 | Fluency=9/10
         The translation is accurate and complete, with minor fluency issues.
Chunk 13: Overall=9/10 | Accuracy=9/10 | Completeness=10/10 | Fluency=9/10
         The translation is accurate, complete, and reads fluently as a legal document.
Chunk 25: Overall=9/10 | Accuracy=9/10 | Completeness=10/10 | Fluency=9/10
         The translation is accurate and complete, with minor fluency issues.
Chunk 37: Overall=9/10 | Accuracy=9/10 | Completeness=10/10 | Fluency=9/10
         The translation is accurate and complete, with minor fluency issues.
Chunk 49: Overall=10/10 | Accuracy=10/10 | Completeness=10/10 | Fluency=10/10
         The translation is accurate, complete, and reads fluently as a legal document.</t>
  </si>
  <si>
    <t>AT.40881</t>
  </si>
  <si>
    <t>AT.39396</t>
  </si>
  <si>
    <t>AT.39596</t>
  </si>
  <si>
    <t>M.5675</t>
  </si>
  <si>
    <t>Chunk  1: Overall=10/10 | Accuracy=10/10 | Completeness=10/10 | Fluency=10/10
         The translation accurately reflects the source text with no omissions and reads fluently.
Chunk 14: Overall=9/10 | Accuracy=9/10 | Completeness=10/10 | Fluency=9/10
         The translation is accurate and complete, with minor fluency issues.
Chunk 28: Overall=9/10 | Accuracy=9/10 | Completeness=10/10 | Fluency=9/10
         The translation is accurate and complete, with minor fluency issues.
Chunk 41: Overall=9/10 | Accuracy=9/10 | Completeness=10/10 | Fluency=9/10
         The translation is accurate and complete, with minor fluency issues.
Chunk 54: Overall=7/10 | Accuracy=8/10 | Completeness=5/10 | Fluency=9/10
         The translation omits specific section references from the source text.</t>
  </si>
  <si>
    <t>AT.39226</t>
  </si>
  <si>
    <t>AT.40422</t>
  </si>
  <si>
    <t>AT.39437</t>
  </si>
  <si>
    <t>AT.38443</t>
  </si>
  <si>
    <t>AT.38589</t>
  </si>
  <si>
    <t>M.2706</t>
  </si>
  <si>
    <t>AT.37990</t>
  </si>
  <si>
    <t>AT.38113</t>
  </si>
  <si>
    <t>AT.40512</t>
  </si>
  <si>
    <t>AT.39985</t>
  </si>
  <si>
    <t>AT.38899</t>
  </si>
  <si>
    <t>AT.39824</t>
  </si>
  <si>
    <t>AT.39685</t>
  </si>
  <si>
    <t>Chunk  1: Overall=9/10 | Accuracy=9/10 | Completeness=9/10 | Fluency=10/10
         The translation is accurate, complete, and reads fluently as a legal document.</t>
  </si>
  <si>
    <t>Chunk 1: Overall=9/10 | Accuracy=9/10 | Completeness=10/10 | Fluency=9/10
The translation is accurate, complete, and reads naturally, with minor deviations in wording that do not affect legal meaning.</t>
  </si>
  <si>
    <t>Chunk 1: Overall=9/10 | Accuracy=9/10 | Completeness=9/10 | Fluency=10/10
The translation is accurate and fluent, but omits a specific detail about the Advisory Committee's opinion.
Omitted source text: "El Comité Consultivo sobre Prácticas Restrictivas y Posiciones Dominantes emitió un dictamen favorable el 25 de septiembre de 2017"</t>
  </si>
  <si>
    <t>Chunk 1: Overall=9/10 | Accuracy=9/10 | Completeness=10/10 | Fluency=9/10
The translation is accurate and complete, with minor fluency issues.
Chunk 2: Overall=10/10 | Accuracy=10/10 | Completeness=10/10 | Fluency=10/10
The translation accurately conveys the legal meaning, includes all source text, and reads fluently as a professional legal document.</t>
  </si>
  <si>
    <t>Chunk 1: Overall=9/10 | Accuracy=9/10 | Completeness=10/10 | Fluency=9/10
The translation is accurate and complete, with minor deviations in fluency.</t>
  </si>
  <si>
    <t>Chunk 1: Overall=9/10 | Accuracy=9/10 | Completeness=10/10 | Fluency=9/10
The translation is accurate and complete, with minor fluency issues.
Chunk 2: Overall=9/10 | Accuracy=9/10 | Completeness=10/10 | Fluency=9/10
The translation is accurate and complete, with minor fluency issues in legal phrasing.</t>
  </si>
  <si>
    <t>Chunk 1: Overall=9/10 | Accuracy=9/10 | Completeness=10/10 | Fluency=9/10
The translation is accurate and complete, with minor fluency issues in legal phrasing.
Chunk 2: Overall=9/10 | Accuracy=9/10 | Completeness=9/10 | Fluency=10/10
The translation is accurate and fluent, but one sentence regarding the severity of the infringement is missing.
Omitted source text: "31. En cuanto a la gravedad de la infracción, la Comisión concluye que se trata de una infracción grave."</t>
  </si>
  <si>
    <t>Chunk 1: Overall=9/10 | Accuracy=9/10 | Completeness=10/10 | Fluency=9/10
The translation is accurate and complete, with minor fluency issues.
Chunk 2: Overall=9/10 | Accuracy=9/10 | Completeness=9/10 | Fluency=10/10
The translation is accurate and fluent, but omits a specific detail regarding Intel's payments to Lenovo.
Omitted source text: — pagos de Intel a Lenovo condicionados a que Lenovo retrasara el lanzamiento de un portátil con procesador AMD de junio de 2006 a finales de 2006;</t>
  </si>
  <si>
    <t>Chunk 1: Overall=9/10 | Accuracy=9/10 | Completeness=10/10 | Fluency=9/10
The translation is accurate and complete, with minor fluency issues in legal phrasing.
Chunk 6: Overall=9/10 | Accuracy=9/10 | Completeness=9/10 | Fluency=10/10
The translation is accurate and fluent, with a minor omission in the last sentence.
Omitted source text: "En realidad, cuando la Comisión publicó el pliego de cargos, opinaba que, en principio, existía un mercado"
Chunk 12: Overall=9/10 | Accuracy=9/10 | Completeness=10/10 | Fluency=9/10
The translation is accurate and complete, with minor fluency issues.
Chunk 17: Overall=9/10 | Accuracy=9/10 | Completeness=10/10 | Fluency=9/10
The translation is accurate and complete, with minor fluency issues.
Chunk 22: Overall=9/10 | Accuracy=9/10 | Completeness=10/10 | Fluency=9/10
The translation is accurate and complete, with minor fluency issues.</t>
  </si>
  <si>
    <t>Chunk 1: Overall=9/10 | Accuracy=9/10 | Completeness=10/10 | Fluency=9/10
The translation is accurate and complete, with minor fluency issues.
Chunk 2: Overall=9/10 | Accuracy=10/10 | Completeness=9/10 | Fluency=10/10
The translation is accurate and fluent, but item 37) omits "jointly and severally."
Omitted source text: "conjunta y solidariamente" for item 37)</t>
  </si>
  <si>
    <t>Chunk 1: Overall=10/10 | Accuracy=10/10 | Completeness=10/10 | Fluency=10/10
The translation accurately and completely conveys the legal meaning and reads fluently as a professional legal document.
Chunk 9: Overall=9/10 | Accuracy=9/10 | Completeness=10/10 | Fluency=9/10
The translation is accurate and complete, with minor fluency issues.
Chunk 18: Overall=9/10 | Accuracy=9/10 | Completeness=10/10 | Fluency=9/10
The translation is accurate and complete, with minor fluency issues.
Chunk 27: Overall=9/10 | Accuracy=9/10 | Completeness=10/10 | Fluency=9/10
The translation is accurate, complete, and reads fluently, with minor deviations in phrasing that do not affect legal meaning.
Chunk 35: Overall=9/10 | Accuracy=9/10 | Completeness=10/10 | Fluency=9/10
The translation is accurate and complete, with minor fluency issues in legal phrasing.</t>
  </si>
  <si>
    <t>Chunk 1: Overall=9/10 | Accuracy=9/10 | Completeness=10/10 | Fluency=9/10
The translation is accurate, complete, and reads fluently as a legal document.
Chunk 2: Overall=9/10 | Accuracy=9/10 | Completeness=10/10 | Fluency=9/10
The translation is accurate, complete, and reads fluently, with minor deviations in wording that do not affect legal meaning.</t>
  </si>
  <si>
    <t>Chunk 1: Overall=9/10 | Accuracy=9/10 | Completeness=10/10 | Fluency=9/10
The translation is accurate and complete, with minor fluency issues.
Chunk 2: Overall=10/10 | Accuracy=10/10 | Completeness=10/10 | Fluency=10/10
The translation accurately and completely conveys the legal content with natural fluency.</t>
  </si>
  <si>
    <t>9.666666666666666</t>
  </si>
  <si>
    <t>9.333333333333334</t>
  </si>
  <si>
    <t>Chunk 1: Overall=9/10 | Accuracy=9/10 | Completeness=10/10 | Fluency=9/10
The translation is accurate and complete, with minor fluency issues in legal phrasing.
Chunk 2: Overall=9/10 | Accuracy=9/10 | Completeness=9/10 | Fluency=10/10
The translation is accurate and fluent, with a minor omission in the completeness.
Omitted source text: "en lo referente a las posibles medidas correctivas, pero también, en determinados casos, a los esfuerzos de"
Chunk 3: Overall=9/10 | Accuracy=9/10 | Completeness=10/10 | Fluency=9/10
The translation is accurate and complete, with minor fluency issues in legal phrasing.</t>
  </si>
  <si>
    <t>Chunk 1: Overall=9/10 | Accuracy=9/10 | Completeness=9/10 | Fluency=10/10
The translation is accurate and fluent, but omits details about competitive barriers.
Omitted source text: En esas rutas, la posición de las partes era particularmente fuerte y había grandes obstáculos a la entrada o expansión: en particular, escasez de franjas horarias en horas punta en los aeropuertos londinenses de Heathrow/Gatwick y neoyorquinos de Newark/JFK, ventaja de las frecuencias de las partes, acceso limitado al tráfico de conexión y la fortaleza de las partes en cuanto a los programas de fidelidad, contratos de sociedad y mercadotecnia.</t>
  </si>
  <si>
    <t>Chunk 1: Overall=9/10 | Accuracy=9/10 | Completeness=10/10 | Fluency=9/10
The translation is accurate and complete, with minor fluency issues in legal phrasing.</t>
  </si>
  <si>
    <t>Chunk 1: Overall=9/10 | Accuracy=9/10 | Completeness=9/10 | Fluency=10/10
The translation is accurate and fluent, but a small portion of the source text is missing.
Omitted source text: "El 14 de octubre de 2025, la Comisión adoptó una Decisión relativa a un procedimiento en virtud del artículo 101 del Tratado de Funcionamiento de la Unión Europea y del artículo 53, apartado 1, del Acuerdo EEE. De acuerdo con las disposiciones del artículo 30 del Reglamento (CE) n.o1/2003 del Consejo(1), la Comisión publica a continuación los nombres de las partes y el contenido principal de la Decisión, incluidas las sanciones impuestas, teniendo en cuenta el interés legítimo de las empresas por que no se revelen sus secretos comerciales."</t>
  </si>
  <si>
    <t>AT.39792</t>
  </si>
  <si>
    <t>Chunk 1: Overall=9/10 | Accuracy=9/10 | Completeness=10/10 | Fluency=9/10
The translation is accurate and complete, with minor fluency issues.
Chunk 2: Overall=10/10 | Accuracy=10/10 | Completeness=10/10 | Fluency=10/10
The translation accurately conveys the legal meaning, is complete, and reads fluently.</t>
  </si>
  <si>
    <t>Chunk 1: Overall=9/10 | Accuracy=9/10 | Completeness=10/10 | Fluency=9/10
The translation is accurate and complete, with minor fluency issues.</t>
  </si>
  <si>
    <t>Chunk 1: Overall=9/10 | Accuracy=9/10 | Completeness=9/10 | Fluency=10/10
The translation is accurate and fluent, but it omits specific details about the main buyers and market share of video tapes.
Omitted source text: "Las cadenas de televisión y los productores independientes de programas de televisión y de cortos publicitarios son los principales compradores de cintas de vídeo para uso profesional. La decisión sólo afecta a los dos formatos profesionales más populares de cintas de vídeo en el momento de la infracción: Betacam SP y Digital Betacam, que juntos representaban en 2001 el 77 % de todas las ventas de cintas de vídeo para uso profesional en el EEE."</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</si>
  <si>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in legal phrasing.</t>
  </si>
  <si>
    <t>AT.40703</t>
  </si>
  <si>
    <t>Chunk 1: Overall=9/10 | Accuracy=9/10 | Completeness=10/10 | Fluency=9/10
The translation is accurate and complete, with minor fluency issues in legal terminology.</t>
  </si>
  <si>
    <t>Chunk 1: Overall=10/10 | Accuracy=10/10 | Completeness=10/10 | Fluency=10/10
The translation accurately conveys the legal meaning, includes all source text, and reads fluently as a professional legal document.</t>
  </si>
  <si>
    <t>Chunk 1: Overall=10/10 | Accuracy=10/10 | Completeness=10/10 | Fluency=10/10
The translation accurately and completely conveys the legal content and reads fluently as a professional legal document.</t>
  </si>
  <si>
    <t>Chunk 1: Overall=10/10 | Accuracy=10/10 | Completeness=10/10 | Fluency=10/10
The translation accurately and completely reflects the source text with professional fluency.
Chunk 11: Overall=9/10 | Accuracy=9/10 | Completeness=10/10 | Fluency=9/10
The translation is accurate and complete, with minor fluency issues in legal phrasing.
Chunk 21: Overall=9/10 | Accuracy=9/10 | Completeness=9/10 | Fluency=10/10
The translation is accurate and fluent, with minor omissions affecting completeness.
Omitted source text: "PC no actuó en modo alguno en nombre de Perorsa ni negoció contratos en su nombre."
Chunk 31: Overall=9/10 | Accuracy=9/10 | Completeness=10/10 | Fluency=9/10
The translation is accurate and complete, with minor fluency issues.
Chunk 40: Overall=9/10 | Accuracy=9/10 | Completeness=10/10 | Fluency=9/10
The translation is accurate and complete, with minor fluency issues in legal phrasing.</t>
  </si>
  <si>
    <t>Chunk 1: Overall=9/10 | Accuracy=10/10 | Completeness=9/10 | Fluency=10/10
The translation is accurate and fluent, but the specific phrase about the authenticity of the texts is missing.
Omitted source text: "LOS TEXTOS EN LENGUAS INGLESA Y ESPAÑOLA SON LOS ÚNICOS AUTÉNTICOS"
Chunk 13: Overall=9/10 | Accuracy=9/10 | Completeness=10/10 | Fluency=9/10
The translation is accurate and complete, with minor fluency issues.
Chunk 25: Overall=9/10 | Accuracy=9/10 | Completeness=10/10 | Fluency=9/10
The translation is accurate and complete, with minor fluency issues.
Chunk 37: Overall=9/10 | Accuracy=9/10 | Completeness=10/10 | Fluency=9/10
The translation is accurate and complete, with minor fluency issues.
Chunk 48: Overall=10/10 | Accuracy=10/10 | Completeness=10/10 | Fluency=10/10
The translation is accurate, complete, and reads fluently as a professional legal document.</t>
  </si>
  <si>
    <t>Chunk 1: Overall=9/10 | Accuracy=9/10 | Completeness=10/10 | Fluency=9/10
The translation is accurate and complete, with minor fluency issues.
Chunk 2: Overall=9/10 | Accuracy=9/10 | Completeness=10/10 | Fluency=9/10
The translation is accurate and complete, with minor fluency issues in legal phrasing.
Chunk 4: Overall=9/10 | Accuracy=9/10 | Completeness=10/10 | Fluency=9/10
The translation is accurate and complete, with minor fluency issues.
Chunk 6: Overall=9/10 | Accuracy=9/10 | Completeness=10/10 | Fluency=9/10
The translation is accurate and complete, with minor fluency issues in legal phrasing.
Chunk 7: Overall=9/10 | Accuracy=9/10 | Completeness=10/10 | Fluency=9/10
The translation is accurate and complete, with minor fluency issues.</t>
  </si>
  <si>
    <t>Chunk 1: Overall=9/10 | Accuracy=9/10 | Completeness=10/10 | Fluency=9/10
The translation is accurate and complete, with minor fluency issues in legal phrasing.
Chunk 2: Overall=9/10 | Accuracy=10/10 | Completeness=9/10 | Fluency=10/10
The translation is accurate and fluent, with a minor omission in the omitted_text field.
Omitted source text: No existe texto omitido.</t>
  </si>
  <si>
    <t>Chunk 1: Overall=9/10 | Accuracy=9/10 | Completeness=10/10 | Fluency=9/10
The translation is accurate, complete, and reads fluently, with minor deviations in wording that do not affect legal meaning.
Chunk 2: Overall=9/10 | Accuracy=9/10 | Completeness=10/10 | Fluency=9/10
The translation accurately conveys the legal meaning and is complete, with minor fluency issues.</t>
  </si>
  <si>
    <t>Chunk 1: Overall=9/10 | Accuracy=9/10 | Completeness=10/10 | Fluency=9/10
The translation is accurate and complete, with minor fluency issues in legal phrasing.
Chunk 22: Overall=9/10 | Accuracy=9/10 | Completeness=10/10 | Fluency=9/10
The translation is accurate and complete, with minor fluency issues in legal phrasing.
Chunk 44: Overall=9/10 | Accuracy=9/10 | Completeness=10/10 | Fluency=9/10
The translation is accurate and complete, with minor fluency issues in legal phrasing.
Chunk 65: Overall=9/10 | Accuracy=9/10 | Completeness=10/10 | Fluency=9/10
The translation is accurate and complete, with minor fluency issues in legal phrasing.
Chunk 86: Overall=10/10 | Accuracy=10/10 | Completeness=10/10 | Fluency=10/10
The translation accurately and completely conveys the legal meaning and reads fluently as a professional legal document.</t>
  </si>
  <si>
    <t>Chunk 1: Overall=9/10 | Accuracy=9/10 | Completeness=9/10 | Fluency=10/10
The translation is accurate and fluent, but the word "bienes" is omitted.
Omitted source text: "bienes"
Chunk 5: Overall=9/10 | Accuracy=9/10 | Completeness=9/10 | Fluency=10/10
The translation is accurate and fluent, with a minor omission affecting completeness.
Omitted source text: "Habida cuenta de que, por lo general, los precios se fijan con"
Chunk 9: Overall=9/10 | Accuracy=9/10 | Completeness=9/10 | Fluency=10/10
The translation is highly accurate and fluent, with only a minor omission of the repeated disclaimer.
Omitted source text: "El presente texto sólo tiene carácter informativo y no constituye una publicación oficial."
Chunk 13: Overall=9/10 | Accuracy=9/10 | Completeness=9/10 | Fluency=10/10
The translation is accurate and fluent, with minor omissions of repeated informational text.
Omitted source text: "El presente texto sólo tiene carácter informativo y no constituye una publicación oficial."
Chunk 17: Overall=9/10 | Accuracy=9/10 | Completeness=10/10 | Fluency=9/10
The translation is accurate and complete, with minor fluency issues in legal phrasing.</t>
  </si>
  <si>
    <t>Chunk 1: Overall=9/10 | Accuracy=9/10 | Completeness=10/10 | Fluency=9/10
The translation is accurate and complete, with minor fluency issues in legal phrasing.
Chunk 6: Overall=9/10 | Accuracy=9/10 | Completeness=10/10 | Fluency=9/10
The translation is accurate and complete, with minor fluency issues.
Chunk 12: Overall=9/10 | Accuracy=9/10 | Completeness=10/10 | Fluency=9/10
The translation is accurate and complete, with minor fluency issues.
Chunk 17: Overall=9/10 | Accuracy=9/10 | Completeness=10/10 | Fluency=9/10
The translation is accurate and complete, with minor fluency issues.
Chunk 22: Overall=9/10 | Accuracy=9/10 | Completeness=10/10 | Fluency=9/10
The translation is accurate, complete, and reads fluently as a legal document.</t>
  </si>
  <si>
    <t>Chunk 1: Overall=9/10 | Accuracy=9/10 | Completeness=10/10 | Fluency=9/10
The translation is accurate and complete, with minor fluency issues.
Chunk 5: Overall=9/10 | Accuracy=9/10 | Completeness=10/10 | Fluency=9/10
The translation is accurate and complete, with minor fluency issues.
Chunk 10: Overall=9/10 | Accuracy=9/10 | Completeness=10/10 | Fluency=9/10
The translation is accurate and complete, with minor fluency issues.
Chunk 14: Overall=9/10 | Accuracy=9/10 | Completeness=9/10 | Fluency=10/10
The translation is accurate and fluent, but a small portion of text is missing.
Omitted source text: las adquisiciones indirectas de participaciones de sociedades no residentes que se derivan de
Chunk 18: Overall=10/10 | Accuracy=10/10 | Completeness=10/10 | Fluency=10/10
The translation accurately and completely conveys the legal meaning and reads fluently as a professional legal document.</t>
  </si>
  <si>
    <t>Chunk 1: Overall=9/10 | Accuracy=9/10 | Completeness=10/10 | Fluency=9/10
The translation is accurate and complete, with minor deviations in fluency that do not affect the legal meaning.
Chunk 5: Overall=9/10 | Accuracy=9/10 | Completeness=10/10 | Fluency=9/10
The translation is accurate and complete, with minor fluency issues.
Chunk 9: Overall=9/10 | Accuracy=9/10 | Completeness=9/10 | Fluency=10/10
The translation is accurate and fluent, but a specific section regarding Radiodifusión's potential involvement and lack of contact was omitted.
Omitted source text: "Puesto que un operador local como Radiodifusión emitía la señal de radiodifusores nacionales, podría haber solicitado las subvenciones regionales. Sin embargo, no se previó una licitación que invitara a los operadores potencialmente interesados a presentar sus ofertas. Por el contrario, correspondía a las autoridades regionales tomar la iniciativa, localizar los centros emisores que transmitían la señal de radiodifusores nacionales y ofrecerles apoyo para la digitalización. A este respecto, Radiodifusión ha aducido que, aún cuando retransmitía la señal de televisión, nunca fue contactado por la Administración Pública para discutir la posible financiación de la digitalización de su red."
Chunk 13: Overall=9/10 | Accuracy=9/10 | Completeness=10/10 | Fluency=9/10
The translation is accurate, complete, and reads fluently, with minor deviations in phrasing that do not affect the legal meaning.
Chunk 16: Overall=9/10 | Accuracy=9/10 | Completeness=10/10 | Fluency=9/10
The translation accurately conveys the legal meaning and is complete, with minor fluency issues.</t>
  </si>
  <si>
    <t>0.025835699999999996</t>
  </si>
  <si>
    <t>Chunk 1: Overall=9/10 | Accuracy=9/10 | Completeness=10/10 | Fluency=9/10
The translation is accurate and complete, with minor fluency issues.
Chunk 6: Overall=9/10 | Accuracy=9/10 | Completeness=10/10 | Fluency=9/10
The translation is accurate and complete, with minor fluency issues in legal phrasing.
Chunk 11: Overall=10/10 | Accuracy=10/10 | Completeness=10/10 | Fluency=10/10
The translation accurately and completely conveys the legal meaning of the source text with natural fluency.
Chunk 16: Overall=9/10 | Accuracy=9/10 | Completeness=10/10 | Fluency=9/10
The translation is accurate, complete, and reads fluently as a legal document.
Chunk 20: Overall=9/10 | Accuracy=9/10 | Completeness=10/10 | Fluency=9/10
The translation is accurate and complete, with minor fluency issues.</t>
  </si>
  <si>
    <t>0.023271749999999997</t>
  </si>
  <si>
    <t>Chunk 1: Overall=9/10 | Accuracy=9/10 | Completeness=10/10 | Fluency=9/10
The translation is accurate and complete, with minor fluency issues.
Chunk 4: Overall=9/10 | Accuracy=9/10 | Completeness=10/10 | Fluency=9/10
The translation is accurate and complete, with minor fluency issues.
Chunk 8: Overall=9/10 | Accuracy=9/10 | Completeness=10/10 | Fluency=9/10
The translation is accurate, complete, and reads fluently as a legal document.
Chunk 12: Overall=9/10 | Accuracy=9/10 | Completeness=10/10 | Fluency=9/10
The translation is accurate and complete, with minor fluency issues.
Chunk 15: Overall=9/10 | Accuracy=9/10 | Completeness=10/10 | Fluency=9/10
The translation is accurate and complete, with minor deviations in fluency that do not affect legal meaning.</t>
  </si>
  <si>
    <t>Chunk 1: Overall=9/10 | Accuracy=9/10 | Completeness=10/10 | Fluency=9/10
The translation is accurate and complete, with minor fluency issues in legal phrasing.
Chunk 4: Overall=9/10 | Accuracy=9/10 | Completeness=10/10 | Fluency=9/10
The translation is accurate and complete, with minor fluency issues in legal phrasing.
Chunk 8: Overall=9/10 | Accuracy=9/10 | Completeness=9/10 | Fluency=10/10
The translation is accurate and fluent, with a minor omission affecting completeness.
Omitted source text: "por lo que no resulta pertinente para la evaluación de la situación financiera del Valencia CF en 2009."
Chunk 11: Overall=9/10 | Accuracy=9/10 | Completeness=10/10 | Fluency=9/10
The translation is accurate and complete, with minor fluency issues.
Chunk 14: Overall=10/10 | Accuracy=10/10 | Completeness=10/10 | Fluency=10/10
The translation accurately and completely conveys the legal meaning and reads fluently as a professional legal document.</t>
  </si>
  <si>
    <t>Chunk 1: Overall=9/10 | Accuracy=9/10 | Completeness=10/10 | Fluency=9/10
The translation is accurate and complete, with minor fluency issues in legal phrasing.
Chunk 4: Overall=9/10 | Accuracy=9/10 | Completeness=10/10 | Fluency=9/10
The translation is accurate and complete, with minor fluency issues.
Chunk 7: Overall=9/10 | Accuracy=9/10 | Completeness=9/10 | Fluency=10/10
The translation is accurate and fluent, but a specific section regarding Article 102 of Law 39/2015 is omitted.
Omitted source text: "En primer lugar, con arreglo al artículo 102 de la Ley 39/2015, el Estado puede proceder a la ejecución subsidiaria en lugar del sujeto legalmente obligado a adoptar dichas medidas19. España tendría que: i) instar a Iberpotash a adoptar medidas específicamente definidas; ii) informar a Iberpotash de que en caso contrario la Administración adoptará por sí misma tales medidas, así como del correspondiente coste; iii) ejecutar dichas medidas; y iv) intentar recuperar el coste de Iberpotash, lo que, por definición, no será posible si España debe ejecutar una garantía financiera insuficiente. Si bien esta decisión es formalmente facultativa, en el caso de que Iberpotash no cumpliese su obligación de restaurar sus yacimientos, España no tendría más opción que pagar por adelantado dicha restauración, puesto que de otro modo no podría cumplir sus obligaciones."
Chunk 10: Overall=9/10 | Accuracy=9/10 | Completeness=9/10 | Fluency=10/10
The translation is accurate and fluent, with minor omissions in legal references.
Chunk 13: Overall=10/10 | Accuracy=10/10 | Completeness=10/10 | Fluency=10/10
The translation is accurate, complete, and reads fluently as a legal document.</t>
  </si>
  <si>
    <t>Chunk 1: Overall=9/10 | Accuracy=9/10 | Completeness=10/10 | Fluency=9/10
The translation is accurate and complete, with minor fluency issues.
Chunk 4: Overall=9/10 | Accuracy=9/10 | Completeness=10/10 | Fluency=9/10
The translation is accurate, complete, and reads fluently as a legal document.
Chunk 7: Overall=9/10 | Accuracy=9/10 | Completeness=10/10 | Fluency=9/10
The translation is accurate, complete, and reads fluently as a legal document.
Chunk 10: Overall=9/10 | Accuracy=9/10 | Completeness=9/10 | Fluency=10/10
The translation is mostly accurate and fluent, but a small section of text is missing.
Omitted source text: "no hayan comenzado antes de la presentación de la solicitud, no se puede considerar que la ayuda tenga un efecto incentivador. En este caso, dado que la ayuda incluida en el Convenio sobre suelos no se concedió sobre la base de una solicitud de ayuda anterior, se concluye que no se cumple este requisito."
Chunk 13: Overall=9/10 | Accuracy=9/10 | Completeness=10/10 | Fluency=9/10
The translation is accurate and complete, with minor fluency issues in legal phrasing.</t>
  </si>
  <si>
    <t>Chunk 1: Overall=9/10 | Accuracy=9/10 | Completeness=10/10 | Fluency=9/10
The translation accurately conveys the legal meaning and terminology, with no omissions, and reads fluently as a legal document.
Chunk 4: Overall=9/10 | Accuracy=9/10 | Completeness=10/10 | Fluency=9/10
The translation is accurate and complete, with minor fluency issues in legal phrasing.
Chunk 8: Overall=10/10 | Accuracy=10/10 | Completeness=10/10 | Fluency=10/10
The translation is accurate, complete, and reads fluently as a professional legal document.
Chunk 12: Overall=9/10 | Accuracy=9/10 | Completeness=10/10 | Fluency=9/10
The translation is accurate, complete, and reads fluently, with minor discrepancies in legal terminology.
Chunk 15: Overall=10/10 | Accuracy=10/10 | Completeness=10/10 | Fluency=10/10
The translation accurately and completely conveys the legal meaning of the source text with natural fluency.</t>
  </si>
  <si>
    <t>Chunk 1: Overall=9/10 | Accuracy=9/10 | Completeness=10/10 | Fluency=9/10
The translation is accurate and complete, with minor fluency issues in legal phrasing.
Chunk 3: Overall=9/10 | Accuracy=9/10 | Completeness=10/10 | Fluency=9/10
The translation is accurate and complete, with minor fluency issues.
Chunk 6: Overall=9/10 | Accuracy=9/10 | Completeness=9/10 | Fluency=10/10
The translation is accurate and fluent, with a minor omission regarding ADIF's classification as an enterprise.
Omitted source text: "El ADIF, como propietario de una infraestructura diseñada para ser utilizada en actividades económicas, se considera «empresa» a efectos de las ayudas estatales. Las autoridades españolas no negaron este hecho en el curso de la investigación formal."
Chunk 9: Overall=9/10 | Accuracy=9/10 | Completeness=10/10 | Fluency=9/10
The translation is accurate and complete, with minor fluency issues.
Chunk 11: Overall=10/10 | Accuracy=10/10 | Completeness=10/10 | Fluency=10/10
The translation accurately and completely conveys the legal meaning and reads fluently.</t>
  </si>
  <si>
    <t>Chunk 1: Overall=10/10 | Accuracy=10/10 | Completeness=10/10 | Fluency=10/10
The translation accurately reflects the source text with no omissions and reads fluently as a professional legal document.
Chunk 3: Overall=9/10 | Accuracy=9/10 | Completeness=10/10 | Fluency=9/10
The translation is accurate and complete, with minor fluency issues.
Chunk 6: Overall=9/10 | Accuracy=9/10 | Completeness=10/10 | Fluency=9/10
The translation is accurate and complete, with minor fluency issues.
Chunk 9: Overall=9/10 | Accuracy=9/10 | Completeness=9/10 | Fluency=10/10
The translation is accurate and fluent, with minor omissions affecting completeness.
Omitted source text: "En palabras de RR: «RR ha desarrollado una productiva relación de trabajo con ITP y ésta a su vez ha logrado un conocimiento profundo de las prácticas, los procedimientos, las herramientas y los métodos de RR»."
Chunk 11: Overall=10/10 | Accuracy=10/10 | Completeness=10/10 | Fluency=10/10
The translation accurately conveys the legal meaning, is complete, and reads fluently.</t>
  </si>
  <si>
    <t>Chunk 1: Overall=9/10 | Accuracy=10/10 | Completeness=9/10 | Fluency=10/10
The translation is accurate and fluent, but a small introductory phrase was omitted.
Omitted source text: "Después de haber emplazado a los interesados para que presentaran sus observaciones, de conformidad con las disposiciones anteriormente citadas1 y vistas sus observaciones, Considerando lo siguiente:"
Chunk 3: Overall=9/10 | Accuracy=9/10 | Completeness=10/10 | Fluency=9/10
The translation is accurate and complete, with minor fluency issues in legal phrasing.
Chunk 6: Overall=9/10 | Accuracy=9/10 | Completeness=10/10 | Fluency=9/10
The translation is accurate, complete, and reads fluently as a legal document.
Chunk 8: Overall=8/10 | Accuracy=8/10 | Completeness=7/10 | Fluency=9/10
The translation is generally accurate and fluent, but omits key sections on regulated tariffs and deficit reimbursement.
Omitted source text: "El suministro a tarifas reguladas es un servicio de interés económico general" and "Reembolso del déficit del sistema de electricidad de 2005"
Chunk 10: Overall=9/10 | Accuracy=9/10 | Completeness=10/10 | Fluency=9/10
The translation is accurate and complete, with minor fluency issues.</t>
  </si>
  <si>
    <t>Chunk 1: Overall=9/10 | Accuracy=9/10 | Completeness=10/10 | Fluency=9/10
The translation is accurate and complete, with minor fluency issues in legal phrasing.
Chunk 3: Overall=9/10 | Accuracy=9/10 | Completeness=10/10 | Fluency=9/10
The translation is accurate and complete, with minor fluency issues.
Chunk 5: Overall=9/10 | Accuracy=9/10 | Completeness=10/10 | Fluency=9/10
The translation is accurate and complete, with minor fluency issues.
Chunk 7: Overall=9/10 | Accuracy=9/10 | Completeness=10/10 | Fluency=9/10
The translation is accurate and complete, with minor fluency issues.
Chunk 8: Overall=9/10 | Accuracy=9/10 | Completeness=10/10 | Fluency=9/10
The translation is accurate and complete, with minor fluency issues in legal phrasing.</t>
  </si>
  <si>
    <t>Chunk 1: Overall=9/10 | Accuracy=9/10 | Completeness=10/10 | Fluency=9/10
The translation is accurate and complete, with minor deviations in fluency that do not affect the legal meaning.
Chunk 8: Overall=9/10 | Accuracy=9/10 | Completeness=10/10 | Fluency=9/10
The translation is accurate and complete, with minor fluency issues.
Chunk 15: Overall=9/10 | Accuracy=9/10 | Completeness=10/10 | Fluency=9/10
The translation is accurate and complete, with minor fluency issues.
Chunk 22: Overall=9/10 | Accuracy=9/10 | Completeness=10/10 | Fluency=9/10
The translation is accurate and complete, with minor fluency issues in legal phrasing.
Chunk 28: Overall=10/10 | Accuracy=10/10 | Completeness=10/10 | Fluency=10/10
The translation is accurate, complete, and reads fluently as a legal document.</t>
  </si>
  <si>
    <t>Chunk 1: Overall=9/10 | Accuracy=10/10 | Completeness=9/10 | Fluency=10/10
The translation is accurate and fluent, but a small portion of the source text is missing.
Omitted source text: la presente decisión se refiere a la compatibilidad de algunas de las condiciones impuestas por la decisión de la CNE, a tenor de su modificación la
Chunk 4: Overall=8/10 | Accuracy=8/10 | Completeness=7/10 | Fluency=9/10
The translation is mostly accurate but omits specific details about ENEL's reporting obligations to the CNE.
Omitted source text: "ENEL informará a esta Comisión acerca de los puntos del orden del día tratados, los acuerdos adoptados, así como sobre el sentido y la motivación del voto de sus representantes en relación con aquellos puntos del orden del día que tuvieran por objeto asuntos que afecten, en los términos ya señalados, al interés general o a la seguridad pública españoles. Con base en la información recibida, la CNE podrá, en el plazo de un mes desde la celebración de la Junta de Accionistas o"
Chunk 7: Overall=9/10 | Accuracy=9/10 | Completeness=10/10 | Fluency=9/10
The translation is accurate and complete, with minor fluency issues.
Chunk 10: Overall=9/10 | Accuracy=9/10 | Completeness=10/10 | Fluency=9/10
The translation is accurate and complete, with minor fluency issues.
Chunk 12: Overall=10/10 | Accuracy=10/10 | Completeness=10/10 | Fluency=10/10
The translation accurately and completely conveys the legal meaning of the source text with natural fluency.</t>
  </si>
  <si>
    <t>Chunk 1: Overall=9/10 | Accuracy=9/10 | Completeness=10/10 | Fluency=9/10
The translation is accurate and complete, with minor fluency issues.
Chunk 7: Overall=9/10 | Accuracy=9/10 | Completeness=10/10 | Fluency=9/10
The translation is accurate and complete, with minor fluency issues.
Chunk 13: Overall=9/10 | Accuracy=9/10 | Completeness=10/10 | Fluency=9/10
The translation is accurate and complete, with minor fluency issues.
Chunk 19: Overall=9/10 | Accuracy=9/10 | Completeness=10/10 | Fluency=9/10
The translation is accurate and complete, with minor fluency issues.
Chunk 24: Overall=10/10 | Accuracy=10/10 | Completeness=10/10 | Fluency=10/10
The translation accurately and completely conveys the legal meaning of the source text with natural fluency.</t>
  </si>
  <si>
    <t>Chunk 1: Overall=9/10 | Accuracy=9/10 | Completeness=10/10 | Fluency=9/10
The translation is accurate, complete, and reads fluently as a legal document.
Chunk 2: Overall=9/10 | Accuracy=9/10 | Completeness=10/10 | Fluency=9/10
The translation is accurate and complete, with minor fluency issues.
Chunk 4: Overall=9/10 | Accuracy=9/10 | Completeness=9/10 | Fluency=10/10
The translation is accurate and fluent, with minor omissions affecting completeness.
Omitted source text: "España no habría actuado arbitrariamente por lo que respecta a la adecuación de la planificación presupuestaria anual de 1 200 millones de euros para los próximos ejercicios."
Chunk 6: Overall=9/10 | Accuracy=9/10 | Completeness=10/10 | Fluency=9/10
The translation is accurate, complete, and reads fluently as a legal document.
Chunk 7: Overall=9/10 | Accuracy=9/10 | Completeness=10/10 | Fluency=9/10
The translation is accurate and complete, with minor fluency issues in legal phrasing.</t>
  </si>
  <si>
    <t>Chunk 1: Overall=9/10 | Accuracy=9/10 | Completeness=10/10 | Fluency=9/10
The translation is accurate, complete, and reads fluently as a legal document.
Chunk 2: Overall=9/10 | Accuracy=9/10 | Completeness=10/10 | Fluency=9/10
The translation is accurate and complete, with minor fluency issues in legal phrasing.
Chunk 4: Overall=9/10 | Accuracy=9/10 | Completeness=9/10 | Fluency=10/10
The translation is accurate and fluent, but omits a specific reference to the Italgrani II case law.
Omitted source text: "Las autoridades españolas alegaron que la Decisión de incoar el procedimiento infringía la jurisprudencia en el asunto Italgrani II14."
Chunk 6: Overall=9/10 | Accuracy=9/10 | Completeness=9/10 | Fluency=10/10
The translation is accurate and fluent, but a specific citation from the source text is missing.
Omitted source text: "Véase asimismo la Decisión C 89/01 de la Comisión, de 24 de septiembre de 2002, que Alemania tiene previsto aplicar sobre un régimen de ayudas denominado «Directrices sobre promoción de las PYME y mejora del potencial emprendedor de Sajonia», (DO L 91 de 8.4.2003), y, en particular el considerando 72 («Las ayudas destinadas a cubrir los costes de participación en ferias comerciales o los de estudios o servicios de consultoría necesarios para lanzar un producto nuevo o ya existente en un nuevo mercado no constituyen [...] normalmente ayudas a la exportación »)."
Chunk 7: Overall=9/10 | Accuracy=9/10 | Completeness=10/10 | Fluency=9/10
The translation is accurate and complete, with minor deviations in fluency.</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</si>
  <si>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in legal phrasing.
Chunk 4: Overall=9/10 | Accuracy=9/10 | Completeness=10/10 | Fluency=9/10
The translation is accurate and complete, with minor fluency issues.
Chunk 5: Overall=8/10 | Accuracy=8/10 | Completeness=7/10 | Fluency=9/10
The translation is mostly accurate and fluent, but some specific details from the source text are missing.
Omitted source text: (64) Además, según parece en el caso de Pickman i) no está previsto un incremento de la capacidad como consecuencia del plan de reestructuración; ii) la plantilla de la empresa se reorganizará con recortes en determinadas plantas e inversiones en el área comercial e informática; iii) el tamaño dePickman es reducido, puede acogerse a ayudas; iv) la presencia
Chunk 6: Overall=9/10 | Accuracy=9/10 | Completeness=10/10 | Fluency=9/10
The translation is accurate and complete, with minor fluency issues in legal phrasing.</t>
  </si>
  <si>
    <t>Chunk 1: Overall=10/10 | Accuracy=10/10 | Completeness=10/10 | Fluency=10/10
The translation accurately and completely conveys the legal meaning and reads fluently as a professional legal document.
Chunk 3: Overall=9/10 | Accuracy=9/10 | Completeness=10/10 | Fluency=9/10
The translation is accurate and complete, with minor fluency issues.
Chunk 5: Overall=9/10 | Accuracy=9/10 | Completeness=9/10 | Fluency=10/10
The translation is accurate and fluent, but it omits a specific sentence regarding the Spanish authorities' guarantees.
Omitted source text: En el marco del actual procedimiento de infracción, la Comisión tendrá en cuenta sin embargo el hecho de que las autoridades españolas haya dado garantías explícitas de que la decisión del Ministro eliminó completamente el poder de revocar la autorización concedida a E.ON en caso de violación de una o más condiciones (véanse los considerandos 95 a 97).
Chunk 7: Overall=9/10 | Accuracy=9/10 | Completeness=9/10 | Fluency=10/10
The translation is highly accurate and fluent, with only a minor omission affecting completeness.
Omitted source text: "Ello sin prejuicio de la cuestión si una normal nacional de carácter general que impone la obligación, o prevé la posibilidad de imponer la obligación, de mantener ciertos activos regulados dentro de una compañía o grupo de compañías – sin relación con una operación transfronteriza concreta – puede en sí misma representar una restricción injustificada al derecho de establecimiento y a la libre circulación de capitales."
Chunk 9: Overall=9/10 | Accuracy=9/10 | Completeness=10/10 | Fluency=9/10
The translation is accurate and complete, with minor fluency issues.</t>
  </si>
  <si>
    <t>Chunk 1: Overall=9/10 | Accuracy=9/10 | Completeness=9/10 | Fluency=10/10
The translation is accurate and fluent, but omits the recipient's address and contact details.
Omitted source text: Excma. Sr.ª D.ª Arancha González Laya Ministra de Asuntos Exteriores y de Cooperación Plaza de la Provincia n.º 1 28012 MADRID ESPAÑA Commission européenne / Europese Commissie, 1049 Bruxelles/Brussel, BELGIQUE/BELGIË. Tel.: +32 22991111.
Chunk 3: Overall=9/10 | Accuracy=9/10 | Completeness=10/10 | Fluency=9/10
The translation is accurate and complete, with minor fluency issues.
Chunk 6: Overall=9/10 | Accuracy=9/10 | Completeness=10/10 | Fluency=9/10
The translation is accurate and complete, with minor fluency issues.
Chunk 9: Overall=9/10 | Accuracy=9/10 | Completeness=10/10 | Fluency=9/10
The translation is accurate and complete, with minor fluency issues in legal phrasing.
Chunk 11: Overall=9/10 | Accuracy=9/10 | Completeness=10/10 | Fluency=9/10
The translation is accurate and complete, with minor fluency issues.</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</si>
  <si>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Chunk 3: Overall=9/10 | Accuracy=9/10 | Completeness=10/10 | Fluency=9/10
The translation is accurate and complete, with minor fluency issues.
Chunk 4: Overall=10/10 | Accuracy=10/10 | Completeness=10/10 | Fluency=10/10
The translation accurately and completely conveys the legal and financial details in fluent English.</t>
  </si>
  <si>
    <t>Chunk 1: Overall=9/10 | Accuracy=9/10 | Completeness=10/10 | Fluency=9/10
The translation is accurate and complete, with minor fluency issues.
Chunk 2: Overall=9/10 | Accuracy=9/10 | Completeness=10/10 | Fluency=9/10
The translation is accurate and complete, with minor fluency issues in legal phrasing.
Chunk 3: Overall=9/10 | Accuracy=10/10 | Completeness=9/10 | Fluency=10/10
The translation is accurate and fluent, but it omits the initial phrase regarding the German Competition Authority.
Omitted source text: Autoridad alemana de competencia, cumple con el requisito procedimental previsto en el artículo 22, apartado 2. Asimismo, cumple con los requisitos establecidos en el artículo 22, apartado 3, del Reglamento de concentraciones.</t>
  </si>
  <si>
    <t>Chunk 1: Overall=9/10 | Accuracy=9/10 | Completeness=10/10 | Fluency=9/10
The translation is accurate and complete, with minor fluency issues in legal phrasing.
Chunk 2: Overall=9/10 | Accuracy=9/10 | Completeness=9/10 | Fluency=10/10
The translation is accurate and fluent, with minor omissions in the introductory context.
Omitted source text: "de armas, municiones y material de guerra".</t>
  </si>
  <si>
    <t>Chunk 1: Overall=9/10 | Accuracy=10/10 | Completeness=9/10 | Fluency=10/10
The translation is accurate and fluent, but it omits repeated phrases from the source.
Omitted source text: "El texto en lengua española es el único auténtico" and "Texto pertinente a efectos del EEE" are repeated in the source but not in the translation.
Chunk 7: Overall=9/10 | Accuracy=9/10 | Completeness=10/10 | Fluency=9/10
The translation is accurate and complete, with minor fluency issues.
Chunk 13: Overall=9/10 | Accuracy=9/10 | Completeness=9/10 | Fluency=10/10
The translation is accurate and fluent, but omits a specific phrase related to tax neutrality and system logic.
Omitted source text: "en aras de conseguir la neutralidad fiscal perseguida por la normativa española interna y por el propio Derecho de la Unión, y en aras de alcanzar una lógica coherente y eficaz del sistema tributario español"
Chunk 19: Overall=9/10 | Accuracy=9/10 | Completeness=10/10 | Fluency=9/10
The translation is accurate and complete, with minor fluency issues in legal phrasing.
Chunk 25: Overall=9/10 | Accuracy=9/10 | Completeness=10/10 | Fluency=9/10
The translation is accurate and complete, with minor fluency issues.</t>
  </si>
  <si>
    <t>Chunk 1: Overall=9/10 | Accuracy=9/10 | Completeness=9/10 | Fluency=10/10
The translation is highly accurate and fluent, with only a minor omission of a non-critical phrase.
Omitted source text: (El texto en lengua española es el único auténtico)
Chunk 2: Overall=9/10 | Accuracy=9/10 | Completeness=10/10 | Fluency=9/10
The translation is accurate, complete, and reads fluently as a legal document.</t>
  </si>
  <si>
    <t>Chunk 1: Overall=9/10 | Accuracy=9/10 | Completeness=10/10 | Fluency=9/10
The translation is accurate and complete, with minor deviations in fluency that do not affect the legal meaning.
Chunk 2: Overall=10/10 | Accuracy=10/10 | Completeness=10/10 | Fluency=10/10
The translation is accurate, complete, and reads fluently as a professional legal document.</t>
  </si>
  <si>
    <t>Chunk 1: Overall=9/10 | Accuracy=9/10 | Completeness=10/10 | Fluency=9/10
The translation is accurate and complete, with minor fluency issues in legal phrasing.
Chunk 4: Overall=9/10 | Accuracy=9/10 | Completeness=10/10 | Fluency=9/10
The translation is accurate and complete, with minor fluency issues.
Chunk 7: Overall=9/10 | Accuracy=9/10 | Completeness=10/10 | Fluency=9/10
The translation is accurate and complete, with minor fluency issues.
Chunk 10: Overall=9/10 | Accuracy=9/10 | Completeness=9/10 | Fluency=10/10
The translation is accurate and fluent, but some legal references were omitted.
Omitted source text: "La sentencia fue confirmada por el Tribunal de Justicia en su sentencia de 28 de julio de 2011, Mediaset/Comisión, C-403/10 P, ECLI:EU:C:2011:533. Véase también la sentencia de 15 de septiembre de 2011, Alemania/Comisión, C-544/09, ECLI:EU:C:2011:584, en la que el Tribunal señaló, en el apartado 80, que en el caso en cuestión no se había demostrado que el apoyo a una tecnología frente a otra fuera necesario para resolver un problema estructural. Por otro lado, en la sentencia de 6 de octubre del 2009, Alemania/Comisión, T-21/06, ECLI:EU:T:2009:387, en el asunto DVB-T-Berlín/Bramdenburgo, el Tribunal se refirió a la neutralidad tecnológica en el apartado 69 y especificó que todas las plataformas de transmisión por ejemplo, cable, satélite o redes terrestres, deben tenerse en cuenta en la transición de la radiodifusión analógica a la digital. Más recientemente, en las sentencias de 26 de noviembre de 2015, España/Comisión, T-461/13, ECLI:EU:T:2015:891; País Vasco e Itelazpi / Comisión, T-462/13, ECLI:EU:T:2015:902; Galicia/Comisión y Retegal / Comisión, T-463/13 y T-464/13, ECLI:EU:T:2015:901; Cataluña y CTTI / Comisión, T-465/13, ECLI:EU:T:2015:900; Navarra/Comisión, T-487/13, ECLI:EU:T:2015:899; y, por último, Abertis Telecom y Retevisión / Comisión, T-541/13, ECLI:EU:T:2015:898, el Tribunal desestimó todas las acciones y confirmó la decisión de la Comisión en el asunto SA. 28599, relativo a la implantación de la TDT en España. El Tribunal consideró, en particular, que la Comisión estableció acertadamente que las medidas no podían considerarse ayudas estatales compatibles con el mercado interior, en particular porque no respetaban el principio de neutralidad tecnológica."
Chunk 13: Overall=10/10 | Accuracy=10/10 | Completeness=10/10 | Fluency=10/10
The translation accurately conveys the legal meaning, includes all source text, and reads fluently.</t>
  </si>
  <si>
    <t>Chunk 1: Overall=9/10 | Accuracy=9/10 | Completeness=10/10 | Fluency=9/10
The translation is accurate and complete, with minor fluency issues.
Chunk 4: Overall=9/10 | Accuracy=9/10 | Completeness=10/10 | Fluency=9/10
The translation is accurate and complete, with minor fluency issues.
Chunk 8: Overall=9/10 | Accuracy=9/10 | Completeness=10/10 | Fluency=9/10
The translation is accurate and complete, with minor fluency issues in legal terminology.
Chunk 12: Overall=9/10 | Accuracy=9/10 | Completeness=9/10 | Fluency=10/10
The translation is accurate and fluent, with minor omission of specific processes.
Omitted source text: "como la clasificación y recogida de cartas"
Chunk 15: Overall=9/10 | Accuracy=9/10 | Completeness=10/10 | Fluency=9/10
The translation is accurate and complete, with minor deviations in terminology that do not affect the legal meaning.</t>
  </si>
  <si>
    <t>Chunk 1: Overall=9/10 | Accuracy=9/10 | Completeness=10/10 | Fluency=9/10
The translation is accurate and complete, with minor fluency issues in legal phrasing.
Chunk 2: Overall=10/10 | Accuracy=10/10 | Completeness=10/10 | Fluency=10/10
The translation accurately and completely conveys the legal meaning and reads fluently.</t>
  </si>
  <si>
    <t>Chunk 1: Overall=9/10 | Accuracy=9/10 | Completeness=10/10 | Fluency=9/10
The translation is accurate and complete, with minor fluency issues.
Chunk 2: Overall=9/10 | Accuracy=9/10 | Completeness=9/10 | Fluency=10/10
The translation is accurate and fluent, but a specific source text is omitted.
Omitted source text: "Por lo que respecta al segundo criterio, el apartado 44 de la Comunicación de remisión establece que el Estado miembro ha de demostrar, partiendo de un análisis preliminar, que hay un riesgo real de que la operación tenga una incidencia negativa significativa en la competencia y que, por lo tanto, conviene realizar un examen más detenido de la misma, sin prejuzgar los resultados de una investigación completa."
Chunk 3: Overall=9/10 | Accuracy=9/10 | Completeness=10/10 | Fluency=9/10
The translation accurately conveys the legal meaning and is complete, with minor fluency improvements possible.</t>
  </si>
  <si>
    <t>$0.0972</t>
  </si>
  <si>
    <t>Chunk 1: Overall=10/10 | Accuracy=10/10 | Completeness=10/10 | Fluency=10/10 The translation accurately and completely conveys the legal meaning and reads fluently as a professional legal document. Chunk 17: Overall=9/10 | Accuracy=9/10 | Completeness=9/10 | Fluency=10/10 The translation is accurate and fluent, but one sentence about the round-table procedure is missing. Omitted source text: "La Commission souligne également que la présentation des faits dans le document suit la procédure habituelle du tour de table, conduisant à une conclusion finale générale." Chunk 33: Overall=9/10 | Accuracy=9/10 | Completeness=10/10 | Fluency=9/10 The translation is accurate and complete, with minor fluency issues. Chunk 49: Overall=9/10 | Accuracy=9/10 | Completeness=10/10 | Fluency=9/10 The translation is accurate, complete, and reads fluently as a legal document. Chunk 64: Overall=10/10 | Accuracy=10/10 | Completeness=10/10 | Fluency=10/10 The translation is accurate, complete, and reads fluently as a legal document.</t>
  </si>
  <si>
    <t>$0.0558</t>
  </si>
  <si>
    <t>Chunk 1: Overall=9/10 | Accuracy=10/10 | Completeness=9/10 | Fluency=10/10 The translation is accurate and fluent, but omits a specific source text regarding authentic language versions. Omitted source text: Les textes en langues allemande, finnoise, française et italienne sont les seuls faisant foi. Chunk 10: Overall=9/10 | Accuracy=9/10 | Completeness=10/10 | Fluency=9/10 The translation is accurate and complete, with minor fluency issues. Chunk 19: Overall=9/10 | Accuracy=9/10 | Completeness=10/10 | Fluency=9/10 The translation is accurate and complete, with minor fluency issues. Chunk 28: Overall=9/10 | Accuracy=9/10 | Completeness=10/10 | Fluency=9/10 The translation is accurate and complete, with minor fluency issues. Chunk 36: Overall=10/10 | Accuracy=10/10 | Completeness=10/10 | Fluency=10/10 The translation accurately and completely conveys the legal content and reads fluently as a professional legal document.</t>
  </si>
  <si>
    <t>$0.0569</t>
  </si>
  <si>
    <t>Chunk 1: Overall=9/10 | Accuracy=10/10 | Completeness=10/10 | Fluency=9/10 The translation is accurate, complete, and reads naturally as a legal document. Chunk 11: Overall=9/10 | Accuracy=9/10 | Completeness=10/10 | Fluency=9/10 The translation is accurate and complete, with minor fluency issues. Chunk 21: Overall=9/10 | Accuracy=9/10 | Completeness=10/10 | Fluency=9/10 The translation is accurate and complete, with minor fluency issues. Chunk 31: Overall=9/10 | Accuracy=9/10 | Completeness=9/10 | Fluency=10/10 The translation is highly accurate and fluent, with minor omissions in detailing dependency relationships. Omitted source text: (396) Conformément à l’organisation des affaires du groupe, notamment de la FGC, des relations de dépendance (...) existent (…)363. Il convient de supposer que ces relations de dépendance servent à permettre une intervention lorsqu’elle est considérée comme appropriée ou nécessaire. Chunk 40: Overall=10/10 | Accuracy=10/10 | Completeness=10/10 | Fluency=10/10 The translation accurately and completely conveys the legal content and reads fluently as a professional legal document.</t>
  </si>
  <si>
    <t>$0.1226</t>
  </si>
  <si>
    <t>Chunk 1: Overall=10/10 | Accuracy=10/10 | Completeness=10/10 | Fluency=10/10 The translation accurately reflects the source text with no omissions and reads fluently as a legal document. Chunk 19: Overall=9/10 | Accuracy=9/10 | Completeness=10/10 | Fluency=9/10 The translation is accurate and complete, with minor fluency issues in legal phrasing. Chunk 38: Overall=9/10 | Accuracy=9/10 | Completeness=10/10 | Fluency=9/10 The translation is accurate and complete, with minor fluency issues. Chunk 56: Overall=9/10 | Accuracy=9/10 | Completeness=10/10 | Fluency=9/10 The translation is accurate and complete, with minor fluency issues. Chunk 74: Overall=9/10 | Accuracy=9/10 | Completeness=10/10 | Fluency=9/10 The translation is accurate and complete, with minor deviations in phrasing that do not affect legal meaning.</t>
  </si>
  <si>
    <t>$0.0361</t>
  </si>
  <si>
    <t>Chunk 1: Overall=9/10 | Accuracy=9/10 | Completeness=10/10 | Fluency=9/10 The translation is accurate and complete, with minor fluency issues in legal terminology. Chunk 7: Overall=9/10 | Accuracy=9/10 | Completeness=10/10 | Fluency=9/10 The translation is accurate and complete, with minor fluency issues. Chunk 13: Overall=9/10 | Accuracy=9/10 | Completeness=10/10 | Fluency=9/10 The translation is accurate and complete, with minor fluency issues. Chunk 19: Overall=9/10 | Accuracy=9/10 | Completeness=9/10 | Fluency=10/10 The translation is accurate and fluent, with minor omissions affecting completeness. Omitted source text: "En outre, le rôle joué par chacune des entreprises parties à l'infraction sera apprécié sur une base individuelle." Chunk 25: Overall=10/10 | Accuracy=10/10 | Completeness=10/10 | Fluency=10/10 The translation accurately and completely conveys the legal meaning and reads fluently.</t>
  </si>
  <si>
    <t>$0.0126</t>
  </si>
  <si>
    <t>Chunk 1: Overall=9/10 | Accuracy=9/10 | Completeness=10/10 | Fluency=9/10 The translation is accurate and complete, with minor fluency issues. Chunk 3: Overall=9/10 | Accuracy=9/10 | Completeness=10/10 | Fluency=9/10 The translation is accurate and complete, with minor fluency issues in legal phrasing. Chunk 6: Overall=9/10 | Accuracy=9/10 | Completeness=10/10 | Fluency=9/10 The translation is accurate and complete, with minor fluency issues. Chunk 8: Overall=9/10 | Accuracy=9/10 | Completeness=10/10 | Fluency=9/10 The translation is accurate and complete, with minor fluency issues. Chunk 10: Overall=10/10 | Accuracy=10/10 | Completeness=10/10 | Fluency=10/10 The translation accurately and completely conveys the legal meaning and reads fluently as a professional legal document.</t>
  </si>
  <si>
    <t>$0.0011</t>
  </si>
  <si>
    <t>Chunk 1: Overall=9/10 | Accuracy=9/10 | Completeness=10/10 | Fluency=9/10 The translation is accurate and complete, with minor fluency issues in legal phrasing.</t>
  </si>
  <si>
    <t>$0.0060</t>
  </si>
  <si>
    <t>Chunk 1: Overall=9/10 | Accuracy=10/10 | Completeness=9/10 | Fluency=10/10 The translation is accurate and fluent, but omits a historical detail about IACS's creation. Omitted source text: L'IACS a été créée peu de temps après le naufrage du superpétrolier de 120000tonnes TorreyCanyon, en mars1967, au large de la côte sud de l'Angleterre. La mauvaise conception du navire avait contribué pour une large part à ce désastre. Chunk 2: Overall=9/10 | Accuracy=9/10 | Completeness=10/10 | Fluency=9/10 The translation is accurate and complete, with minor fluency issues. Chunk 4: Overall=9/10 | Accuracy=9/10 | Completeness=10/10 | Fluency=9/10 The translation is accurate and complete, with minor fluency issues in legal phrasing. Chunk 5: Overall=9/10 | Accuracy=9/10 | Completeness=10/10 | Fluency=9/10 The translation is accurate and complete, with minor fluency issues in legal phrasing. Chunk 6: Overall=10/10 | Accuracy=10/10 | Completeness=10/10 | Fluency=10/10 The translation accurately and completely reflects the source text with natural fluency.</t>
  </si>
  <si>
    <t>$0.0432</t>
  </si>
  <si>
    <t>Chunk 1: Overall=9/10 | Accuracy=9/10 | Completeness=10/10 | Fluency=9/10 The translation is accurate and complete, with minor fluency issues in legal phrasing. Chunk 8: Overall=9/10 | Accuracy=9/10 | Completeness=9/10 | Fluency=10/10 The translation is accurate and fluent, with minor omissions in details about equipment compatibility. Chunk 16: Overall=9/10 | Accuracy=9/10 | Completeness=9/10 | Fluency=10/10 The translation is accurate and fluent, with minor omissions in financial details. Omitted source text: Les recettes tirées par Canal+ de la télévision à péage en général dans la région nordique se sont élevées à [confidentiel] KSEK en 2001, dont seulement [confidentiel] KSEK ([confidentiel]%) pour la PPV. Chunk 24: Overall=9/10 | Accuracy=9/10 | Completeness=9/10 | Fluency=10/10 The translation is accurate and fluent, with minor omissions in legal references. Chunk 31: Overall=9/10 | Accuracy=9/10 | Completeness=10/10 | Fluency=9/10 The translation accurately conveys the legal meaning and includes all relevant details, with minor fluency issues.</t>
  </si>
  <si>
    <t>$0.0026</t>
  </si>
  <si>
    <t>Chunk 1: Overall=9/10 | Accuracy=9/10 | Completeness=10/10 | Fluency=9/10 The translation is accurate and complete, with minor fluency issues. Chunk 2: Overall=10/10 | Accuracy=10/10 | Completeness=10/10 | Fluency=10/10 The translation accurately and completely conveys the legal meaning of the source text with natural fluency.</t>
  </si>
  <si>
    <t>$0.0068</t>
  </si>
  <si>
    <t>Chunk 1: Overall=9/10 | Accuracy=10/10 | Completeness=9/10 | Fluency=10/10 The translation is accurate and fluent, but omits a historical detail about De Beers' acquisitions. Omitted source text: Le 8 juin 2001, De Beers SA (précédemment: De Beers Investments) a acquis la totalité du capital souscrit de De Beers Centenary AG et de De Beers Consolidate Mines Limited, les deux anciennes sociétés holdings du groupe. Chunk 2: Overall=9/10 | Accuracy=9/10 | Completeness=9/10 | Fluency=10/10 The translation is accurate and fluent, with a minor omission regarding the official notification to the Commission. Omitted source text: "et qui n'a jamais été notifié officiellement à la Commission." Chunk 4: Overall=9/10 | Accuracy=9/10 | Completeness=9/10 | Fluency=10/10 The translation is accurate and fluent but omits some details about the commitments and modifications. Omitted source text: Ces observations, ainsi que l'analyse faite par la Commission elle-même, l'ont amenée à demander aux parties de modifier les engagements qu'elles avaient proposés. Le 25 janvier 2005, De Beers SA a présenté des engagements modifiant la proposition du 14 décembre 2004, de manière à tenir compte des problèmes relevés lors de la consultation menée conformément à l'article 27, paragraphe 4 du règlement (CE) n° 1/2003. Alors que la proposition d'engagements du 14 décembre 2004 avait été soumise par CWEL et DBCAG, les engagements modifiés ont été présentés par la société holding De Beers SA, également destinataire des communications des griefs de la Commission, afin que les engagements s'imposent à toutes les sociétés du groupe De Beers. Dans ses engagements modifiés, De Beers s'est engagée à ne pas acheter de diamants bruts à partir du début de 2009, suivant une période transitoire pendant laquelle De Beers s’est engagée à ne pas acheter à ALROSA pour plus de 600 millions d'USD de diamants bruts en 2006, de 500 millions d'USD en 2007 et de 400 millions d'USD en 2008. La définition modifiée de «diamants bruts» inclut également les diamants partiellement taillés, tandis que la disposition modifiée sur les achats indirects illicites contient une liste de critères permettant de les déterminer. Les engagements modifiés contiennent certaines autres corrections rédactionnelles. Chunk 5: Overall=9/10 | Accuracy=9/10 | Completeness=10/10 | Fluency=9/10 The translation is accurate and complete, with minor fluency issues. Chunk 6: Overall=9/10 | Accuracy=9/10 | Completeness=10/10 | Fluency=9/10 The translation is accurate and complete, with minor fluency issues in legal phrasing.</t>
  </si>
  <si>
    <t>$0.0015</t>
  </si>
  <si>
    <t>Chunk 1: Overall=9/10 | Accuracy=9/10 | Completeness=10/10 | Fluency=9/10 The translation is accurate and complete, with minor fluency issues.</t>
  </si>
  <si>
    <t>$0.0087</t>
  </si>
  <si>
    <t>Chunk 1: Overall=9/10 | Accuracy=9/10 | Completeness=9/10 | Fluency=10/10 The translation is accurate and fluent, but slightly incomplete due to a missing phrase. Omitted source text: "verrouillant, par là même, leur accès au marché." Chunk 2: Overall=8/10 | Accuracy=8/10 | Completeness=7/10 | Fluency=9/10 The translation omits significant procedural details from the source text. Omitted source text: (6) Le 26 février 2004, la Commission a engagé la procédure en adoptant une communication des griefs visant les contrats de fourniture de gaz conclus entre Distrigaz et un client industriel. Le 30 juin 2005, la Commission a adopté une évaluation préliminaire concernant les contrats de fourniture de gaz conclus entre Distrigaz et diverses catégories de clients (utilisateurs industriels, producteurs d'électricité, revendeurs) en Belgique. Le 8 mai 2006, la Commission a adopté une communication des griefs complémentaire qui portait pour l'essentiel sur les contrats de fourniture de gaz conclus entre Distrigaz et des utilisateurs industriels en Belgique, et a ouvert une procédure concernant l'ensemble des contrats de fourniture de gaz de Distrigaz en Belgique. Ces trois documents constituent des évaluations préliminaires au sens de l'article 9, paragraphe 1, du règlement (CE) n° 1/2003. Chunk 4: Overall=9/10 | Accuracy=9/10 | Completeness=9/10 | Fluency=10/10 The translation is accurate and fluent, but omits a specific detail about intragroup sales. Omitted source text: Ne sont en effet pas concernés les ventes intragroupe ou les contrats [...] Chunk 6: Overall=9/10 | Accuracy=9/10 | Completeness=10/10 | Fluency=9/10 The translation is accurate and complete, with minor fluency issues. Chunk 7: Overall=9/10 | Accuracy=9/10 | Completeness=10/10 | Fluency=9/10 The translation is accurate and complete, with minor fluency issues.</t>
  </si>
  <si>
    <t>$0.0384</t>
  </si>
  <si>
    <t>Chunk 1: Overall=9/10 | Accuracy=9/10 | Completeness=10/10 | Fluency=9/10 The translation is accurate and complete, with minor fluency issues. Chunk 7: Overall=9/10 | Accuracy=9/10 | Completeness=9/10 | Fluency=10/10 The translation is accurate and fluent, but some specific details about services provided by collective management societies are omitted. Omitted source text: "Les services que les sociétés de gestion collective se rendent couvrent, en particulier, la concession de licences pour l'utilisation d'œuvres protégées par un droit d'auteur, la surveillance et le contrôle de cette utilisation par le preneur de licence, la facturation aux utilisateurs, la vérification de l'utilisation réelle de la musique par les preneurs de licence afin de répartir les redevances entre les différents auteurs, et la perception ultérieure des redevances et leur rétrocession aux sociétés de gestion collective bénéficiaires. Ces services incluent également la surveillance générale du marché afin de détecter les sociétés ou particuliers qui utilisent de la musique et qui doivent donc posséder une licence, ainsi que l'adoption de mesures d'exécution, s'il y a lieu, pour veiller à ce que ces sociétés ou particuliers obtiennent la licence nécessaire ou mettent un terme à l'exploitation illicite des œuvres." Chunk 14: Overall=9/10 | Accuracy=9/10 | Completeness=10/10 | Fluency=9/10 The translation is accurate and complete, with minor fluency issues. Chunk 21: Overall=9/10 | Accuracy=9/10 | Completeness=9/10 | Fluency=10/10 The translation is accurate and fluent, with minor omissions in detailing the arguments against territorial limitations. Chunk 27: Overall=10/10 | Accuracy=10/10 | Completeness=10/10 | Fluency=10/10 The translation accurately conveys the legal meaning, includes all source text, and reads fluently.</t>
  </si>
  <si>
    <t>$0.0107</t>
  </si>
  <si>
    <t>Chunk 1: Overall=9/10 | Accuracy=9/10 | Completeness=10/10 | Fluency=9/10 The translation is accurate and complete, with minor deviations in fluency that do not affect the legal meaning. Chunk 3: Overall=9/10 | Accuracy=9/10 | Completeness=9/10 | Fluency=10/10 The translation is highly accurate and fluent, with minor omissions affecting completeness. Omitted source text: "l'approvisionnement des distributeurs locaux et des petits distributeurs régionaux (approvisionnement de gros «à courte distance») ainsi que des clients finals (gros clients industriels, petits clients particuliers/commerciaux) comme n'étant pas plus étendus que le réseau." Chunk 5: Overall=9/10 | Accuracy=9/10 | Completeness=10/10 | Fluency=9/10 The translation is accurate and complete, with minor fluency issues. Chunk 7: Overall=9/10 | Accuracy=9/10 | Completeness=10/10 | Fluency=9/10 The translation is accurate and complete, with minor fluency issues. Chunk 8: Overall=10/10 | Accuracy=10/10 | Completeness=10/10 | Fluency=10/10 The translation accurately and completely conveys the legal meaning and reads fluently as a professional legal document.</t>
  </si>
  <si>
    <t>$0.0260</t>
  </si>
  <si>
    <t>Chunk 1: Overall=9/10 | Accuracy=10/10 | Completeness=9/10 | Fluency=10/10 The translation is accurate and fluent, but the phrase '(LES TEXTES EN LANGUES ANGLAISE ET FRANÇAISE SONT LES SEULS FAISANT FOI)' was omitted. Omitted source text: (LES TEXTES EN LANGUES ANGLAISE ET FRANÇAISE SONT LES SEULS FAISANT FOI) Chunk 7: Overall=9/10 | Accuracy=9/10 | Completeness=10/10 | Fluency=9/10 The translation is accurate, complete, and reads fluently as a legal document. Chunk 13: Overall=9/10 | Accuracy=9/10 | Completeness=10/10 | Fluency=9/10 The translation is accurate and complete, with minor fluency issues. Chunk 19: Overall=9/10 | Accuracy=9/10 | Completeness=9/10 | Fluency=10/10 The translation is accurate and fluent, but omits a specific detail about counting periods for fines. Omitted source text: "Les périodes de moins d’un semestre seront comptées comme une demie année; les périodes de plus de six mois mais de moins d’un an seront comptées comme une année complète." Chunk 24: Overall=10/10 | Accuracy=10/10 | Completeness=10/10 | Fluency=10/10 The translation accurately and completely conveys the legal content and reads fluently as a professional legal document.</t>
  </si>
  <si>
    <t>$0.0359</t>
  </si>
  <si>
    <t>Chunk 1: Overall=10/10 | Accuracy=10/10 | Completeness=10/10 | Fluency=10/10 The translation accurately reflects the source text with no omissions and reads fluently as a legal document. Chunk 7: Overall=9/10 | Accuracy=9/10 | Completeness=9/10 | Fluency=10/10 The translation is highly accurate and fluent, with minor omissions in completeness. Omitted source text: "Les gestionnaires des ventes s’entretenaient également par téléphone afin de garantir l’exécution des accords." Chunk 13: Overall=9/10 | Accuracy=9/10 | Completeness=9/10 | Fluency=10/10 The translation is accurate and fluent, but a minor omission affects completeness. Omitted source text: "Il est établi par les faits décrits dans la section 4 qu'Altuglas International SA (anciennement Atohaas et Atoglas SA) et Altumax Europe SAS ont participé aux comportements collusoires décrits plus haut." Chunk 19: Overall=9/10 | Accuracy=9/10 | Completeness=10/10 | Fluency=9/10 The translation is accurate and complete, with minor fluency issues. Chunk 25: Overall=9/10 | Accuracy=10/10 | Completeness=9/10 | Fluency=10/10 The translation is accurate and fluent, but one sentence is omitted. Omitted source text: La présente décision est applicable conformément à l’article 256 du traité et à l’article 110 de l’accord EEE.</t>
  </si>
  <si>
    <t>$0.0073</t>
  </si>
  <si>
    <t>Chunk 1: Overall=9/10 | Accuracy=9/10 | Completeness=10/10 | Fluency=9/10 The translation is accurate and complete, with minor fluency issues. Chunk 2: Overall=9/10 | Accuracy=9/10 | Completeness=9/10 | Fluency=10/10 The translation is accurate and fluent, with a minor omission of a specific reference to 'traité CE10'. Omitted source text: traité CE10 en vue d'arrêter une décision conformément au chapitre III du règlement n°1/2003. Chunk 4: Overall=9/10 | Accuracy=9/10 | Completeness=9/10 | Fluency=10/10 The translation is accurate and fluent, but omits a specific exemption detail. Omitted source text: "Bien que RWE TSO ait temporairement bénéficié d’une exemption de l’encadrement des coûts en vertu du GasNEV, exemption dont elle avait demandé à bénéficier en vertu du paragraphe 3, sous 2), du GasNEV, la BNetzA a rejeté cette exemption depuis lors (voir la décision BK4-07-106 du BNetzA, du 5 décembre 2008)." Chunk 6: Overall=9/10 | Accuracy=9/10 | Completeness=10/10 | Fluency=9/10 The translation is accurate and complete, with minor fluency issues. Chunk 7: Overall=10/10 | Accuracy=10/10 | Completeness=10/10 | Fluency=10/10 The translation accurately and completely conveys the legal meaning of the source text with natural fluency.</t>
  </si>
  <si>
    <t>$0.0018</t>
  </si>
  <si>
    <t>$0.0151</t>
  </si>
  <si>
    <t>Chunk 1: Overall=9/10 | Accuracy=9/10 | Completeness=10/10 | Fluency=9/10 The translation is accurate and complete, with minor fluency issues. Chunk 3: Overall=9/10 | Accuracy=9/10 | Completeness=10/10 | Fluency=9/10 The translation is accurate and complete, with minor fluency issues. Chunk 6: Overall=9/10 | Accuracy=9/10 | Completeness=9/10 | Fluency=10/10 The translation is accurate and fluent, but omits a specific sentence regarding the impact of indicative pricing on competition. Omitted source text: "Il convient de rappeler, à titre préliminaire, la jurisprudence constante suivant laquelle la fixation d'un prix même simplement indicatif ou recommandé affecte le jeu de la concurrence par le fait qu'il permet à tous les participants de prévoir avec un degré raisonnable de certitude quelle sera la politique de prix poursuivie par leurs concurrents, surtout si aux dispositions relatives aux prix indicatifs est jointe la possibilité de contrôles et de sanctions47." Chunk 9: Overall=9/10 | Accuracy=9/10 | Completeness=10/10 | Fluency=9/10 The translation is accurate and complete, with minor fluency issues. Chunk 11: Overall=10/10 | Accuracy=10/10 | Completeness=10/10 | Fluency=10/10 The translation accurately and completely conveys the legal meaning and reads fluently.</t>
  </si>
  <si>
    <t>$0.0074</t>
  </si>
  <si>
    <t>Chunk 1: Overall=9/10 | Accuracy=9/10 | Completeness=10/10 | Fluency=9/10 The translation is accurate and complete, with minor fluency issues. Chunk 2: Overall=9/10 | Accuracy=9/10 | Completeness=10/10 | Fluency=9/10 The translation is accurate and complete, with minor fluency issues. Chunk 4: Overall=9/10 | Accuracy=9/10 | Completeness=9/10 | Fluency=10/10 The translation is accurate and fluent, with a minor omission of a section heading. Omitted source text: "Quantités de lignite devant être rendues disponibles" Chunk 6: Overall=9/10 | Accuracy=9/10 | Completeness=10/10 | Fluency=9/10 The translation is accurate and complete, with minor fluency issues. Chunk 7: Overall=10/10 | Accuracy=10/10 | Completeness=10/10 | Fluency=10/10 The translation is accurate, complete, and reads fluently as a professional legal document.</t>
  </si>
  <si>
    <t>$0.1453</t>
  </si>
  <si>
    <t>Chunk 1: Overall=10/10 | Accuracy=10/10 | Completeness=10/10 | Fluency=10/10 The translation accurately and completely conveys the legal content and reads fluently as a professional legal document. Chunk 26: Overall=9/10 | Accuracy=9/10 | Completeness=10/10 | Fluency=9/10 The translation is accurate and complete, with minor fluency issues. Chunk 51: Overall=9/10 | Accuracy=9/10 | Completeness=9/10 | Fluency=10/10 The translation is accurate and fluent, but a specific section regarding Microsoft's interpretation of Sun's request is omitted. Omitted source text: "Dans la mesure où l'argument de Microsoft est fondé sur la présence du terme «implémentation de référence» dans la lettre de Sun, il faut prendre en compte le fait que, comme souligné ci-dessus, une implémentation de référence est seulement un complément et une illustration d'une spécification. La lettre de M. Maritz qui répond à la demande de Sun semble être fondée sur le même type d'interprétations erronées lorsque M. Maritz mentionne «COM pour Solaris», un produit commercial développé par Microsoft pour Solaris. Il convient de souligner encore une fois que la demande de Sun se concentre sur la divulgation d'informations, pas sur les décisions commerciales de Microsoft de mettre sur le marché tel ou tel produit." Chunk 76: Overall=9/10 | Accuracy=9/10 | Completeness=10/10 | Fluency=9/10 The translation is accurate and complete, with minor fluency issues. Chunk 101: Overall=10/10 | Accuracy=10/10 | Completeness=10/10 | Fluency=10/10 The translation accurately and completely conveys the legal meaning and reads fluently as a professional legal document.</t>
  </si>
  <si>
    <t>$0.1048</t>
  </si>
  <si>
    <t>Chunk 1: Overall=10/10 | Accuracy=10/10 | Completeness=10/10 | Fluency=10/10 The translation accurately and completely conveys the legal meaning and reads fluently as a professional legal document. Chunk 18: Overall=9/10 | Accuracy=9/10 | Completeness=10/10 | Fluency=9/10 The translation is accurate, complete, and reads fluently, with minor deviations in legal terminology. Chunk 35: Overall=9/10 | Accuracy=9/10 | Completeness=10/10 | Fluency=9/10 The translation is accurate and complete, with minor fluency issues. Chunk 52: Overall=9/10 | Accuracy=9/10 | Completeness=9/10 | Fluency=10/10 The translation is accurate and fluent, but omits a specific sentence about mutual compensations. Omitted source text: s'offraient aussi des compensations mutuelles non seulement pour un compte véhicule particulier, mais également entre différents comptes véhicules lorsque cela se révélait possible [voir les considérants (502) à (508)]. Chunk 68: Overall=10/10 | Accuracy=10/10 | Completeness=10/10 | Fluency=10/10 The translation accurately and completely conveys the legal meaning and reads fluently.</t>
  </si>
  <si>
    <t>Chunk 1: Overall=9/10 | Accuracy=9/10 | Completeness=10/10 | Fluency=10/10 The translation is accurate and complete, with minor discrepancies in legal terminology.</t>
  </si>
  <si>
    <t>$0.0047</t>
  </si>
  <si>
    <t>Chunk 1: Overall=9/10 | Accuracy=9/10 | Completeness=10/10 | Fluency=9/10 The translation is accurate and complete, with minor fluency issues. Chunk 2: Overall=9/10 | Accuracy=9/10 | Completeness=10/10 | Fluency=9/10 The translation is accurate and complete, with minor fluency issues. Chunk 3: Overall=9/10 | Accuracy=9/10 | Completeness=10/10 | Fluency=9/10 The translation is accurate and complete, with minor fluency issues.</t>
  </si>
  <si>
    <t>$0.0048</t>
  </si>
  <si>
    <t>Chunk 1: Overall=9/10 | Accuracy=9/10 | Completeness=9/10 | Fluency=10/10 The translation is accurate and fluent, but omits a detailed explanation of the dealer's margin. Omitted source text: "La marge du concessionnaire est la différence entre le prix catalogue recommandé d'un modèle déterminé et le prix auquel le concessionnaire achète la voiture au fournisseur. Cette remise sert à financer les coûts de distribution et les frais généraux du distributeur, ainsi que les rabais que celui-ci doit la plupart du temps consentir aux consommateurs finals." Chunk 2: Overall=9/10 | Accuracy=9/10 | Completeness=10/10 | Fluency=9/10 The translation is accurate and complete, with minor fluency issues. Chunk 3: Overall=9/10 | Accuracy=9/10 | Completeness=10/10 | Fluency=9/10 The translation is accurate and complete, with minor fluency issues.</t>
  </si>
  <si>
    <t>$0.0042</t>
  </si>
  <si>
    <t>Chunk 1: Overall=9/10 | Accuracy=9/10 | Completeness=10/10 | Fluency=9/10 The translation is accurate and complete, with minor fluency issues. Chunk 2: Overall=9/10 | Accuracy=9/10 | Completeness=9/10 | Fluency=10/10 The translation is accurate and fluent, but a specific section on the acceptance process by dealers is omitted. Omitted source text: "En effet, la volonté du constructeur était constituée par la circulaire reçue par le concessionnaire en début d'année. Cette circulaire fixait les conditions de rémunération du concessionnaire (marge et bonus). L'acceptation intervenait chaque fois qu'un concessionnaire souhaitait faire comptabiliser un véhicule commandé par lui dans les objectifs de ventes (qui conditionnaient 1'obtention du bonus) ainsi que quand celui-ci réclamait le paiement du bonus pour chaque véhicule immatriculé (une fois que les objectifs de vente avaient été atteints). Dans le cas d'espèce, 1'acceptation du concessionnaire était constituée par l’action d'introduire les références de la commande de la voiture dans le logiciel par lequel le constructeur gérait ses relations avec son réseau (DIALOG). La mesure concernée a ainsi fait 1'objet d'un consentement par les concessionnaires concernés, puisqu'en tout état de cause, ceux-ci ont effectué des ventes dans le cadre de ce système." Chunk 3: Overall=9/10 | Accuracy=9/10 | Completeness=10/10 | Fluency=9/10 The translation is accurate and complete, with minor fluency issues.</t>
  </si>
  <si>
    <t>$0.0505</t>
  </si>
  <si>
    <t>Chunk 1: Overall=9/10 | Accuracy=9/10 | Completeness=10/10 | Fluency=9/10 The translation is accurate and complete, with minor fluency issues in legal phrasing. Chunk 9: Overall=9/10 | Accuracy=9/10 | Completeness=10/10 | Fluency=9/10 The translation is accurate, complete, and reads fluently as a legal document. Chunk 17: Overall=9/10 | Accuracy=9/10 | Completeness=10/10 | Fluency=9/10 The translation is accurate and complete, with minor fluency issues. Chunk 25: Overall=9/10 | Accuracy=9/10 | Completeness=9/10 | Fluency=10/10 The translation is accurate and fluent, with minor omissions in specific market share details. Chunk 33: Overall=10/10 | Accuracy=10/10 | Completeness=10/10 | Fluency=10/10 The translation accurately and completely conveys the legal meaning and reads fluently.</t>
  </si>
  <si>
    <t>M.1628</t>
  </si>
  <si>
    <t>$0.0515</t>
  </si>
  <si>
    <t>Chunk 1: Overall=9/10 | Accuracy=9/10 | Completeness=10/10 | Fluency=9/10 The translation is accurate and complete, with minor fluency issues. Chunk 11: Overall=8/10 | Accuracy=8/10 | Completeness=7/10 | Fluency=9/10 The translation omits detailed information about tariffs, discounts, and access rights. Omitted source text: "Les tarifs, le débit, la flexibilité des lots, la fréquence des cycles d’exploitation et les procédures d’exploitation des trois oléoducs principaux (DMM, TRAPIL, SPMR) sont similaires. Les participations détenues dans ces trois oléoducs ne donnent pas droit à des quotas (participations financières) mais donnent un droit de priorité sur les lots de carburants à livrer dans les cas de contingentement. Cette diminution est alors calculée en fonction du volume transporté au cours des trois années précédentes. En ce qui concerne l’accès à ces oléoducs, il n’y a pas de discrimination entre actionnaires et parties tierces. Cependant, dans le système Trapil, les parties tierces ont tendance à faire effectuer l’intégralité de leurs transports par les fournisseurs car Trapil applique une ristourne par tranche de chiffre d’affaires, [...]*. La ristourne moyenne d’un raffineur actionnaire se situe (en 1998) à hauteur de [...]*. Il n’y a pas de ristourne liée aux volumes transportés sur SPMR ou DMM. Trapil, SPMR et DMM calculent un tarif de base à la tonne, en fonction des distances. Par rapport à ce tarif de base, le tarif appliqué en FRF/m³ tient compte d’une majoration pour les essences [...]*." Chunk 21: Overall=9/10 | Accuracy=9/10 | Completeness=10/10 | Fluency=9/10 The translation is accurate and complete, with minor fluency issues. Chunk 31: Overall=9/10 | Accuracy=9/10 | Completeness=9/10 | Fluency=10/10 The translation is accurate and fluent, but the section title '3. VENTE DE CARBUREACTEURS' is missing. Omitted source text: 3. VENTE DE CARBUREACTEURS Chunk 41: Overall=9/10 | Accuracy=9/10 | Completeness=10/10 | Fluency=9/10 The translation is accurate, complete, and reads fluently, with minor discrepancies in directional terms.</t>
  </si>
  <si>
    <t>$0.1310</t>
  </si>
  <si>
    <t>Chunk 1: Overall=9/10 | Accuracy=9/10 | Completeness=9/10 | Fluency=10/10 The translation is accurate and fluent, but omits a minor phrase of interest to the EEA. Omitted source text: "Texte présentant de l’intérêt pour l’EEE" Chunk 24: Overall=9/10 | Accuracy=9/10 | Completeness=10/10 | Fluency=9/10 The translation is accurate and complete, with minor fluency issues. Chunk 47: Overall=9/10 | Accuracy=9/10 | Completeness=9/10 | Fluency=10/10 The translation is accurate and fluent, with minor omissions affecting completeness. Omitted source text: "le plus grand éditeur client des services de diffusion et de distribution pour le compte de tiers de jouer sur la rivalité entre les groupes Hachette Livre et VUP afin d'obtenir" Chunk 70: Overall=9/10 | Accuracy=9/10 | Completeness=9/10 | Fluency=10/10 The translation is accurate and fluent, but omits a section about the association Savoir-Livre. Omitted source text: On peut noter à ce sujet que déjà aujourd'hui Hachette Livre et VUP sont des membres prépondérants de l’association Savoir-Livre, qui fut fondée par Belin, Bordas, Hachette, Hatier, Magnard et Nathan en 1985 et a pour objet de susciter des études, et rencontres sur l’éducation et les moyens pédagogiques et de participer au débat social sur l’accès à la lecture et à la culture. Cette association occupe une place privilégiée dans les discussions avec les pouvoirs publics et en particulier avec le Ministère français de l'Education nationale mais son adhésion n'est pas accessible à tous les éditeurs scolaires (voir la réponse des Editions Bréal à la question n°52 de la demande de renseignements "Editeur B" envoyée le 16 avril 2003). Chunk 92: Overall=9/10 | Accuracy=9/10 | Completeness=10/10 | Fluency=9/10 The translation is accurate and complete, with minor fluency issues.</t>
  </si>
  <si>
    <t>$0.0947</t>
  </si>
  <si>
    <t>Chunk 1: Overall=9/10 | Accuracy=9/10 | Completeness=10/10 | Fluency=9/10 The translation is accurate and complete, with minor fluency issues in legal phrasing. Chunk 16: Overall=9/10 | Accuracy=9/10 | Completeness=9/10 | Fluency=10/10 The translation is accurate and fluent, with minor omissions in detailed financial figures. Chunk 31: Overall=8/10 | Accuracy=9/10 | Completeness=8/10 | Fluency=9/10 The translation is mostly accurate and fluent but omits a significant portion of the source text. Omitted source text: concernant le « UK Agricultural Registration Exchange »334, a considéré que l’accord en cause était anticoncurrentiel dans la mesure où il était « possible d’affirmer avec suffisamment de certitude que les parts de marché et les positions de respectives des membres de l’accord auraient été différentes en l’absence de celui-ci et qu’elles évolueront probablement différemment à l’avenir s’il cesse d’exister », même s’il était impossible en pratique de fournir la preuve des différences effectives. Il convient de signaler que la Commission a considéré dans cette affaire que l’accord avait produit des effets sur le marché bien qu’il eût été suspendu à la suite de l’envoi d’une communication des griefs. La Cour de Justice a confirmé la thèse de la Commission en tenant compte des effets de l’accord en cause bien qu’il eût cessé de produire des effets335. Chunk 46: Overall=9/10 | Accuracy=9/10 | Completeness=10/10 | Fluency=9/10 The translation is accurate and complete, with minor fluency issues. Chunk 60: Overall=9/10 | Accuracy=9/10 | Completeness=10/10 | Fluency=9/10 The translation is accurate and complete, with minor fluency issues.</t>
  </si>
  <si>
    <t>$0.0028</t>
  </si>
  <si>
    <t>Chunk 1: Overall=9/10 | Accuracy=9/10 | Completeness=10/10 | Fluency=9/10 The translation is accurate and complete, with minor fluency issues. Chunk 2: Overall=9/10 | Accuracy=9/10 | Completeness=10/10 | Fluency=9/10 The translation is accurate and complete, with minor fluency issues.</t>
  </si>
  <si>
    <t>$0.0029</t>
  </si>
  <si>
    <t>Chunk 1: Overall=9/10 | Accuracy=9/10 | Completeness=10/10 | Fluency=9/10 The translation is accurate, complete, and reads fluently as a legal document. Chunk 2: Overall=9/10 | Accuracy=9/10 | Completeness=10/10 | Fluency=9/10 The translation is accurate and complete, with minor fluency issues in legal phrasing.</t>
  </si>
  <si>
    <t>$0.1150</t>
  </si>
  <si>
    <t>Chunk 1: Overall=9/10 | Accuracy=9/10 | Completeness=10/10 | Fluency=9/10 The translation is accurate and complete, with minor fluency issues. Chunk 19: Overall=9/10 | Accuracy=9/10 | Completeness=10/10 | Fluency=9/10 The translation is accurate and complete, with minor fluency issues in legal phrasing. Chunk 37: Overall=9/10 | Accuracy=9/10 | Completeness=9/10 | Fluency=10/10 The translation is accurate and fluent, but it omits a specific reference to the Council of State's ruling. Omitted source text: "Corsica Ferries souligne à ce titre que le règlement de la consultation (article 2.4 relatif aux caractéristiques minimales et article 4.1 relatif aux documents de la consultation) était rédigé dans les mêmes termes que celui prévu pour la passation des CDSP 2019-2020. Or, le Conseil d’État aurait jugé, à l’occasion d’un litige portant sur ces CDSP, que « l’annexe technique des services figurant en annexe 1 du projet de contrat devait être regardée, compte tenu des termes de l’article 4.1 du règlement de la consultation, comme faisant partie des documents de la consultation et par suite comme explicitant les caractéristiques minimales attendues »." Chunk 55: Overall=9/10 | Accuracy=9/10 | Completeness=9/10 | Fluency=10/10 The translation is accurate and fluent, but one sentence was omitted. Omitted source text: "La Commission considère donc que la distance et le temps de trajet constituent des facteurs significatifs pour les passagers médicaux, qui peuvent avoir des besoins spécifiques en matière de santé." Chunk 73: Overall=9/10 | Accuracy=9/10 | Completeness=10/10 | Fluency=9/10 The translation is accurate and complete, with minor fluency issues.</t>
  </si>
  <si>
    <t>Chunk 1: Overall=9/10 | Accuracy=9/10 | Completeness=10/10 | Fluency=9/10 The translation is accurate and complete, with minor fluency issues. Chunk 2: Overall=10/10 | Accuracy=10/10 | Completeness=10/10 | Fluency=10/10 The translation accurately conveys the legal meaning, is complete, and reads fluently.</t>
  </si>
  <si>
    <t>$0.0256</t>
  </si>
  <si>
    <t>Chunk 1: Overall=9/10 | Accuracy=9/10 | Completeness=10/10 | Fluency=9/10 The translation is accurate and complete, with minor fluency issues. Chunk 5: Overall=9/10 | Accuracy=9/10 | Completeness=10/10 | Fluency=9/10 The translation is accurate and complete, with minor fluency issues in legal phrasing. Chunk 10: Overall=9/10 | Accuracy=9/10 | Completeness=10/10 | Fluency=9/10 The translation is accurate and complete, with minor fluency issues. Chunk 14: Overall=9/10 | Accuracy=9/10 | Completeness=10/10 | Fluency=9/10 The translation is accurate and complete, with minor fluency issues. Chunk 18: Overall=9/10 | Accuracy=9/10 | Completeness=10/10 | Fluency=9/10 The translation is accurate and complete, with minor fluency issues in legal phrasing.</t>
  </si>
  <si>
    <t>$0.0013</t>
  </si>
  <si>
    <t>$0.0232</t>
  </si>
  <si>
    <t>Chunk 1: Overall=9/10 | Accuracy=10/10 | Completeness=9/10 | Fluency=10/10 The translation is accurate and fluent, but omits the phrase 'Text of interest for the EEA.' Omitted source text: (Texte présentant de l'intérêt pour l'EEE) Chunk 5: Overall=9/10 | Accuracy=9/10 | Completeness=9/10 | Fluency=10/10 The translation is accurate and fluent, with minor omissions affecting completeness. Omitted source text: "les éditeurs souhaitent en principe obtenir la commercialisation la plus large possible de leurs chaînes afin de maximiser leur rémunération et, à tout le moins, être présents sur l'ensemble des plateformes de diffusion via des exclusivités multi-plateformes." Chunk 9: Overall=9/10 | Accuracy=9/10 | Completeness=9/10 | Fluency=10/10 The translation is highly accurate and fluent, with only a minor omission of a study reference. Omitted source text: "Pratiques de la VoD en France", étude du Centre National de la Cinématographie de décembre 2006. Chunk 13: Overall=9/10 | Accuracy=9/10 | Completeness=10/10 | Fluency=9/10 The translation is accurate and complete, with minor fluency issues. Chunk 17: Overall=9/10 | Accuracy=9/10 | Completeness=10/10 | Fluency=9/10 The translation is accurate and complete, with minor fluency issues in legal phrasing.</t>
  </si>
  <si>
    <t>Chunk 1: Overall=9/10 | Accuracy=9/10 | Completeness=10/10 | Fluency=9/10 The translation is accurate and complete, with minor deviations in fluency that do not affect the legal meaning. Chunk 3: Overall=9/10 | Accuracy=9/10 | Completeness=9/10 | Fluency=10/10 The translation is accurate and fluent, with minor omissions affecting completeness. Omitted source text: "l'importance d'avoir accès aux moyens de production (flexibles) dans le périmètre d'équilibre et les risques particuliers liés à la fourniture des grands clients." Chunk 5: Overall=9/10 | Accuracy=9/10 | Completeness=10/10 | Fluency=9/10 The translation is accurate and complete, with minor fluency issues. Chunk 7: Overall=9/10 | Accuracy=9/10 | Completeness=9/10 | Fluency=10/10 The translation is accurate and fluent, but omits a detailed reference to the EU directive. Omitted source text: "vingtième considérant de la directive 2009/72/CE du Parlement européen et du Conseil du 13 juillet 2009 concernant des règles communes pour le marché intérieur de l’électricité et abrogeant la directive 2003/54/CE20, dont le délai de transposition expire le 3 mars 2011, les grands clients non résidentiels devraient, pour développer la concurrence sur le marché intérieur, pouvoir choisir leurs fournisseurs et avoir la possibilité de conclure des contrats avec plusieurs fournisseurs pour couvrir leurs besoins en électricité. Conformément à l'article 37, paragraphe 1, k), de ladite directive, les autorités de régulation nationales doivent surveiller l’apparition de pratiques contractuelles restrictives, y compris des clauses d’exclusivité qui peuvent empêcher de grands clients non résidentiels de passer contrat simultanément avec plus d’un fournisseur, ou qui pourraient limiter leur choix en la matière, et, le cas échéant, informer les autorités nationales de concurrence de ces pratiques. Le contrôle des engagements d'EDF sera donc facilité par le futur cadre legislatif, ce qui contribuera à assurer que les engagements restent effectifs." Chunk 8: Overall=9/10 | Accuracy=9/10 | Completeness=10/10 | Fluency=9/10 The translation is accurate and complete, with minor deviations in fluency that do not affect the legal meaning.</t>
  </si>
  <si>
    <t>$0.0101</t>
  </si>
  <si>
    <t>Chunk 1: Overall=9/10 | Accuracy=9/10 | Completeness=10/10 | Fluency=9/10 The translation is accurate and complete, with minor fluency issues. Chunk 2: Overall=9/10 | Accuracy=9/10 | Completeness=10/10 | Fluency=9/10 The translation is accurate and complete, with minor fluency issues in legal phrasing. Chunk 4: Overall=9/10 | Accuracy=9/10 | Completeness=9/10 | Fluency=10/10 The translation is accurate and fluent, but omits the section title "La vente séparée de certaines filiales de Legrand." Omitted source text: "La vente séparée de certaines filiales de Legrand" Chunk 6: Overall=9/10 | Accuracy=9/10 | Completeness=9/10 | Fluency=10/10 The translation is accurate and fluent, with a minor omission of a phrase introducing the decision. Omitted source text: "A ARRÊTÉ LA PRÉSENTE DÉCISION:" Chunk 7: Overall=9/10 | Accuracy=9/10 | Completeness=10/10 | Fluency=9/10 The translation is accurate, complete, and reads fluently as a legal document.</t>
  </si>
  <si>
    <t>$0.0217</t>
  </si>
  <si>
    <t>Chunk 1: Overall=9/10 | Accuracy=9/10 | Completeness=10/10 | Fluency=9/10 The translation is accurate and complete, with minor fluency issues. Chunk 4: Overall=9/10 | Accuracy=9/10 | Completeness=9/10 | Fluency=10/10 The translation is accurate and fluent, but omits specific details about the supervisory board's limitations on the management board's powers. Omitted source text: "Lors de sa séance du 19 septembre 2003, le conseil de surveillance a, à l'unanimité, limité les pouvoirs du directoire en matière (i) d'avals, cautions et garantie (limitation à 10 millions d'euros par opération), (ii) de cessions d'immeubles et de participations (limitation à 5 millions d'euros par opération), (iii) de constitution de sûretés (limitation à 10 millions d'euros par opération), (iv) d'acquisitions d'actifs sociaux immobilisés (limitation à 5 millions d'euros par unité), (v) de créations de sociétés, prises ou extensions de participations (limitation à 10 millions d'euros par opération). Dès lors que ces opérations dépassent les seuils indiqués, elles doivent faire l'objet d'une approbation par le conseil de surveillance. L'approbation du conseil de surveillance est également requise en cas d'adhésion à un GIE ou à toute association ou société pouvant entraîner la responsabilité solidaire et/ou indéfinie de la CNR." Chunk 8: Overall=9/10 | Accuracy=9/10 | Completeness=10/10 | Fluency=9/10 The translation is accurate and complete, with minor fluency issues. Chunk 11: Overall=9/10 | Accuracy=9/10 | Completeness=9/10 | Fluency=10/10 The translation is accurate and fluent, but a specific sentence regarding fines was omitted. Omitted source text: "amende jusqu'à 10% du chiffre d'affaires total réalisé par les entreprises concernées au sens de l'article 5, lorsque, de propos délibéré ou par négligence, elles réalisent une opération de concentration en ne respectant pas l'article 7 paragraphe 1 dudit règlement." Chunk 14: Overall=9/10 | Accuracy=9/10 | Completeness=10/10 | Fluency=9/10 The translation is accurate, complete, and reads fluently as a legal document.</t>
  </si>
  <si>
    <t>$0.0095</t>
  </si>
  <si>
    <t>Chunk 1: Overall=9/10 | Accuracy=9/10 | Completeness=9/10 | Fluency=10/10 The translation is highly accurate and fluent, with a minor omission regarding the balancing zone. Omitted source text: "et constitue une zone d'équilibrage séparée." Chunk 2: Overall=9/10 | Accuracy=9/10 | Completeness=9/10 | Fluency=10/10 The translation is accurate and fluent, but omits a small portion of text regarding GDF's dominance in wholesale supply markets. Omitted source text: "sur les marchés de la fourniture de gros ainsi que sur les" Chunk 4: Overall=9/10 | Accuracy=9/10 | Completeness=10/10 | Fluency=9/10 The translation is accurate and complete, with minor fluency issues in legal phrasing. Chunk 6: Overall=9/10 | Accuracy=9/10 | Completeness=10/10 | Fluency=9/10 The translation is accurate and complete, with minor fluency issues. Chunk 7: Overall=9/10 | Accuracy=9/10 | Completeness=10/10 | Fluency=9/10 The translation is accurate and complete, with minor fluency issues.</t>
  </si>
  <si>
    <t>$0.0036</t>
  </si>
  <si>
    <t>Chunk 1: Overall=9/10 | Accuracy=9/10 | Completeness=10/10 | Fluency=9/10 The translation is accurate and complete, with minor fluency issues in legal phrasing. Chunk 2: Overall=9/10 | Accuracy=9/10 | Completeness=10/10 | Fluency=9/10 The translation is accurate and complete, with minor fluency issues. Chunk 3: Overall=9/10 | Accuracy=10/10 | Completeness=9/10 | Fluency=10/10 The translation is accurate and fluent, but a small portion of text regarding interest rates was omitted. Omitted source text: A l'expiration de ce délai, des intérêts seront automatiquement dus, au taux appliqué par la Banque Centrale Européenne à ses opérations de prise en pension au premier jour ouvrable du mois d'adoption de la présente décision, plus un pourcentage égal à 3.5 points.</t>
  </si>
  <si>
    <t>$0.0038</t>
  </si>
  <si>
    <t>Chunk 1: Overall=9/10 | Accuracy=10/10 | Completeness=9/10 | Fluency=10/10 The translation is accurate and fluent, but omits the French date and document reference. Omitted source text: Bruxelles, le 28.10.2011 C(2011) 7572 final VERSION PUBLIQUE Chunk 2: Overall=9/10 | Accuracy=9/10 | Completeness=10/10 | Fluency=9/10 The translation is accurate and complete, with minor fluency issues. Chunk 3: Overall=9/10 | Accuracy=9/10 | Completeness=10/10 | Fluency=9/10 The translation is accurate, complete, and reads fluently, with minor deviations in phrasing that do not affect legal meaning. Chunk 4: Overall=10/10 | Accuracy=10/10 | Completeness=10/10 | Fluency=10/10 The translation accurately and completely conveys the legal meaning and reads</t>
  </si>
  <si>
    <t>Chunk  1: Overall=9/10 | Accuracy=9/10 | Completeness=10/10 | Fluency=9/10
         The translation is accurate and complete, with minor fluency issues.
Chunk  3: Overall=9/10 | Accuracy=9/10 | Completeness=10/10 | Fluency=9/10
         The translation is accurate and complete, with minor fluency issues.
Chunk  6: Overall=9/10 | Accuracy=9/10 | Completeness=10/10 | Fluency=9/10
         The translation is accurate and complete, with minor fluency issues.
Chunk  9: Overall=9/10 | Accuracy=9/10 | Completeness=10/10 | Fluency=9/10
         The translation is accurate and complete, with minor fluency issues.
Chunk 11: Overall=9/10 | Accuracy=9/10 | Completeness=10/10 | Fluency=9/10
         The translation is accurate, complete, and reads fluently as a legal document.</t>
  </si>
  <si>
    <t>Chunk 1: Overall=9/10 | Accuracy=10/10 | Completeness=9/10 | Fluency=10/10
The translation is accurate and fluent, but the phrase 'considérant ce qui suit:' is omitted.
Omitted source text: considérant ce qui suit:
Chunk 5: Overall=9/10 | Accuracy=9/10 | Completeness=9/10 | Fluency=10/10
The translation is accurate and fluent, but one specific detail about travel time comparison is omitted.
Omitted source text: "Pour comparer le temps de trajet en avion au temps de trajet par d'autres moyens de transport, on estime en général qu'il convient d'ajouter une heure à la durée du vol à chaque bout de la liaison (enregistrement et sortie, plus temps de trajet à partir et à destination des aéroports respectifs)."
Chunk 9: Overall=9/10 | Accuracy=9/10 | Completeness=10/10 | Fluency=9/10
The translation is accurate, complete, and reads fluently, with minor deviations in phrasing that do not affect legal meaning.
Chunk 13: Overall=9/10 | Accuracy=9/10 | Completeness=10/10 | Fluency=9/10
The translation is accurate and complete, with minor fluency issues.
Chunk 16: Overall=9/10 | Accuracy=9/10 | Completeness=10/10 | Fluency=9/10
The translation is accurate and complete, with minor fluency issues in legal phrasing.</t>
  </si>
  <si>
    <t>"Chunk 1: Overall=9/10 | Accuracy=9/10 | Completeness=10/10 | Fluency=9/10
The translation is accurate and complete, with minor fluency issues.
Chunk 13: Overall=9/10 | Accuracy=9/10 | Completeness=10/10 | Fluency=9/10
The translation is accurate and complete, with minor fluency issues.
Chunk 26: Overall=9/10 | Accuracy=9/10 | Completeness=10/10 | Fluency=9/10
The translation is accurate and complete, with minor fluency issues.
Chunk 39: Overall=9/10 | Accuracy=9/10 | Completeness=10/10 | Fluency=9/10
The translation is accurate, complete, and reads fluently, with minor deviations in phrasing that do not affect legal meaning.
Chunk 51: Overall=9/10 | Accuracy=9/10 | Completeness=10/10 | Fluency=9/10
The translation is accurate, complete, and reads fluently as a legal document."</t>
  </si>
  <si>
    <t>"Chunk 1: Overall=10/10 | Accuracy=10/10 | Completeness=10/10 | Fluency=10/10
The translation accurately and completely conveys the legal meaning and reads fluently as a professional legal document.
Chunk 13: Overall=9/10 | Accuracy=9/10 | Completeness=10/10 | Fluency=9/10
The translation is accurate and complete, with minor fluency issues.
Chunk 26: Overall=9/10 | Accuracy=9/10 | Completeness=10/10 | Fluency=9/10
The translation is accurate and complete, with minor fluency issues.
Chunk 39: Overall=9/10 | Accuracy=9/10 | Completeness=9/10 | Fluency=10/10
The translation is accurate and fluent, with a minor omission in the last sentence.
Omitted source text: "Parmi les éléments susceptibles de révéler un tel rôle au sein d’un cartel figurent le caractère sensiblement plus sporadique de la participation aux réunions par rapport aux"
Chunk 51: Overall=10/10 | Accuracy=10/10 | Completeness=10/10 | Fluency=10/10
The translation accurately conveys the legal and financial details with no omissions and reads fluently."</t>
  </si>
  <si>
    <t>$0.0129</t>
  </si>
  <si>
    <t>Overall=9/10 | Accuracy=9/10 | Completeness=10/10 | Fluency=9/10
The translation is accurate and complete, with minor fluency issues in legal phrasing.
Chunk 3: Overall=9/10 | Accuracy=9/10 | Completeness=10/10 | Fluency=9/10
The translation is accurate, complete, and reads fluently as a legal document.
Chunk 5: Overall=9/10 | Accuracy=9/10 | Completeness=10/10 | Fluency=9/10
The translation is accurate and complete, with minor fluency issues.
Chunk 7: Overall=9/10 | Accuracy=9/10 | Completeness=10/10 | Fluency=9/10
The translation is accurate, complete, and reads fluently as a legal document.
Chunk 9: Overall=9/10 | Accuracy=9/10 | Completeness=10/10 | Fluency=9/10
The translation is accurate and complete, with minor</t>
  </si>
  <si>
    <t>$0.0172</t>
  </si>
  <si>
    <t>"Chunk 1: Overall=9/10 | Accuracy=9/10 | Completeness=10/10 | Fluency=9/10
The translation is accurate and complete, with minor fluency issues.
Chunk 3: Overall=9/10 | Accuracy=9/10 | Completeness=10/10 | Fluency=9/10
The translation is accurate and complete, with minor fluency issues.
Chunk 6: Overall=9/10 | Accuracy=9/10 | Completeness=10/10 | Fluency=9/10
The translation is accurate, complete, and reads fluently, with minor deviations in phrasing that do not affect legal meaning.
Chunk 9: Overall=9/10 | Accuracy=9/10 | Completeness=10/10 | Fluency=9/10
The translation is accurate and complete, with minor fluency issues.
Chunk 11: Overall=10/10 | Accuracy=10/10 | Completeness=10/10 | Fluency=10/10
The translation accurately captures the legal meaning, is complete, and reads fluently as a professional legal document."</t>
  </si>
  <si>
    <t>"Chunk 1: Overall=10/10 | Accuracy=10/10 | Completeness=10/10 | Fluency=10/10
The translation accurately and completely conveys the legal content and reads fluently as a professional legal document.
Chunk 77: Overall=9/10 | Accuracy=9/10 | Completeness=10/10 | Fluency=9/10
The translation is accurate and complete, with minor fluency issues.
Chunk 153: Overall=9/10 | Accuracy=9/10 | Completeness=10/10 | Fluency=9/10
The translation is accurate and complete, with minor fluency issues.
Chunk 229: Overall=9/10 | Accuracy=9/10 | Completeness=10/10 | Fluency=9/10
The translation is accurate and complete, with minor fluency issues.
Chunk 304: Overall=9/10 | Accuracy=9/10 | Completeness=10/10 | Fluency=9/10
The translation is accurate, complete, and reads fluently as a legal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</si>
</sst>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_([$$-409]* #,##0.0000_);_([$$-409]* \(#,##0.0000\);_([$$-409]* &quot;-&quot;??_);_(@_)"/>
    <numFmt numFmtId="169" formatCode="0.0"/>
    <numFmt numFmtId="177" formatCode="0.0000"/>
    <numFmt numFmtId="178" formatCode="0.000"/>
  </numFmts>
  <fonts count="7" x14ac:knownFonts="1">
    <font>
      <sz val="12"/>
      <color theme="1"/>
      <name val="Aptos Narrow"/>
      <family val="2"/>
      <scheme val="minor"/>
    </font>
    <font>
      <sz val="12"/>
      <color theme="1"/>
      <name val="Aptos Narrow"/>
      <family val="2"/>
      <scheme val="minor"/>
    </font>
    <font>
      <sz val="8"/>
      <name val="Aptos Narrow"/>
      <family val="2"/>
      <scheme val="minor"/>
    </font>
    <font>
      <b/>
      <sz val="12"/>
      <color theme="1"/>
      <name val="Aptos Narrow"/>
      <scheme val="minor"/>
    </font>
    <font>
      <sz val="12"/>
      <color theme="1"/>
      <name val="Aptos Narrow"/>
      <scheme val="minor"/>
    </font>
    <font>
      <sz val="10"/>
      <color rgb="FF000000"/>
      <name val="Helvetica Neue"/>
      <family val="2"/>
    </font>
    <font>
      <sz val="12"/>
      <color rgb="FF000000"/>
      <name val="Arial"/>
      <family val="2"/>
    </font>
  </fonts>
  <fills count="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4" fillId="0" borderId="0" xfId="0" applyFont="1"/>
    <xf numFmtId="0" fontId="3" fillId="2" borderId="0" xfId="0" applyFont="1" applyFill="1" applyAlignment="1">
      <alignment horizontal="center"/>
    </xf>
    <xf numFmtId="0" fontId="4" fillId="0" borderId="0" xfId="0" applyFont="1" applyAlignment="1">
      <alignment horizontal="center"/>
    </xf>
    <xf numFmtId="0" fontId="4" fillId="0" borderId="0" xfId="0" applyFont="1" applyAlignment="1"/>
    <xf numFmtId="2" fontId="4" fillId="0" borderId="0" xfId="0" applyNumberFormat="1" applyFont="1"/>
    <xf numFmtId="0" fontId="3" fillId="2" borderId="0" xfId="0" applyFont="1" applyFill="1" applyAlignment="1"/>
    <xf numFmtId="0" fontId="3" fillId="2" borderId="0" xfId="0" applyNumberFormat="1" applyFont="1" applyFill="1" applyAlignment="1"/>
    <xf numFmtId="0" fontId="3" fillId="0" borderId="0" xfId="0" applyNumberFormat="1" applyFont="1" applyAlignment="1"/>
    <xf numFmtId="0" fontId="3" fillId="0" borderId="0" xfId="0" applyFont="1" applyAlignment="1"/>
    <xf numFmtId="0" fontId="3" fillId="3" borderId="0" xfId="0" applyFont="1" applyFill="1" applyAlignment="1"/>
    <xf numFmtId="2" fontId="4" fillId="0" borderId="0" xfId="0" applyNumberFormat="1" applyFont="1" applyAlignment="1"/>
    <xf numFmtId="2" fontId="3" fillId="3" borderId="0" xfId="0" applyNumberFormat="1" applyFont="1" applyFill="1" applyAlignment="1"/>
    <xf numFmtId="178" fontId="3" fillId="3" borderId="0" xfId="0" applyNumberFormat="1" applyFont="1" applyFill="1" applyAlignment="1"/>
    <xf numFmtId="177" fontId="3" fillId="3" borderId="0" xfId="0" applyNumberFormat="1" applyFont="1" applyFill="1" applyAlignment="1"/>
    <xf numFmtId="169" fontId="3" fillId="3" borderId="0" xfId="0" applyNumberFormat="1" applyFont="1" applyFill="1" applyAlignment="1"/>
    <xf numFmtId="177" fontId="3" fillId="2" borderId="0" xfId="0" applyNumberFormat="1" applyFont="1" applyFill="1" applyAlignment="1"/>
    <xf numFmtId="178" fontId="3" fillId="2" borderId="0" xfId="0" applyNumberFormat="1" applyFont="1" applyFill="1" applyAlignment="1"/>
    <xf numFmtId="2" fontId="3" fillId="2" borderId="0" xfId="0" applyNumberFormat="1" applyFont="1" applyFill="1" applyAlignment="1"/>
    <xf numFmtId="169" fontId="3" fillId="2" borderId="0" xfId="0" applyNumberFormat="1" applyFont="1" applyFill="1" applyAlignment="1"/>
    <xf numFmtId="0" fontId="5" fillId="0" borderId="0" xfId="0" applyFont="1"/>
    <xf numFmtId="0" fontId="6" fillId="0" borderId="0" xfId="0" applyFont="1"/>
    <xf numFmtId="0" fontId="4" fillId="0" borderId="0" xfId="0" quotePrefix="1" applyNumberFormat="1" applyFont="1" applyAlignment="1"/>
    <xf numFmtId="2" fontId="4" fillId="0" borderId="0" xfId="0" quotePrefix="1" applyNumberFormat="1" applyFont="1" applyAlignment="1"/>
    <xf numFmtId="2" fontId="5" fillId="0" borderId="0" xfId="0" applyNumberFormat="1" applyFont="1"/>
    <xf numFmtId="166" fontId="4" fillId="0" borderId="0" xfId="1" applyNumberFormat="1" applyFont="1" applyAlignment="1"/>
    <xf numFmtId="166" fontId="3" fillId="2" borderId="0" xfId="1" applyNumberFormat="1" applyFont="1" applyFill="1" applyAlignment="1"/>
    <xf numFmtId="166" fontId="4" fillId="0" borderId="0" xfId="1" applyNumberFormat="1" applyFont="1"/>
    <xf numFmtId="166" fontId="5" fillId="0" borderId="0" xfId="1" applyNumberFormat="1" applyFont="1"/>
    <xf numFmtId="166" fontId="4" fillId="0" borderId="0" xfId="1" quotePrefix="1" applyNumberFormat="1" applyFont="1" applyAlignment="1"/>
    <xf numFmtId="166" fontId="3" fillId="3" borderId="0" xfId="1" applyNumberFormat="1" applyFont="1" applyFill="1" applyAlignment="1"/>
    <xf numFmtId="166" fontId="0" fillId="0" borderId="0" xfId="0" quotePrefix="1"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A2E7-CEA2-334F-8130-5AB8250AEC83}">
  <dimension ref="A1:N306"/>
  <sheetViews>
    <sheetView tabSelected="1" zoomScale="50" zoomScaleNormal="110" workbookViewId="0">
      <pane ySplit="1" topLeftCell="A4" activePane="bottomLeft" state="frozen"/>
      <selection pane="bottomLeft" activeCell="P47" sqref="P47"/>
    </sheetView>
  </sheetViews>
  <sheetFormatPr baseColWidth="10" defaultRowHeight="16" x14ac:dyDescent="0.2"/>
  <cols>
    <col min="1" max="1" width="36.33203125" style="4" bestFit="1" customWidth="1"/>
    <col min="2" max="2" width="10.83203125" style="4" bestFit="1" customWidth="1"/>
    <col min="3" max="3" width="18.6640625" style="4" bestFit="1" customWidth="1"/>
    <col min="4" max="4" width="10.1640625" style="4" bestFit="1" customWidth="1"/>
    <col min="5" max="5" width="13.5" style="4" bestFit="1" customWidth="1"/>
    <col min="6" max="7" width="13.1640625" style="4" bestFit="1" customWidth="1"/>
    <col min="8" max="9" width="12.33203125" style="4" bestFit="1" customWidth="1"/>
    <col min="10" max="10" width="21.6640625" style="4" bestFit="1" customWidth="1"/>
    <col min="11" max="11" width="23.33203125" style="4" bestFit="1" customWidth="1"/>
    <col min="12" max="12" width="27" style="4" customWidth="1"/>
    <col min="13" max="13" width="22.33203125" style="4" bestFit="1" customWidth="1"/>
    <col min="14" max="14" width="13" style="4" customWidth="1"/>
    <col min="15" max="16384" width="10.83203125" style="4"/>
  </cols>
  <sheetData>
    <row r="1" spans="1:14" s="3" customFormat="1" x14ac:dyDescent="0.2">
      <c r="A1" s="2" t="s">
        <v>0</v>
      </c>
      <c r="B1" s="2" t="s">
        <v>1</v>
      </c>
      <c r="C1" s="2" t="s">
        <v>2</v>
      </c>
      <c r="D1" s="2" t="s">
        <v>3</v>
      </c>
      <c r="E1" s="2" t="s">
        <v>15</v>
      </c>
      <c r="F1" s="2" t="s">
        <v>4</v>
      </c>
      <c r="G1" s="2" t="s">
        <v>5</v>
      </c>
      <c r="H1" s="2" t="s">
        <v>6</v>
      </c>
      <c r="I1" s="2" t="s">
        <v>7</v>
      </c>
      <c r="J1" s="2" t="s">
        <v>163</v>
      </c>
      <c r="K1" s="2" t="s">
        <v>16</v>
      </c>
      <c r="L1" s="2" t="s">
        <v>17</v>
      </c>
      <c r="M1" s="2" t="s">
        <v>18</v>
      </c>
      <c r="N1" s="2" t="s">
        <v>20</v>
      </c>
    </row>
    <row r="2" spans="1:14" x14ac:dyDescent="0.2">
      <c r="A2" s="4" t="s">
        <v>8</v>
      </c>
      <c r="B2" s="4" t="s">
        <v>9</v>
      </c>
      <c r="C2" s="4">
        <v>4</v>
      </c>
      <c r="D2" s="25">
        <v>1.6999999999999999E-3</v>
      </c>
      <c r="E2" s="11">
        <v>108</v>
      </c>
      <c r="F2" s="11">
        <v>24.42</v>
      </c>
      <c r="G2" s="11">
        <v>58.62</v>
      </c>
      <c r="H2" s="11">
        <v>0.89049999999999996</v>
      </c>
      <c r="I2" s="11">
        <v>0.85699999999999998</v>
      </c>
      <c r="J2" s="11">
        <v>10</v>
      </c>
      <c r="K2" s="11">
        <v>10</v>
      </c>
      <c r="L2" s="11">
        <v>10</v>
      </c>
      <c r="M2" s="11">
        <v>10</v>
      </c>
    </row>
    <row r="3" spans="1:14" x14ac:dyDescent="0.2">
      <c r="A3" s="4" t="s">
        <v>127</v>
      </c>
      <c r="B3" s="4" t="s">
        <v>9</v>
      </c>
      <c r="C3" s="4">
        <v>2</v>
      </c>
      <c r="D3" s="25">
        <v>6.9999999999999999E-4</v>
      </c>
      <c r="E3" s="11">
        <v>14.8</v>
      </c>
      <c r="F3" s="11">
        <v>45.04</v>
      </c>
      <c r="G3" s="11">
        <v>68.73</v>
      </c>
      <c r="H3" s="11">
        <v>0.93169999999999997</v>
      </c>
      <c r="I3" s="11">
        <v>1.0149999999999999</v>
      </c>
      <c r="J3" s="11">
        <v>9</v>
      </c>
      <c r="K3" s="11">
        <v>9</v>
      </c>
      <c r="L3" s="11">
        <v>10</v>
      </c>
      <c r="M3" s="11">
        <v>9</v>
      </c>
      <c r="N3" s="4" t="s">
        <v>104</v>
      </c>
    </row>
    <row r="4" spans="1:14" x14ac:dyDescent="0.2">
      <c r="A4" s="4" t="s">
        <v>13</v>
      </c>
      <c r="B4" s="4" t="s">
        <v>9</v>
      </c>
      <c r="C4" s="4">
        <v>6</v>
      </c>
      <c r="D4" s="25">
        <v>2.0999999999999999E-3</v>
      </c>
      <c r="E4" s="11">
        <v>36.1</v>
      </c>
      <c r="F4" s="11">
        <v>46.14</v>
      </c>
      <c r="G4" s="11">
        <v>71.19</v>
      </c>
      <c r="H4" s="11">
        <v>0.90490000000000004</v>
      </c>
      <c r="I4" s="11">
        <v>0.97</v>
      </c>
      <c r="J4" s="11">
        <v>10</v>
      </c>
      <c r="K4" s="11">
        <v>10</v>
      </c>
      <c r="L4" s="11">
        <v>10</v>
      </c>
      <c r="M4" s="11">
        <v>10</v>
      </c>
    </row>
    <row r="5" spans="1:14" x14ac:dyDescent="0.2">
      <c r="A5" s="4" t="s">
        <v>14</v>
      </c>
      <c r="B5" s="4" t="s">
        <v>9</v>
      </c>
      <c r="C5" s="4">
        <v>69</v>
      </c>
      <c r="D5" s="25">
        <v>2.86E-2</v>
      </c>
      <c r="E5" s="11">
        <v>306.2</v>
      </c>
      <c r="F5" s="11">
        <v>15.04</v>
      </c>
      <c r="G5" s="11">
        <v>47.11</v>
      </c>
      <c r="H5" s="11">
        <v>0.82740000000000002</v>
      </c>
      <c r="I5" s="11">
        <v>0.86899999999999999</v>
      </c>
      <c r="J5" s="11">
        <v>9.4</v>
      </c>
      <c r="K5" s="11">
        <v>9.4</v>
      </c>
      <c r="L5" s="11">
        <v>10</v>
      </c>
      <c r="M5" s="11">
        <v>9.4</v>
      </c>
      <c r="N5" s="4" t="s">
        <v>21</v>
      </c>
    </row>
    <row r="6" spans="1:14" x14ac:dyDescent="0.2">
      <c r="A6" s="4" t="s">
        <v>22</v>
      </c>
      <c r="B6" s="4" t="s">
        <v>9</v>
      </c>
      <c r="C6" s="4">
        <v>6</v>
      </c>
      <c r="D6" s="25">
        <v>2.3E-3</v>
      </c>
      <c r="E6" s="11">
        <v>41.2</v>
      </c>
      <c r="F6" s="11">
        <v>5.48</v>
      </c>
      <c r="G6" s="11">
        <v>23.46</v>
      </c>
      <c r="H6" s="11">
        <v>0.77510000000000001</v>
      </c>
      <c r="I6" s="11">
        <v>0.92700000000000005</v>
      </c>
      <c r="J6" s="11">
        <v>9.5</v>
      </c>
      <c r="K6" s="11">
        <v>9.5</v>
      </c>
      <c r="L6" s="11">
        <v>10</v>
      </c>
      <c r="M6" s="11">
        <v>9.5</v>
      </c>
      <c r="N6" s="4" t="s">
        <v>23</v>
      </c>
    </row>
    <row r="7" spans="1:14" x14ac:dyDescent="0.2">
      <c r="A7" s="4" t="s">
        <v>129</v>
      </c>
      <c r="B7" s="4" t="s">
        <v>9</v>
      </c>
      <c r="C7" s="4">
        <v>4</v>
      </c>
      <c r="D7" s="25">
        <v>1.5E-3</v>
      </c>
      <c r="E7" s="11">
        <v>30.4</v>
      </c>
      <c r="F7" s="11">
        <v>2.2799999999999998</v>
      </c>
      <c r="G7" s="11">
        <v>25.9</v>
      </c>
      <c r="H7" s="11">
        <v>0.80959999999999999</v>
      </c>
      <c r="I7" s="11">
        <v>0.59299999999999997</v>
      </c>
      <c r="J7" s="11">
        <v>9</v>
      </c>
      <c r="K7" s="11">
        <v>9</v>
      </c>
      <c r="L7" s="11">
        <v>10</v>
      </c>
      <c r="M7" s="11">
        <v>9</v>
      </c>
      <c r="N7" s="4" t="s">
        <v>130</v>
      </c>
    </row>
    <row r="8" spans="1:14" x14ac:dyDescent="0.2">
      <c r="A8" s="4" t="s">
        <v>24</v>
      </c>
      <c r="B8" s="4" t="s">
        <v>9</v>
      </c>
      <c r="C8" s="4">
        <v>3</v>
      </c>
      <c r="D8" s="25">
        <v>8.0000000000000004E-4</v>
      </c>
      <c r="E8" s="11">
        <v>23.5</v>
      </c>
      <c r="F8" s="11">
        <v>32.5</v>
      </c>
      <c r="G8" s="11">
        <v>62.78</v>
      </c>
      <c r="H8" s="11">
        <v>0.92220000000000002</v>
      </c>
      <c r="I8" s="11">
        <v>0.83899999999999997</v>
      </c>
      <c r="J8" s="11">
        <v>10</v>
      </c>
      <c r="K8" s="11">
        <v>10</v>
      </c>
      <c r="L8" s="11">
        <v>10</v>
      </c>
      <c r="M8" s="11">
        <v>10</v>
      </c>
    </row>
    <row r="9" spans="1:14" x14ac:dyDescent="0.2">
      <c r="A9" s="4" t="s">
        <v>25</v>
      </c>
      <c r="B9" s="4" t="s">
        <v>9</v>
      </c>
      <c r="C9" s="4">
        <v>4</v>
      </c>
      <c r="D9" s="25">
        <v>1.6000000000000001E-3</v>
      </c>
      <c r="E9" s="11">
        <v>38</v>
      </c>
      <c r="F9" s="11">
        <v>35.43</v>
      </c>
      <c r="G9" s="11">
        <v>64.290000000000006</v>
      </c>
      <c r="H9" s="11">
        <v>0.89149999999999996</v>
      </c>
      <c r="I9" s="11">
        <v>0.96399999999999997</v>
      </c>
      <c r="J9" s="11">
        <v>9</v>
      </c>
      <c r="K9" s="11">
        <v>9</v>
      </c>
      <c r="L9" s="11">
        <v>10</v>
      </c>
      <c r="M9" s="11">
        <v>9</v>
      </c>
      <c r="N9" s="4" t="s">
        <v>26</v>
      </c>
    </row>
    <row r="10" spans="1:14" x14ac:dyDescent="0.2">
      <c r="A10" s="4" t="s">
        <v>27</v>
      </c>
      <c r="B10" s="4" t="s">
        <v>9</v>
      </c>
      <c r="C10" s="4">
        <v>3</v>
      </c>
      <c r="D10" s="25">
        <v>1.1000000000000001E-3</v>
      </c>
      <c r="E10" s="11">
        <v>22.7</v>
      </c>
      <c r="F10" s="11">
        <v>35.1</v>
      </c>
      <c r="G10" s="11">
        <v>65.64</v>
      </c>
      <c r="H10" s="11">
        <v>0.90149999999999997</v>
      </c>
      <c r="I10" s="11">
        <v>0.93300000000000005</v>
      </c>
      <c r="J10" s="11">
        <v>10</v>
      </c>
      <c r="K10" s="11">
        <v>10</v>
      </c>
      <c r="L10" s="11">
        <v>10</v>
      </c>
      <c r="M10" s="11">
        <v>10</v>
      </c>
    </row>
    <row r="11" spans="1:14" x14ac:dyDescent="0.2">
      <c r="A11" s="4" t="s">
        <v>28</v>
      </c>
      <c r="B11" s="4" t="s">
        <v>9</v>
      </c>
      <c r="C11" s="4">
        <v>12</v>
      </c>
      <c r="D11" s="25">
        <v>4.7000000000000002E-3</v>
      </c>
      <c r="E11" s="11">
        <v>57.7</v>
      </c>
      <c r="F11" s="11">
        <v>27.36</v>
      </c>
      <c r="G11" s="11">
        <v>58.59</v>
      </c>
      <c r="H11" s="11">
        <v>0.85050000000000003</v>
      </c>
      <c r="I11" s="11">
        <v>1.0009999999999999</v>
      </c>
      <c r="J11" s="11">
        <v>9.8000000000000007</v>
      </c>
      <c r="K11" s="11">
        <v>9.8000000000000007</v>
      </c>
      <c r="L11" s="11">
        <v>10</v>
      </c>
      <c r="M11" s="11">
        <v>9.8000000000000007</v>
      </c>
      <c r="N11" s="4" t="s">
        <v>29</v>
      </c>
    </row>
    <row r="12" spans="1:14" x14ac:dyDescent="0.2">
      <c r="A12" s="4" t="s">
        <v>30</v>
      </c>
      <c r="B12" s="4" t="s">
        <v>9</v>
      </c>
      <c r="C12" s="4">
        <v>3</v>
      </c>
      <c r="D12" s="25">
        <v>8.9999999999999998E-4</v>
      </c>
      <c r="E12" s="11">
        <v>20.9</v>
      </c>
      <c r="F12" s="11">
        <v>38.46</v>
      </c>
      <c r="G12" s="11">
        <v>69.849999999999994</v>
      </c>
      <c r="H12" s="11">
        <v>0.91449999999999998</v>
      </c>
      <c r="I12" s="11">
        <v>0.95499999999999996</v>
      </c>
      <c r="J12" s="11">
        <v>10</v>
      </c>
      <c r="K12" s="11">
        <v>10</v>
      </c>
      <c r="L12" s="11">
        <v>10</v>
      </c>
      <c r="M12" s="11">
        <v>10</v>
      </c>
    </row>
    <row r="13" spans="1:14" x14ac:dyDescent="0.2">
      <c r="A13" s="4" t="s">
        <v>31</v>
      </c>
      <c r="B13" s="4" t="s">
        <v>9</v>
      </c>
      <c r="C13" s="4">
        <v>5</v>
      </c>
      <c r="D13" s="25">
        <v>2.3E-3</v>
      </c>
      <c r="E13" s="11">
        <v>76.2</v>
      </c>
      <c r="F13" s="11">
        <v>42.17</v>
      </c>
      <c r="G13" s="11">
        <v>71.2</v>
      </c>
      <c r="H13" s="11">
        <v>0.92120000000000002</v>
      </c>
      <c r="I13" s="11">
        <v>0.96699999999999997</v>
      </c>
      <c r="J13" s="11">
        <v>9.5</v>
      </c>
      <c r="K13" s="11">
        <v>9.5</v>
      </c>
      <c r="L13" s="11">
        <v>10</v>
      </c>
      <c r="M13" s="11">
        <v>9.5</v>
      </c>
      <c r="N13" s="4" t="s">
        <v>32</v>
      </c>
    </row>
    <row r="14" spans="1:14" x14ac:dyDescent="0.2">
      <c r="A14" s="4" t="s">
        <v>33</v>
      </c>
      <c r="B14" s="4" t="s">
        <v>9</v>
      </c>
      <c r="C14" s="4">
        <v>13</v>
      </c>
      <c r="D14" s="25">
        <v>4.5999999999999999E-3</v>
      </c>
      <c r="E14" s="11">
        <v>53</v>
      </c>
      <c r="F14" s="11">
        <v>21.77</v>
      </c>
      <c r="G14" s="11">
        <v>49.77</v>
      </c>
      <c r="H14" s="11">
        <v>0.85089999999999999</v>
      </c>
      <c r="I14" s="11">
        <v>0.67700000000000005</v>
      </c>
      <c r="J14" s="11">
        <v>9</v>
      </c>
      <c r="K14" s="11">
        <v>9</v>
      </c>
      <c r="L14" s="11">
        <v>8.8000000000000007</v>
      </c>
      <c r="M14" s="11">
        <v>9.4</v>
      </c>
      <c r="N14" s="4" t="s">
        <v>34</v>
      </c>
    </row>
    <row r="15" spans="1:14" x14ac:dyDescent="0.2">
      <c r="A15" s="4" t="s">
        <v>35</v>
      </c>
      <c r="B15" s="4" t="s">
        <v>9</v>
      </c>
      <c r="C15" s="4">
        <v>6</v>
      </c>
      <c r="D15" s="25">
        <v>2.3E-3</v>
      </c>
      <c r="E15" s="11">
        <v>33.1</v>
      </c>
      <c r="F15" s="11">
        <v>32.520000000000003</v>
      </c>
      <c r="G15" s="11">
        <v>65.430000000000007</v>
      </c>
      <c r="H15" s="11">
        <v>0.89459999999999995</v>
      </c>
      <c r="I15" s="11">
        <v>0.998</v>
      </c>
      <c r="J15" s="11">
        <v>10</v>
      </c>
      <c r="K15" s="11">
        <v>10</v>
      </c>
      <c r="L15" s="11">
        <v>10</v>
      </c>
      <c r="M15" s="11">
        <v>10</v>
      </c>
    </row>
    <row r="16" spans="1:14" x14ac:dyDescent="0.2">
      <c r="A16" s="4" t="s">
        <v>36</v>
      </c>
      <c r="B16" s="4" t="s">
        <v>9</v>
      </c>
      <c r="C16" s="4">
        <v>3</v>
      </c>
      <c r="D16" s="25">
        <v>1.1999999999999999E-3</v>
      </c>
      <c r="E16" s="11">
        <v>24.5</v>
      </c>
      <c r="F16" s="11">
        <v>33.020000000000003</v>
      </c>
      <c r="G16" s="11">
        <v>67.27</v>
      </c>
      <c r="H16" s="11">
        <v>0.89490000000000003</v>
      </c>
      <c r="I16" s="11">
        <v>1.044</v>
      </c>
      <c r="J16" s="11">
        <v>10</v>
      </c>
      <c r="K16" s="11">
        <v>10</v>
      </c>
      <c r="L16" s="11">
        <v>10</v>
      </c>
      <c r="M16" s="11">
        <v>10</v>
      </c>
    </row>
    <row r="17" spans="1:14" x14ac:dyDescent="0.2">
      <c r="A17" s="4" t="s">
        <v>37</v>
      </c>
      <c r="B17" s="4" t="s">
        <v>9</v>
      </c>
      <c r="C17" s="4">
        <v>8</v>
      </c>
      <c r="D17" s="25">
        <v>2.7000000000000001E-3</v>
      </c>
      <c r="E17" s="11">
        <v>42.9</v>
      </c>
      <c r="F17" s="11">
        <v>15.86</v>
      </c>
      <c r="G17" s="11">
        <v>40.04</v>
      </c>
      <c r="H17" s="11">
        <v>0.83399999999999996</v>
      </c>
      <c r="I17" s="11">
        <v>0.56599999999999995</v>
      </c>
      <c r="J17" s="11">
        <v>8</v>
      </c>
      <c r="K17" s="11">
        <v>8</v>
      </c>
      <c r="L17" s="11">
        <v>7.7</v>
      </c>
      <c r="M17" s="11">
        <v>8.6999999999999993</v>
      </c>
      <c r="N17" s="4" t="s">
        <v>40</v>
      </c>
    </row>
    <row r="18" spans="1:14" x14ac:dyDescent="0.2">
      <c r="A18" s="4" t="s">
        <v>131</v>
      </c>
      <c r="B18" s="4" t="s">
        <v>9</v>
      </c>
      <c r="C18" s="4">
        <v>2</v>
      </c>
      <c r="D18" s="25">
        <v>6.9999999999999999E-4</v>
      </c>
      <c r="E18" s="11">
        <v>15.9</v>
      </c>
      <c r="F18" s="11">
        <v>53.86</v>
      </c>
      <c r="G18" s="11">
        <v>76.44</v>
      </c>
      <c r="H18" s="11">
        <v>0.90580000000000005</v>
      </c>
      <c r="I18" s="11">
        <v>1.0409999999999999</v>
      </c>
      <c r="J18" s="11">
        <v>9</v>
      </c>
      <c r="K18" s="11">
        <v>9</v>
      </c>
      <c r="L18" s="11">
        <v>10</v>
      </c>
      <c r="M18" s="11">
        <v>9</v>
      </c>
      <c r="N18" s="4" t="s">
        <v>132</v>
      </c>
    </row>
    <row r="19" spans="1:14" x14ac:dyDescent="0.2">
      <c r="A19" s="4" t="s">
        <v>38</v>
      </c>
      <c r="B19" s="4" t="s">
        <v>9</v>
      </c>
      <c r="C19" s="4">
        <v>10</v>
      </c>
      <c r="D19" s="25">
        <v>4.3E-3</v>
      </c>
      <c r="E19" s="11">
        <v>43.1</v>
      </c>
      <c r="F19" s="11">
        <v>35.51</v>
      </c>
      <c r="G19" s="11">
        <v>67.459999999999994</v>
      </c>
      <c r="H19" s="11">
        <v>0.88449999999999995</v>
      </c>
      <c r="I19" s="11">
        <v>0.95499999999999996</v>
      </c>
      <c r="J19" s="11">
        <v>9.5</v>
      </c>
      <c r="K19" s="11">
        <v>9.5</v>
      </c>
      <c r="L19" s="11">
        <v>10</v>
      </c>
      <c r="M19" s="11">
        <v>9.5</v>
      </c>
      <c r="N19" s="4" t="s">
        <v>39</v>
      </c>
    </row>
    <row r="20" spans="1:14" x14ac:dyDescent="0.2">
      <c r="A20" s="4" t="s">
        <v>133</v>
      </c>
      <c r="B20" s="4" t="s">
        <v>9</v>
      </c>
      <c r="C20" s="4">
        <v>1</v>
      </c>
      <c r="D20" s="25">
        <v>2.9999999999999997E-4</v>
      </c>
      <c r="E20" s="11">
        <v>9</v>
      </c>
      <c r="F20" s="11">
        <v>47.98</v>
      </c>
      <c r="G20" s="11">
        <v>73.099999999999994</v>
      </c>
      <c r="H20" s="11">
        <v>0.92530000000000001</v>
      </c>
      <c r="I20" s="11">
        <v>1.0900000000000001</v>
      </c>
      <c r="J20" s="11">
        <v>9</v>
      </c>
      <c r="K20" s="11">
        <v>9</v>
      </c>
      <c r="L20" s="11">
        <v>10</v>
      </c>
      <c r="M20" s="11">
        <v>9</v>
      </c>
      <c r="N20" s="4" t="s">
        <v>134</v>
      </c>
    </row>
    <row r="21" spans="1:14" x14ac:dyDescent="0.2">
      <c r="A21" s="4" t="s">
        <v>41</v>
      </c>
      <c r="B21" s="4" t="s">
        <v>9</v>
      </c>
      <c r="C21" s="4">
        <v>17</v>
      </c>
      <c r="D21" s="25">
        <v>6.1999999999999998E-3</v>
      </c>
      <c r="E21" s="11">
        <v>30.8</v>
      </c>
      <c r="F21" s="11">
        <v>2.9</v>
      </c>
      <c r="G21" s="11">
        <v>42.88</v>
      </c>
      <c r="H21" s="11">
        <v>0.79990000000000006</v>
      </c>
      <c r="I21" s="11">
        <v>1.6359999999999999</v>
      </c>
      <c r="J21" s="11">
        <v>9.6</v>
      </c>
      <c r="K21" s="11">
        <v>9.6</v>
      </c>
      <c r="L21" s="11">
        <v>10</v>
      </c>
      <c r="M21" s="11">
        <v>9.6</v>
      </c>
      <c r="N21" s="4" t="s">
        <v>42</v>
      </c>
    </row>
    <row r="22" spans="1:14" x14ac:dyDescent="0.2">
      <c r="A22" s="4" t="s">
        <v>43</v>
      </c>
      <c r="B22" s="4" t="s">
        <v>9</v>
      </c>
      <c r="C22" s="4">
        <v>111</v>
      </c>
      <c r="D22" s="25">
        <v>4.8500000000000001E-2</v>
      </c>
      <c r="E22" s="11">
        <v>228.4</v>
      </c>
      <c r="F22" s="11">
        <v>6.74</v>
      </c>
      <c r="G22" s="11">
        <v>40.450000000000003</v>
      </c>
      <c r="H22" s="11">
        <v>0.80930000000000002</v>
      </c>
      <c r="I22" s="11">
        <v>0.91500000000000004</v>
      </c>
      <c r="J22" s="11">
        <v>9</v>
      </c>
      <c r="K22" s="11">
        <v>9</v>
      </c>
      <c r="L22" s="11">
        <v>10</v>
      </c>
      <c r="M22" s="11">
        <v>9</v>
      </c>
      <c r="N22" s="4" t="s">
        <v>44</v>
      </c>
    </row>
    <row r="23" spans="1:14" x14ac:dyDescent="0.2">
      <c r="A23" s="4" t="s">
        <v>45</v>
      </c>
      <c r="B23" s="4" t="s">
        <v>9</v>
      </c>
      <c r="C23" s="4">
        <v>6</v>
      </c>
      <c r="D23" s="25">
        <v>2.2000000000000001E-3</v>
      </c>
      <c r="E23" s="11">
        <v>32.9</v>
      </c>
      <c r="F23" s="11">
        <v>33.49</v>
      </c>
      <c r="G23" s="11">
        <v>64.930000000000007</v>
      </c>
      <c r="H23" s="11">
        <v>0.88900000000000001</v>
      </c>
      <c r="I23" s="11">
        <v>1.048</v>
      </c>
      <c r="J23" s="11">
        <v>9</v>
      </c>
      <c r="K23" s="11">
        <v>9</v>
      </c>
      <c r="L23" s="11">
        <v>10</v>
      </c>
      <c r="M23" s="11">
        <v>9</v>
      </c>
      <c r="N23" s="4" t="s">
        <v>46</v>
      </c>
    </row>
    <row r="24" spans="1:14" x14ac:dyDescent="0.2">
      <c r="A24" s="4" t="s">
        <v>47</v>
      </c>
      <c r="B24" s="4" t="s">
        <v>9</v>
      </c>
      <c r="C24" s="4">
        <v>5</v>
      </c>
      <c r="D24" s="25">
        <v>2.2000000000000001E-3</v>
      </c>
      <c r="E24" s="11">
        <v>33.700000000000003</v>
      </c>
      <c r="F24" s="11">
        <v>36.54</v>
      </c>
      <c r="G24" s="11">
        <v>65.349999999999994</v>
      </c>
      <c r="H24" s="11">
        <v>0.88980000000000004</v>
      </c>
      <c r="I24" s="11">
        <v>0.96299999999999997</v>
      </c>
      <c r="J24" s="11">
        <v>9</v>
      </c>
      <c r="K24" s="11">
        <v>9</v>
      </c>
      <c r="L24" s="11">
        <v>10</v>
      </c>
      <c r="M24" s="11">
        <v>9</v>
      </c>
      <c r="N24" s="4" t="s">
        <v>48</v>
      </c>
    </row>
    <row r="25" spans="1:14" x14ac:dyDescent="0.2">
      <c r="A25" s="4" t="s">
        <v>49</v>
      </c>
      <c r="B25" s="4" t="s">
        <v>9</v>
      </c>
      <c r="C25" s="4">
        <v>9</v>
      </c>
      <c r="D25" s="25">
        <v>3.3E-3</v>
      </c>
      <c r="E25" s="11">
        <v>43.6</v>
      </c>
      <c r="F25" s="11">
        <v>20.12</v>
      </c>
      <c r="G25" s="11">
        <v>47.05</v>
      </c>
      <c r="H25" s="11">
        <v>0.85360000000000003</v>
      </c>
      <c r="I25" s="11">
        <v>0.68700000000000006</v>
      </c>
      <c r="J25" s="11">
        <v>7.3</v>
      </c>
      <c r="K25" s="11">
        <v>7.3</v>
      </c>
      <c r="L25" s="11">
        <v>7.3</v>
      </c>
      <c r="M25" s="11">
        <v>8</v>
      </c>
      <c r="N25" s="4" t="s">
        <v>50</v>
      </c>
    </row>
    <row r="26" spans="1:14" x14ac:dyDescent="0.2">
      <c r="A26" s="4" t="s">
        <v>51</v>
      </c>
      <c r="B26" s="4" t="s">
        <v>9</v>
      </c>
      <c r="C26" s="4">
        <v>9</v>
      </c>
      <c r="D26" s="25">
        <v>3.7000000000000002E-3</v>
      </c>
      <c r="E26" s="11">
        <v>46.8</v>
      </c>
      <c r="F26" s="11">
        <v>24.23</v>
      </c>
      <c r="G26" s="11">
        <v>57.18</v>
      </c>
      <c r="H26" s="11">
        <v>0.85560000000000003</v>
      </c>
      <c r="I26" s="11">
        <v>0.88500000000000001</v>
      </c>
      <c r="J26" s="11">
        <v>9.3000000000000007</v>
      </c>
      <c r="K26" s="11">
        <v>9.3000000000000007</v>
      </c>
      <c r="L26" s="11">
        <v>10</v>
      </c>
      <c r="M26" s="11">
        <v>9.3000000000000007</v>
      </c>
      <c r="N26" s="4" t="s">
        <v>52</v>
      </c>
    </row>
    <row r="27" spans="1:14" x14ac:dyDescent="0.2">
      <c r="A27" s="4" t="s">
        <v>53</v>
      </c>
      <c r="B27" s="4" t="s">
        <v>9</v>
      </c>
      <c r="C27" s="4">
        <v>2</v>
      </c>
      <c r="D27" s="25">
        <v>8.0000000000000004E-4</v>
      </c>
      <c r="E27" s="11">
        <v>16.7</v>
      </c>
      <c r="F27" s="11">
        <v>51.45</v>
      </c>
      <c r="G27" s="11">
        <v>72.239999999999995</v>
      </c>
      <c r="H27" s="11">
        <v>0.92720000000000002</v>
      </c>
      <c r="I27" s="11">
        <v>0.96799999999999997</v>
      </c>
      <c r="J27" s="11">
        <v>10</v>
      </c>
      <c r="K27" s="11">
        <v>10</v>
      </c>
      <c r="L27" s="11">
        <v>10</v>
      </c>
      <c r="M27" s="11">
        <v>10</v>
      </c>
    </row>
    <row r="28" spans="1:14" x14ac:dyDescent="0.2">
      <c r="A28" s="4" t="s">
        <v>54</v>
      </c>
      <c r="B28" s="4" t="s">
        <v>9</v>
      </c>
      <c r="C28" s="4">
        <v>2</v>
      </c>
      <c r="D28" s="25">
        <v>4.0000000000000002E-4</v>
      </c>
      <c r="E28" s="11">
        <v>11.1</v>
      </c>
      <c r="F28" s="11">
        <v>63.04</v>
      </c>
      <c r="G28" s="11">
        <v>76.209999999999994</v>
      </c>
      <c r="H28" s="11">
        <v>0.93130000000000002</v>
      </c>
      <c r="I28" s="11">
        <v>0.99</v>
      </c>
      <c r="J28" s="11">
        <v>10</v>
      </c>
      <c r="K28" s="11">
        <v>10</v>
      </c>
      <c r="L28" s="11">
        <v>10</v>
      </c>
      <c r="M28" s="11">
        <v>10</v>
      </c>
    </row>
    <row r="29" spans="1:14" x14ac:dyDescent="0.2">
      <c r="A29" s="4" t="s">
        <v>55</v>
      </c>
      <c r="B29" s="4" t="s">
        <v>9</v>
      </c>
      <c r="C29" s="4">
        <v>3</v>
      </c>
      <c r="D29" s="25">
        <v>1.1000000000000001E-3</v>
      </c>
      <c r="E29" s="11">
        <v>21.7</v>
      </c>
      <c r="F29" s="11">
        <v>40.369999999999997</v>
      </c>
      <c r="G29" s="11">
        <v>70.56</v>
      </c>
      <c r="H29" s="11">
        <v>0.9163</v>
      </c>
      <c r="I29" s="11">
        <v>0.97699999999999998</v>
      </c>
      <c r="J29" s="11">
        <v>10</v>
      </c>
      <c r="K29" s="11">
        <v>10</v>
      </c>
      <c r="L29" s="11">
        <v>10</v>
      </c>
      <c r="M29" s="11">
        <v>10</v>
      </c>
    </row>
    <row r="30" spans="1:14" x14ac:dyDescent="0.2">
      <c r="A30" s="4" t="s">
        <v>56</v>
      </c>
      <c r="B30" s="4" t="s">
        <v>9</v>
      </c>
      <c r="C30" s="4">
        <v>122</v>
      </c>
      <c r="D30" s="25">
        <v>5.1499999999999997E-2</v>
      </c>
      <c r="E30" s="11">
        <v>131.19999999999999</v>
      </c>
      <c r="F30" s="11">
        <v>4.91</v>
      </c>
      <c r="G30" s="11">
        <v>26.31</v>
      </c>
      <c r="H30" s="11">
        <v>0.79</v>
      </c>
      <c r="I30" s="11">
        <v>0.876</v>
      </c>
      <c r="J30" s="11">
        <v>9.6</v>
      </c>
      <c r="K30" s="11">
        <v>9.6</v>
      </c>
      <c r="L30" s="11">
        <v>10</v>
      </c>
      <c r="M30" s="11">
        <v>9.6</v>
      </c>
      <c r="N30" s="4" t="s">
        <v>57</v>
      </c>
    </row>
    <row r="31" spans="1:14" x14ac:dyDescent="0.2">
      <c r="A31" s="4" t="s">
        <v>58</v>
      </c>
      <c r="B31" s="4" t="s">
        <v>9</v>
      </c>
      <c r="C31" s="4">
        <v>4</v>
      </c>
      <c r="D31" s="25">
        <v>1.2999999999999999E-3</v>
      </c>
      <c r="E31" s="11">
        <v>25</v>
      </c>
      <c r="F31" s="11">
        <v>32.450000000000003</v>
      </c>
      <c r="G31" s="11">
        <v>64.52</v>
      </c>
      <c r="H31" s="11">
        <v>0.91159999999999997</v>
      </c>
      <c r="I31" s="11">
        <v>0.89100000000000001</v>
      </c>
      <c r="J31" s="11">
        <v>9.5</v>
      </c>
      <c r="K31" s="11">
        <v>9.5</v>
      </c>
      <c r="L31" s="11">
        <v>9.5</v>
      </c>
      <c r="M31" s="11">
        <v>10</v>
      </c>
      <c r="N31" s="4" t="s">
        <v>59</v>
      </c>
    </row>
    <row r="32" spans="1:14" x14ac:dyDescent="0.2">
      <c r="A32" s="4" t="s">
        <v>60</v>
      </c>
      <c r="B32" s="4" t="s">
        <v>9</v>
      </c>
      <c r="C32" s="4">
        <v>4</v>
      </c>
      <c r="D32" s="25">
        <v>1.6000000000000001E-3</v>
      </c>
      <c r="E32" s="11">
        <v>33.1</v>
      </c>
      <c r="F32" s="11">
        <v>41.29</v>
      </c>
      <c r="G32" s="11">
        <v>67.41</v>
      </c>
      <c r="H32" s="11">
        <v>0.89500000000000002</v>
      </c>
      <c r="I32" s="11">
        <v>0.95199999999999996</v>
      </c>
      <c r="J32" s="11">
        <v>10</v>
      </c>
      <c r="K32" s="11">
        <v>10</v>
      </c>
      <c r="L32" s="11">
        <v>10</v>
      </c>
      <c r="M32" s="11">
        <v>10</v>
      </c>
    </row>
    <row r="33" spans="1:14" x14ac:dyDescent="0.2">
      <c r="A33" s="4" t="s">
        <v>61</v>
      </c>
      <c r="B33" s="4" t="s">
        <v>9</v>
      </c>
      <c r="C33" s="4">
        <v>309</v>
      </c>
      <c r="D33" s="25">
        <v>0.12590000000000001</v>
      </c>
      <c r="E33" s="11">
        <v>1160.7</v>
      </c>
      <c r="F33" s="11">
        <v>5.65</v>
      </c>
      <c r="G33" s="11">
        <v>39.03</v>
      </c>
      <c r="H33" s="11">
        <v>0.81059999999999999</v>
      </c>
      <c r="I33" s="11">
        <v>0.80400000000000005</v>
      </c>
      <c r="J33" s="11">
        <v>9.4</v>
      </c>
      <c r="K33" s="11">
        <v>9.4</v>
      </c>
      <c r="L33" s="11">
        <v>10</v>
      </c>
      <c r="M33" s="11">
        <v>9.4</v>
      </c>
      <c r="N33" s="4" t="s">
        <v>62</v>
      </c>
    </row>
    <row r="34" spans="1:14" x14ac:dyDescent="0.2">
      <c r="A34" s="4" t="s">
        <v>63</v>
      </c>
      <c r="B34" s="4" t="s">
        <v>9</v>
      </c>
      <c r="C34" s="4">
        <v>7</v>
      </c>
      <c r="D34" s="25">
        <v>2.8E-3</v>
      </c>
      <c r="E34" s="11">
        <v>43.9</v>
      </c>
      <c r="F34" s="11">
        <v>37.26</v>
      </c>
      <c r="G34" s="11">
        <v>68.89</v>
      </c>
      <c r="H34" s="11">
        <v>0.90490000000000004</v>
      </c>
      <c r="I34" s="11">
        <v>0.93700000000000006</v>
      </c>
      <c r="J34" s="11">
        <v>9.3000000000000007</v>
      </c>
      <c r="K34" s="11">
        <v>9.3000000000000007</v>
      </c>
      <c r="L34" s="11">
        <v>10</v>
      </c>
      <c r="M34" s="11">
        <v>9.3000000000000007</v>
      </c>
      <c r="N34" s="4" t="s">
        <v>64</v>
      </c>
    </row>
    <row r="35" spans="1:14" x14ac:dyDescent="0.2">
      <c r="A35" s="4" t="s">
        <v>65</v>
      </c>
      <c r="B35" s="4" t="s">
        <v>9</v>
      </c>
      <c r="C35" s="4">
        <v>216</v>
      </c>
      <c r="D35" s="25">
        <v>8.4599999999999995E-2</v>
      </c>
      <c r="E35" s="11">
        <v>847.3</v>
      </c>
      <c r="F35" s="11">
        <v>6.87</v>
      </c>
      <c r="G35" s="11">
        <v>35.97</v>
      </c>
      <c r="H35" s="11">
        <v>0.81230000000000002</v>
      </c>
      <c r="I35" s="11">
        <v>0.71199999999999997</v>
      </c>
      <c r="J35" s="11">
        <v>10</v>
      </c>
      <c r="K35" s="11">
        <v>10</v>
      </c>
      <c r="L35" s="11">
        <v>10</v>
      </c>
      <c r="M35" s="11">
        <v>10</v>
      </c>
    </row>
    <row r="36" spans="1:14" x14ac:dyDescent="0.2">
      <c r="A36" s="4" t="s">
        <v>66</v>
      </c>
      <c r="B36" s="4" t="s">
        <v>9</v>
      </c>
      <c r="C36" s="4">
        <v>4</v>
      </c>
      <c r="D36" s="25">
        <v>1.6999999999999999E-3</v>
      </c>
      <c r="E36" s="11">
        <v>40.6</v>
      </c>
      <c r="F36" s="11">
        <v>31.06</v>
      </c>
      <c r="G36" s="11">
        <v>64.08</v>
      </c>
      <c r="H36" s="11">
        <v>0.90310000000000001</v>
      </c>
      <c r="I36" s="11">
        <v>1.022</v>
      </c>
      <c r="J36" s="11">
        <v>9.5</v>
      </c>
      <c r="K36" s="11">
        <v>9.5</v>
      </c>
      <c r="L36" s="11">
        <v>10</v>
      </c>
      <c r="M36" s="11">
        <v>9.5</v>
      </c>
      <c r="N36" s="4" t="s">
        <v>67</v>
      </c>
    </row>
    <row r="37" spans="1:14" x14ac:dyDescent="0.2">
      <c r="A37" s="4" t="s">
        <v>68</v>
      </c>
      <c r="B37" s="4" t="s">
        <v>9</v>
      </c>
      <c r="C37" s="4">
        <v>3</v>
      </c>
      <c r="D37" s="25">
        <v>1.1000000000000001E-3</v>
      </c>
      <c r="E37" s="11">
        <v>25.8</v>
      </c>
      <c r="F37" s="11">
        <v>26.38</v>
      </c>
      <c r="G37" s="11">
        <v>62.28</v>
      </c>
      <c r="H37" s="11">
        <v>0.88800000000000001</v>
      </c>
      <c r="I37" s="11">
        <v>0.92700000000000005</v>
      </c>
      <c r="J37" s="11">
        <v>10</v>
      </c>
      <c r="K37" s="11">
        <v>10</v>
      </c>
      <c r="L37" s="11">
        <v>10</v>
      </c>
      <c r="M37" s="11">
        <v>10</v>
      </c>
    </row>
    <row r="38" spans="1:14" x14ac:dyDescent="0.2">
      <c r="A38" s="4" t="s">
        <v>69</v>
      </c>
      <c r="B38" s="4" t="s">
        <v>9</v>
      </c>
      <c r="C38" s="4">
        <v>3</v>
      </c>
      <c r="D38" s="25">
        <v>1E-3</v>
      </c>
      <c r="E38" s="11">
        <v>22.2</v>
      </c>
      <c r="F38" s="11">
        <v>33.82</v>
      </c>
      <c r="G38" s="11">
        <v>64.989999999999995</v>
      </c>
      <c r="H38" s="11">
        <v>0.90700000000000003</v>
      </c>
      <c r="I38" s="11">
        <v>0.94399999999999995</v>
      </c>
      <c r="J38" s="11">
        <v>10</v>
      </c>
      <c r="K38" s="11">
        <v>10</v>
      </c>
      <c r="L38" s="11">
        <v>10</v>
      </c>
      <c r="M38" s="11">
        <v>10</v>
      </c>
    </row>
    <row r="39" spans="1:14" x14ac:dyDescent="0.2">
      <c r="A39" s="4" t="s">
        <v>70</v>
      </c>
      <c r="B39" s="4" t="s">
        <v>9</v>
      </c>
      <c r="C39" s="4">
        <v>3</v>
      </c>
      <c r="D39" s="25">
        <v>1.1000000000000001E-3</v>
      </c>
      <c r="E39" s="11">
        <v>24.6</v>
      </c>
      <c r="F39" s="11">
        <v>41.98</v>
      </c>
      <c r="G39" s="11">
        <v>69.680000000000007</v>
      </c>
      <c r="H39" s="11">
        <v>0.91539999999999999</v>
      </c>
      <c r="I39" s="11">
        <v>0.95599999999999996</v>
      </c>
      <c r="J39" s="11">
        <v>9</v>
      </c>
      <c r="K39" s="11">
        <v>9</v>
      </c>
      <c r="L39" s="11">
        <v>10</v>
      </c>
      <c r="M39" s="11">
        <v>9</v>
      </c>
      <c r="N39" s="4" t="s">
        <v>71</v>
      </c>
    </row>
    <row r="40" spans="1:14" x14ac:dyDescent="0.2">
      <c r="A40" s="4" t="s">
        <v>72</v>
      </c>
      <c r="B40" s="4" t="s">
        <v>9</v>
      </c>
      <c r="C40" s="4">
        <v>5</v>
      </c>
      <c r="D40" s="25">
        <v>2E-3</v>
      </c>
      <c r="E40" s="11">
        <v>33.4</v>
      </c>
      <c r="F40" s="11">
        <v>40.93</v>
      </c>
      <c r="G40" s="11">
        <v>68.58</v>
      </c>
      <c r="H40" s="11">
        <v>0.8982</v>
      </c>
      <c r="I40" s="11">
        <v>0.99299999999999999</v>
      </c>
      <c r="J40" s="11">
        <v>9.5</v>
      </c>
      <c r="K40" s="11">
        <v>9.5</v>
      </c>
      <c r="L40" s="11">
        <v>10</v>
      </c>
      <c r="M40" s="11">
        <v>9.5</v>
      </c>
      <c r="N40" s="4" t="s">
        <v>73</v>
      </c>
    </row>
    <row r="41" spans="1:14" x14ac:dyDescent="0.2">
      <c r="A41" s="4" t="s">
        <v>74</v>
      </c>
      <c r="B41" s="4" t="s">
        <v>9</v>
      </c>
      <c r="C41" s="4">
        <v>3</v>
      </c>
      <c r="D41" s="25">
        <v>1E-3</v>
      </c>
      <c r="E41" s="11">
        <v>22.3</v>
      </c>
      <c r="F41" s="11">
        <v>46.71</v>
      </c>
      <c r="G41" s="11">
        <v>70.09</v>
      </c>
      <c r="H41" s="11">
        <v>0.92490000000000006</v>
      </c>
      <c r="I41" s="11">
        <v>0.91100000000000003</v>
      </c>
      <c r="J41" s="11">
        <v>10</v>
      </c>
      <c r="K41" s="11">
        <v>10</v>
      </c>
      <c r="L41" s="11">
        <v>10</v>
      </c>
      <c r="M41" s="11">
        <v>10</v>
      </c>
    </row>
    <row r="42" spans="1:14" x14ac:dyDescent="0.2">
      <c r="A42" s="4" t="s">
        <v>75</v>
      </c>
      <c r="B42" s="4" t="s">
        <v>9</v>
      </c>
      <c r="C42" s="4">
        <v>4</v>
      </c>
      <c r="D42" s="25">
        <v>1.4E-3</v>
      </c>
      <c r="E42" s="11">
        <v>24.9</v>
      </c>
      <c r="F42" s="11">
        <v>44.43</v>
      </c>
      <c r="G42" s="11">
        <v>69.91</v>
      </c>
      <c r="H42" s="11">
        <v>0.91710000000000003</v>
      </c>
      <c r="I42" s="11">
        <v>0.93200000000000005</v>
      </c>
      <c r="J42" s="11">
        <v>10</v>
      </c>
      <c r="K42" s="11">
        <v>10</v>
      </c>
      <c r="L42" s="11">
        <v>10</v>
      </c>
      <c r="M42" s="11">
        <v>10</v>
      </c>
      <c r="N42" s="4" t="s">
        <v>76</v>
      </c>
    </row>
    <row r="43" spans="1:14" x14ac:dyDescent="0.2">
      <c r="A43" s="4" t="s">
        <v>77</v>
      </c>
      <c r="B43" s="4" t="s">
        <v>9</v>
      </c>
      <c r="C43" s="4">
        <v>6</v>
      </c>
      <c r="D43" s="25">
        <v>2.5000000000000001E-3</v>
      </c>
      <c r="E43" s="11">
        <v>39.299999999999997</v>
      </c>
      <c r="F43" s="11">
        <v>34.6</v>
      </c>
      <c r="G43" s="11">
        <v>66.37</v>
      </c>
      <c r="H43" s="11">
        <v>0.90720000000000001</v>
      </c>
      <c r="I43" s="11">
        <v>0.92</v>
      </c>
      <c r="J43" s="11">
        <v>9.5</v>
      </c>
      <c r="K43" s="11">
        <v>9.5</v>
      </c>
      <c r="L43" s="11">
        <v>10</v>
      </c>
      <c r="M43" s="11">
        <v>9.5</v>
      </c>
      <c r="N43" s="4" t="s">
        <v>78</v>
      </c>
    </row>
    <row r="44" spans="1:14" x14ac:dyDescent="0.2">
      <c r="A44" s="4" t="s">
        <v>79</v>
      </c>
      <c r="B44" s="4" t="s">
        <v>9</v>
      </c>
      <c r="C44" s="4">
        <v>5</v>
      </c>
      <c r="D44" s="25">
        <v>1.9E-3</v>
      </c>
      <c r="E44" s="11">
        <v>31.1</v>
      </c>
      <c r="F44" s="11">
        <v>36.340000000000003</v>
      </c>
      <c r="G44" s="11">
        <v>64.849999999999994</v>
      </c>
      <c r="H44" s="11">
        <v>0.8952</v>
      </c>
      <c r="I44" s="11">
        <v>0.93700000000000006</v>
      </c>
      <c r="J44" s="11">
        <v>9</v>
      </c>
      <c r="K44" s="11">
        <v>9</v>
      </c>
      <c r="L44" s="11">
        <v>10</v>
      </c>
      <c r="M44" s="11">
        <v>9</v>
      </c>
      <c r="N44" s="4" t="s">
        <v>80</v>
      </c>
    </row>
    <row r="45" spans="1:14" x14ac:dyDescent="0.2">
      <c r="A45" s="4" t="s">
        <v>81</v>
      </c>
      <c r="B45" s="4" t="s">
        <v>9</v>
      </c>
      <c r="C45" s="4">
        <v>4</v>
      </c>
      <c r="D45" s="25">
        <v>1.4E-3</v>
      </c>
      <c r="E45" s="11">
        <v>34.1</v>
      </c>
      <c r="F45" s="11">
        <v>47.82</v>
      </c>
      <c r="G45" s="11">
        <v>69.67</v>
      </c>
      <c r="H45" s="11">
        <v>0.90690000000000004</v>
      </c>
      <c r="I45" s="11">
        <v>0.92</v>
      </c>
      <c r="J45" s="11">
        <v>10</v>
      </c>
      <c r="K45" s="11">
        <v>10</v>
      </c>
      <c r="L45" s="11">
        <v>10</v>
      </c>
      <c r="M45" s="11">
        <v>10</v>
      </c>
      <c r="N45" s="4" t="s">
        <v>76</v>
      </c>
    </row>
    <row r="46" spans="1:14" x14ac:dyDescent="0.2">
      <c r="A46" s="4" t="s">
        <v>82</v>
      </c>
      <c r="B46" s="4" t="s">
        <v>9</v>
      </c>
      <c r="C46" s="4">
        <v>6</v>
      </c>
      <c r="D46" s="25">
        <v>2.3E-3</v>
      </c>
      <c r="E46" s="11">
        <v>29</v>
      </c>
      <c r="F46" s="11">
        <v>39.119999999999997</v>
      </c>
      <c r="G46" s="11">
        <v>70.349999999999994</v>
      </c>
      <c r="H46" s="11">
        <v>0.90949999999999998</v>
      </c>
      <c r="I46" s="11">
        <v>1.0649999999999999</v>
      </c>
      <c r="J46" s="11">
        <v>9</v>
      </c>
      <c r="K46" s="11">
        <v>9</v>
      </c>
      <c r="L46" s="11">
        <v>10</v>
      </c>
      <c r="M46" s="11">
        <v>9</v>
      </c>
      <c r="N46" s="4" t="s">
        <v>48</v>
      </c>
    </row>
    <row r="47" spans="1:14" x14ac:dyDescent="0.2">
      <c r="A47" s="4" t="s">
        <v>83</v>
      </c>
      <c r="B47" s="4" t="s">
        <v>9</v>
      </c>
      <c r="C47" s="4">
        <v>4</v>
      </c>
      <c r="D47" s="25">
        <v>1.5E-3</v>
      </c>
      <c r="E47" s="11">
        <v>34.5</v>
      </c>
      <c r="F47" s="11">
        <v>35.93</v>
      </c>
      <c r="G47" s="11">
        <v>66.459999999999994</v>
      </c>
      <c r="H47" s="11">
        <v>0.88739999999999997</v>
      </c>
      <c r="I47" s="11">
        <v>0.98399999999999999</v>
      </c>
      <c r="J47" s="11">
        <v>9.5</v>
      </c>
      <c r="K47" s="11">
        <v>9.5</v>
      </c>
      <c r="L47" s="11">
        <v>10</v>
      </c>
      <c r="M47" s="11">
        <v>9.5</v>
      </c>
      <c r="N47" s="4" t="s">
        <v>84</v>
      </c>
    </row>
    <row r="48" spans="1:14" x14ac:dyDescent="0.2">
      <c r="A48" s="4" t="s">
        <v>85</v>
      </c>
      <c r="B48" s="4" t="s">
        <v>9</v>
      </c>
      <c r="C48" s="4">
        <v>7</v>
      </c>
      <c r="D48" s="25">
        <v>2.7000000000000001E-3</v>
      </c>
      <c r="E48" s="11">
        <v>40.299999999999997</v>
      </c>
      <c r="F48" s="11">
        <v>27.76</v>
      </c>
      <c r="G48" s="11">
        <v>57.91</v>
      </c>
      <c r="H48" s="11">
        <v>0.87029999999999996</v>
      </c>
      <c r="I48" s="11">
        <v>0.754</v>
      </c>
      <c r="J48" s="11">
        <v>9</v>
      </c>
      <c r="K48" s="11">
        <v>9</v>
      </c>
      <c r="L48" s="11">
        <v>9.6999999999999993</v>
      </c>
      <c r="M48" s="11">
        <v>9.3000000000000007</v>
      </c>
      <c r="N48" s="4" t="s">
        <v>86</v>
      </c>
    </row>
    <row r="49" spans="1:14" x14ac:dyDescent="0.2">
      <c r="A49" s="4" t="s">
        <v>87</v>
      </c>
      <c r="B49" s="4" t="s">
        <v>9</v>
      </c>
      <c r="C49" s="4">
        <v>2</v>
      </c>
      <c r="D49" s="25">
        <v>5.9999999999999995E-4</v>
      </c>
      <c r="E49" s="11">
        <v>18.8</v>
      </c>
      <c r="F49" s="11">
        <v>66.16</v>
      </c>
      <c r="G49" s="11">
        <v>81.55</v>
      </c>
      <c r="H49" s="11">
        <v>0.92430000000000001</v>
      </c>
      <c r="I49" s="11">
        <v>0.98599999999999999</v>
      </c>
      <c r="J49" s="11">
        <v>10</v>
      </c>
      <c r="K49" s="11">
        <v>10</v>
      </c>
      <c r="L49" s="11">
        <v>10</v>
      </c>
      <c r="M49" s="11">
        <v>10</v>
      </c>
    </row>
    <row r="50" spans="1:14" x14ac:dyDescent="0.2">
      <c r="A50" s="4" t="s">
        <v>88</v>
      </c>
      <c r="B50" s="4" t="s">
        <v>9</v>
      </c>
      <c r="C50" s="4">
        <v>4</v>
      </c>
      <c r="D50" s="25">
        <v>1.5E-3</v>
      </c>
      <c r="E50" s="11">
        <v>31.7</v>
      </c>
      <c r="F50" s="11">
        <v>39.67</v>
      </c>
      <c r="G50" s="11">
        <v>66.98</v>
      </c>
      <c r="H50" s="11">
        <v>0.89470000000000005</v>
      </c>
      <c r="I50" s="11">
        <v>0.998</v>
      </c>
      <c r="J50" s="11">
        <v>10</v>
      </c>
      <c r="K50" s="11">
        <v>10</v>
      </c>
      <c r="L50" s="11">
        <v>10</v>
      </c>
      <c r="M50" s="11">
        <v>10</v>
      </c>
      <c r="N50" s="4" t="s">
        <v>89</v>
      </c>
    </row>
    <row r="51" spans="1:14" x14ac:dyDescent="0.2">
      <c r="A51" s="4" t="s">
        <v>90</v>
      </c>
      <c r="B51" s="4" t="s">
        <v>9</v>
      </c>
      <c r="C51" s="4">
        <v>3</v>
      </c>
      <c r="D51" s="25">
        <v>1.1000000000000001E-3</v>
      </c>
      <c r="E51" s="11">
        <v>23.6</v>
      </c>
      <c r="F51" s="11">
        <v>35.76</v>
      </c>
      <c r="G51" s="11">
        <v>68.010000000000005</v>
      </c>
      <c r="H51" s="11">
        <v>0.90110000000000001</v>
      </c>
      <c r="I51" s="11">
        <v>1.01</v>
      </c>
      <c r="J51" s="11">
        <v>10</v>
      </c>
      <c r="K51" s="11">
        <v>10</v>
      </c>
      <c r="L51" s="11">
        <v>10</v>
      </c>
      <c r="M51" s="11">
        <v>10</v>
      </c>
    </row>
    <row r="52" spans="1:14" x14ac:dyDescent="0.2">
      <c r="A52" s="4" t="s">
        <v>91</v>
      </c>
      <c r="B52" s="4" t="s">
        <v>9</v>
      </c>
      <c r="C52" s="4">
        <v>4</v>
      </c>
      <c r="D52" s="25">
        <v>1.4E-3</v>
      </c>
      <c r="E52" s="11">
        <v>25</v>
      </c>
      <c r="F52" s="11">
        <v>27.56</v>
      </c>
      <c r="G52" s="11">
        <v>62.56</v>
      </c>
      <c r="H52" s="11">
        <v>0.91469999999999996</v>
      </c>
      <c r="I52" s="11">
        <v>0.878</v>
      </c>
      <c r="J52" s="11">
        <v>9</v>
      </c>
      <c r="K52" s="11">
        <v>9</v>
      </c>
      <c r="L52" s="11">
        <v>9.5</v>
      </c>
      <c r="M52" s="11">
        <v>9.5</v>
      </c>
      <c r="N52" s="4" t="s">
        <v>92</v>
      </c>
    </row>
    <row r="53" spans="1:14" x14ac:dyDescent="0.2">
      <c r="A53" s="4" t="s">
        <v>93</v>
      </c>
      <c r="B53" s="4" t="s">
        <v>9</v>
      </c>
      <c r="C53" s="4">
        <v>2</v>
      </c>
      <c r="D53" s="25">
        <v>8.0000000000000004E-4</v>
      </c>
      <c r="E53" s="11">
        <v>21.3</v>
      </c>
      <c r="F53" s="11">
        <v>49.27</v>
      </c>
      <c r="G53" s="11">
        <v>73.819999999999993</v>
      </c>
      <c r="H53" s="11">
        <v>0.92490000000000006</v>
      </c>
      <c r="I53" s="11">
        <v>0.98699999999999999</v>
      </c>
      <c r="J53" s="11">
        <v>10</v>
      </c>
      <c r="K53" s="11">
        <v>10</v>
      </c>
      <c r="L53" s="11">
        <v>10</v>
      </c>
      <c r="M53" s="11">
        <v>10</v>
      </c>
    </row>
    <row r="54" spans="1:14" x14ac:dyDescent="0.2">
      <c r="A54" s="4" t="s">
        <v>94</v>
      </c>
      <c r="B54" s="4" t="s">
        <v>9</v>
      </c>
      <c r="C54" s="4">
        <v>6</v>
      </c>
      <c r="D54" s="25">
        <v>2.3999999999999998E-3</v>
      </c>
      <c r="E54" s="11">
        <v>50.2</v>
      </c>
      <c r="F54" s="11">
        <v>30.68</v>
      </c>
      <c r="G54" s="11">
        <v>60.67</v>
      </c>
      <c r="H54" s="11">
        <v>0.87309999999999999</v>
      </c>
      <c r="I54" s="11">
        <v>0.93600000000000005</v>
      </c>
      <c r="J54" s="11">
        <v>9.5</v>
      </c>
      <c r="K54" s="11">
        <v>9.5</v>
      </c>
      <c r="L54" s="11">
        <v>10</v>
      </c>
      <c r="M54" s="11">
        <v>9.5</v>
      </c>
      <c r="N54" s="4" t="s">
        <v>73</v>
      </c>
    </row>
    <row r="55" spans="1:14" x14ac:dyDescent="0.2">
      <c r="A55" s="4" t="s">
        <v>95</v>
      </c>
      <c r="B55" s="4" t="s">
        <v>9</v>
      </c>
      <c r="C55" s="4">
        <v>4</v>
      </c>
      <c r="D55" s="25">
        <v>1.6000000000000001E-3</v>
      </c>
      <c r="E55" s="11">
        <v>25.6</v>
      </c>
      <c r="F55" s="11">
        <v>34.590000000000003</v>
      </c>
      <c r="G55" s="11">
        <v>65.599999999999994</v>
      </c>
      <c r="H55" s="11">
        <v>0.90759999999999996</v>
      </c>
      <c r="I55" s="11">
        <v>0.90600000000000003</v>
      </c>
      <c r="J55" s="11">
        <v>10</v>
      </c>
      <c r="K55" s="11">
        <v>10</v>
      </c>
      <c r="L55" s="11">
        <v>10</v>
      </c>
      <c r="M55" s="11">
        <v>10</v>
      </c>
      <c r="N55" s="4" t="s">
        <v>89</v>
      </c>
    </row>
    <row r="56" spans="1:14" x14ac:dyDescent="0.2">
      <c r="A56" s="4" t="s">
        <v>96</v>
      </c>
      <c r="B56" s="4" t="s">
        <v>9</v>
      </c>
      <c r="C56" s="4">
        <v>5</v>
      </c>
      <c r="D56" s="25">
        <v>2E-3</v>
      </c>
      <c r="E56" s="11">
        <v>33.200000000000003</v>
      </c>
      <c r="F56" s="11">
        <v>42.18</v>
      </c>
      <c r="G56" s="11">
        <v>71.349999999999994</v>
      </c>
      <c r="H56" s="11">
        <v>0.92130000000000001</v>
      </c>
      <c r="I56" s="11">
        <v>1.032</v>
      </c>
      <c r="J56" s="11">
        <v>10</v>
      </c>
      <c r="K56" s="11">
        <v>10</v>
      </c>
      <c r="L56" s="11">
        <v>10</v>
      </c>
      <c r="M56" s="11">
        <v>10</v>
      </c>
      <c r="N56" s="4" t="s">
        <v>97</v>
      </c>
    </row>
    <row r="57" spans="1:14" x14ac:dyDescent="0.2">
      <c r="A57" s="4" t="s">
        <v>98</v>
      </c>
      <c r="B57" s="4" t="s">
        <v>9</v>
      </c>
      <c r="C57" s="4">
        <v>6</v>
      </c>
      <c r="D57" s="25">
        <v>2.2000000000000001E-3</v>
      </c>
      <c r="E57" s="11">
        <v>35.200000000000003</v>
      </c>
      <c r="F57" s="11">
        <v>39.630000000000003</v>
      </c>
      <c r="G57" s="11">
        <v>71.239999999999995</v>
      </c>
      <c r="H57" s="11">
        <v>0.89839999999999998</v>
      </c>
      <c r="I57" s="11">
        <v>1.0209999999999999</v>
      </c>
      <c r="J57" s="11">
        <v>9.5</v>
      </c>
      <c r="K57" s="11">
        <v>9.5</v>
      </c>
      <c r="L57" s="11">
        <v>10</v>
      </c>
      <c r="M57" s="11">
        <v>9.5</v>
      </c>
      <c r="N57" s="4" t="s">
        <v>99</v>
      </c>
    </row>
    <row r="58" spans="1:14" x14ac:dyDescent="0.2">
      <c r="A58" s="4" t="s">
        <v>100</v>
      </c>
      <c r="B58" s="4" t="s">
        <v>9</v>
      </c>
      <c r="C58" s="4">
        <v>9</v>
      </c>
      <c r="D58" s="25">
        <v>3.3E-3</v>
      </c>
      <c r="E58" s="11">
        <v>54.2</v>
      </c>
      <c r="F58" s="11">
        <v>27.24</v>
      </c>
      <c r="G58" s="11">
        <v>55.7</v>
      </c>
      <c r="H58" s="11">
        <v>0.87019999999999997</v>
      </c>
      <c r="I58" s="11">
        <v>0.72199999999999998</v>
      </c>
      <c r="J58" s="11">
        <v>8.6999999999999993</v>
      </c>
      <c r="K58" s="11">
        <v>8.6999999999999993</v>
      </c>
      <c r="L58" s="11">
        <v>9.6999999999999993</v>
      </c>
      <c r="M58" s="11">
        <v>9</v>
      </c>
      <c r="N58" s="4" t="s">
        <v>102</v>
      </c>
    </row>
    <row r="59" spans="1:14" x14ac:dyDescent="0.2">
      <c r="A59" s="4" t="s">
        <v>137</v>
      </c>
      <c r="B59" s="4" t="s">
        <v>9</v>
      </c>
      <c r="C59" s="4">
        <v>108</v>
      </c>
      <c r="D59" s="25">
        <v>4.5199999999999997E-2</v>
      </c>
      <c r="E59" s="11">
        <v>393.3</v>
      </c>
      <c r="F59" s="11">
        <v>10.88</v>
      </c>
      <c r="G59" s="11">
        <v>42.1</v>
      </c>
      <c r="H59" s="11">
        <v>0.82979999999999998</v>
      </c>
      <c r="I59" s="11">
        <v>0.78800000000000003</v>
      </c>
      <c r="J59" s="11">
        <v>9</v>
      </c>
      <c r="K59" s="11">
        <v>9</v>
      </c>
      <c r="L59" s="11">
        <v>9.8000000000000007</v>
      </c>
      <c r="M59" s="11">
        <v>9.1999999999999993</v>
      </c>
      <c r="N59" s="4" t="s">
        <v>138</v>
      </c>
    </row>
    <row r="60" spans="1:14" x14ac:dyDescent="0.2">
      <c r="A60" s="4" t="s">
        <v>135</v>
      </c>
      <c r="B60" s="4" t="s">
        <v>9</v>
      </c>
      <c r="C60" s="4">
        <v>9</v>
      </c>
      <c r="D60" s="25">
        <v>3.0000000000000001E-3</v>
      </c>
      <c r="E60" s="11">
        <v>40.1</v>
      </c>
      <c r="F60" s="11">
        <v>17.98</v>
      </c>
      <c r="G60" s="11">
        <v>45.21</v>
      </c>
      <c r="H60" s="11">
        <v>0.85799999999999998</v>
      </c>
      <c r="I60" s="11">
        <v>0.62</v>
      </c>
      <c r="J60" s="11">
        <v>9</v>
      </c>
      <c r="K60" s="11">
        <v>9</v>
      </c>
      <c r="L60" s="11">
        <v>9</v>
      </c>
      <c r="M60" s="11">
        <v>10</v>
      </c>
      <c r="N60" s="4" t="s">
        <v>136</v>
      </c>
    </row>
    <row r="61" spans="1:14" x14ac:dyDescent="0.2">
      <c r="A61" s="4" t="s">
        <v>103</v>
      </c>
      <c r="B61" s="4" t="s">
        <v>9</v>
      </c>
      <c r="C61" s="4">
        <v>3</v>
      </c>
      <c r="D61" s="25">
        <v>8.9999999999999998E-4</v>
      </c>
      <c r="E61" s="11">
        <v>20.8</v>
      </c>
      <c r="F61" s="11">
        <v>42.34</v>
      </c>
      <c r="G61" s="11">
        <v>69.040000000000006</v>
      </c>
      <c r="H61" s="11">
        <v>0.90620000000000001</v>
      </c>
      <c r="I61" s="11">
        <v>0.999</v>
      </c>
      <c r="J61" s="11">
        <v>9</v>
      </c>
      <c r="K61" s="11">
        <v>9</v>
      </c>
      <c r="L61" s="11">
        <v>10</v>
      </c>
      <c r="M61" s="11">
        <v>9</v>
      </c>
      <c r="N61" s="4" t="s">
        <v>104</v>
      </c>
    </row>
    <row r="62" spans="1:14" x14ac:dyDescent="0.2">
      <c r="A62" s="4" t="s">
        <v>105</v>
      </c>
      <c r="B62" s="4" t="s">
        <v>9</v>
      </c>
      <c r="C62" s="4">
        <v>5</v>
      </c>
      <c r="D62" s="25">
        <v>2E-3</v>
      </c>
      <c r="E62" s="11">
        <v>33</v>
      </c>
      <c r="F62" s="11">
        <v>34.979999999999997</v>
      </c>
      <c r="G62" s="11">
        <v>63.69</v>
      </c>
      <c r="H62" s="11">
        <v>0.89559999999999995</v>
      </c>
      <c r="I62" s="11">
        <v>1.006</v>
      </c>
      <c r="J62" s="11">
        <v>9</v>
      </c>
      <c r="K62" s="11">
        <v>9</v>
      </c>
      <c r="L62" s="11">
        <v>9.5</v>
      </c>
      <c r="M62" s="11">
        <v>9.5</v>
      </c>
      <c r="N62" s="4" t="s">
        <v>106</v>
      </c>
    </row>
    <row r="63" spans="1:14" x14ac:dyDescent="0.2">
      <c r="A63" s="4" t="s">
        <v>107</v>
      </c>
      <c r="B63" s="4" t="s">
        <v>9</v>
      </c>
      <c r="C63" s="4">
        <v>2</v>
      </c>
      <c r="D63" s="25">
        <v>5.9999999999999995E-4</v>
      </c>
      <c r="E63" s="11">
        <v>19.7</v>
      </c>
      <c r="F63" s="11">
        <v>63.33</v>
      </c>
      <c r="G63" s="11">
        <v>78.61</v>
      </c>
      <c r="H63" s="11">
        <v>0.92020000000000002</v>
      </c>
      <c r="I63" s="11">
        <v>0.98499999999999999</v>
      </c>
      <c r="J63" s="11">
        <v>9</v>
      </c>
      <c r="K63" s="11">
        <v>9</v>
      </c>
      <c r="L63" s="11">
        <v>10</v>
      </c>
      <c r="M63" s="11">
        <v>9</v>
      </c>
      <c r="N63" s="4" t="s">
        <v>104</v>
      </c>
    </row>
    <row r="64" spans="1:14" x14ac:dyDescent="0.2">
      <c r="A64" s="4" t="s">
        <v>108</v>
      </c>
      <c r="B64" s="4" t="s">
        <v>9</v>
      </c>
      <c r="C64" s="4">
        <v>4</v>
      </c>
      <c r="D64" s="25">
        <v>1.6000000000000001E-3</v>
      </c>
      <c r="E64" s="11">
        <v>39.200000000000003</v>
      </c>
      <c r="F64" s="11">
        <v>37.15</v>
      </c>
      <c r="G64" s="11">
        <v>63.41</v>
      </c>
      <c r="H64" s="11">
        <v>0.90559999999999996</v>
      </c>
      <c r="I64" s="11">
        <v>0.99199999999999999</v>
      </c>
      <c r="J64" s="11">
        <v>9</v>
      </c>
      <c r="K64" s="11">
        <v>9</v>
      </c>
      <c r="L64" s="11">
        <v>9.5</v>
      </c>
      <c r="M64" s="11">
        <v>9.5</v>
      </c>
      <c r="N64" s="4" t="s">
        <v>109</v>
      </c>
    </row>
    <row r="65" spans="1:14" x14ac:dyDescent="0.2">
      <c r="A65" s="4" t="s">
        <v>110</v>
      </c>
      <c r="B65" s="4" t="s">
        <v>9</v>
      </c>
      <c r="C65" s="4">
        <v>2</v>
      </c>
      <c r="D65" s="25">
        <v>6.9999999999999999E-4</v>
      </c>
      <c r="E65" s="11">
        <v>18.3</v>
      </c>
      <c r="F65" s="11">
        <v>56.17</v>
      </c>
      <c r="G65" s="11">
        <v>74.650000000000006</v>
      </c>
      <c r="H65" s="11">
        <v>0.9365</v>
      </c>
      <c r="I65" s="11">
        <v>0.98</v>
      </c>
      <c r="J65" s="11">
        <v>9</v>
      </c>
      <c r="K65" s="11">
        <v>9</v>
      </c>
      <c r="L65" s="11">
        <v>10</v>
      </c>
      <c r="M65" s="11">
        <v>9</v>
      </c>
      <c r="N65" s="4" t="s">
        <v>101</v>
      </c>
    </row>
    <row r="66" spans="1:14" x14ac:dyDescent="0.2">
      <c r="A66" s="4" t="s">
        <v>111</v>
      </c>
      <c r="B66" s="4" t="s">
        <v>9</v>
      </c>
      <c r="C66" s="4">
        <v>5</v>
      </c>
      <c r="D66" s="25">
        <v>2.0999999999999999E-3</v>
      </c>
      <c r="E66" s="11">
        <v>36.9</v>
      </c>
      <c r="F66" s="11">
        <v>27.32</v>
      </c>
      <c r="G66" s="11">
        <v>58.85</v>
      </c>
      <c r="H66" s="11">
        <v>0.88290000000000002</v>
      </c>
      <c r="I66" s="11">
        <v>1.1140000000000001</v>
      </c>
      <c r="J66" s="11">
        <v>9</v>
      </c>
      <c r="K66" s="11">
        <v>9</v>
      </c>
      <c r="L66" s="11">
        <v>10</v>
      </c>
      <c r="M66" s="11">
        <v>9</v>
      </c>
      <c r="N66" s="4" t="s">
        <v>112</v>
      </c>
    </row>
    <row r="67" spans="1:14" x14ac:dyDescent="0.2">
      <c r="A67" s="4" t="s">
        <v>113</v>
      </c>
      <c r="B67" s="4" t="s">
        <v>9</v>
      </c>
      <c r="C67" s="4">
        <v>3</v>
      </c>
      <c r="D67" s="25">
        <v>1.1000000000000001E-3</v>
      </c>
      <c r="E67" s="11">
        <v>58.1</v>
      </c>
      <c r="F67" s="11">
        <v>55.05</v>
      </c>
      <c r="G67" s="11">
        <v>75.180000000000007</v>
      </c>
      <c r="H67" s="11">
        <v>0.97160000000000002</v>
      </c>
      <c r="I67" s="11">
        <v>0.98699999999999999</v>
      </c>
      <c r="J67" s="11">
        <v>9</v>
      </c>
      <c r="K67" s="11">
        <v>9</v>
      </c>
      <c r="L67" s="11">
        <v>10</v>
      </c>
      <c r="M67" s="11">
        <v>9</v>
      </c>
      <c r="N67" s="4" t="s">
        <v>114</v>
      </c>
    </row>
    <row r="68" spans="1:14" x14ac:dyDescent="0.2">
      <c r="A68" s="4" t="s">
        <v>115</v>
      </c>
      <c r="B68" s="4" t="s">
        <v>9</v>
      </c>
      <c r="C68" s="4">
        <v>5</v>
      </c>
      <c r="D68" s="25">
        <v>2E-3</v>
      </c>
      <c r="E68" s="11">
        <v>32.299999999999997</v>
      </c>
      <c r="F68" s="11">
        <v>29.85</v>
      </c>
      <c r="G68" s="11">
        <v>65.02</v>
      </c>
      <c r="H68" s="11">
        <v>0.88639999999999997</v>
      </c>
      <c r="I68" s="11">
        <v>1.2869999999999999</v>
      </c>
      <c r="J68" s="11">
        <v>9</v>
      </c>
      <c r="K68" s="11">
        <v>9</v>
      </c>
      <c r="L68" s="11">
        <v>10</v>
      </c>
      <c r="M68" s="11">
        <v>9</v>
      </c>
      <c r="N68" s="4" t="s">
        <v>112</v>
      </c>
    </row>
    <row r="69" spans="1:14" x14ac:dyDescent="0.2">
      <c r="A69" s="4" t="s">
        <v>116</v>
      </c>
      <c r="B69" s="4" t="s">
        <v>9</v>
      </c>
      <c r="C69" s="4">
        <v>4</v>
      </c>
      <c r="D69" s="25">
        <v>1.4E-3</v>
      </c>
      <c r="E69" s="11">
        <v>27.5</v>
      </c>
      <c r="F69" s="11">
        <v>45.35</v>
      </c>
      <c r="G69" s="11">
        <v>69.33</v>
      </c>
      <c r="H69" s="11">
        <v>0.88770000000000004</v>
      </c>
      <c r="I69" s="11">
        <v>1.04</v>
      </c>
      <c r="J69" s="11">
        <v>9</v>
      </c>
      <c r="K69" s="11">
        <v>9</v>
      </c>
      <c r="L69" s="11">
        <v>10</v>
      </c>
      <c r="M69" s="11">
        <v>9</v>
      </c>
      <c r="N69" s="4" t="s">
        <v>117</v>
      </c>
    </row>
    <row r="70" spans="1:14" x14ac:dyDescent="0.2">
      <c r="A70" s="4" t="s">
        <v>118</v>
      </c>
      <c r="B70" s="4" t="s">
        <v>9</v>
      </c>
      <c r="C70" s="4">
        <v>2</v>
      </c>
      <c r="D70" s="25">
        <v>4.0000000000000002E-4</v>
      </c>
      <c r="E70" s="11">
        <v>12.2</v>
      </c>
      <c r="F70" s="11">
        <v>48.99</v>
      </c>
      <c r="G70" s="11">
        <v>72.680000000000007</v>
      </c>
      <c r="H70" s="11">
        <v>0.91059999999999997</v>
      </c>
      <c r="I70" s="11">
        <v>0.94399999999999995</v>
      </c>
      <c r="J70" s="11">
        <v>9</v>
      </c>
      <c r="K70" s="11">
        <v>9</v>
      </c>
      <c r="L70" s="11">
        <v>10</v>
      </c>
      <c r="M70" s="11">
        <v>9</v>
      </c>
      <c r="N70" s="4" t="s">
        <v>101</v>
      </c>
    </row>
    <row r="71" spans="1:14" x14ac:dyDescent="0.2">
      <c r="A71" s="4" t="s">
        <v>119</v>
      </c>
      <c r="B71" s="4" t="s">
        <v>9</v>
      </c>
      <c r="C71" s="4">
        <v>4</v>
      </c>
      <c r="D71" s="25">
        <v>1.2999999999999999E-3</v>
      </c>
      <c r="E71" s="11">
        <v>23.8</v>
      </c>
      <c r="F71" s="11">
        <v>44.93</v>
      </c>
      <c r="G71" s="11">
        <v>73.099999999999994</v>
      </c>
      <c r="H71" s="11">
        <v>0.94969999999999999</v>
      </c>
      <c r="I71" s="11">
        <v>1.073</v>
      </c>
      <c r="J71" s="11">
        <v>9.5</v>
      </c>
      <c r="K71" s="11">
        <v>9.5</v>
      </c>
      <c r="L71" s="11">
        <v>10</v>
      </c>
      <c r="M71" s="11">
        <v>9.5</v>
      </c>
      <c r="N71" s="4" t="s">
        <v>84</v>
      </c>
    </row>
    <row r="72" spans="1:14" x14ac:dyDescent="0.2">
      <c r="A72" s="4" t="s">
        <v>120</v>
      </c>
      <c r="B72" s="4" t="s">
        <v>9</v>
      </c>
      <c r="C72" s="4">
        <v>3</v>
      </c>
      <c r="D72" s="25">
        <v>8.9999999999999998E-4</v>
      </c>
      <c r="E72" s="11">
        <v>17.5</v>
      </c>
      <c r="F72" s="11">
        <v>17.91</v>
      </c>
      <c r="G72" s="11">
        <v>55.59</v>
      </c>
      <c r="H72" s="11">
        <v>0.82250000000000001</v>
      </c>
      <c r="I72" s="11">
        <v>1.2050000000000001</v>
      </c>
      <c r="J72" s="11">
        <v>9</v>
      </c>
      <c r="K72" s="11">
        <v>9</v>
      </c>
      <c r="L72" s="11">
        <v>10</v>
      </c>
      <c r="M72" s="11">
        <v>9</v>
      </c>
      <c r="N72" s="4" t="s">
        <v>101</v>
      </c>
    </row>
    <row r="73" spans="1:14" x14ac:dyDescent="0.2">
      <c r="A73" s="4" t="s">
        <v>121</v>
      </c>
      <c r="B73" s="4" t="s">
        <v>9</v>
      </c>
      <c r="C73" s="4">
        <v>4</v>
      </c>
      <c r="D73" s="25">
        <v>1.6999999999999999E-3</v>
      </c>
      <c r="E73" s="11">
        <v>30</v>
      </c>
      <c r="F73" s="11">
        <v>32.64</v>
      </c>
      <c r="G73" s="11">
        <v>58.91</v>
      </c>
      <c r="H73" s="11">
        <v>0.89500000000000002</v>
      </c>
      <c r="I73" s="11">
        <v>0.78200000000000003</v>
      </c>
      <c r="J73" s="11">
        <v>9</v>
      </c>
      <c r="K73" s="11">
        <v>9</v>
      </c>
      <c r="L73" s="11">
        <v>9.5</v>
      </c>
      <c r="M73" s="11">
        <v>9.5</v>
      </c>
      <c r="N73" s="4" t="s">
        <v>122</v>
      </c>
    </row>
    <row r="74" spans="1:14" x14ac:dyDescent="0.2">
      <c r="A74" s="4" t="s">
        <v>123</v>
      </c>
      <c r="B74" s="4" t="s">
        <v>9</v>
      </c>
      <c r="C74" s="4">
        <v>3</v>
      </c>
      <c r="D74" s="25">
        <v>1.1999999999999999E-3</v>
      </c>
      <c r="E74" s="11">
        <v>23.6</v>
      </c>
      <c r="F74" s="11">
        <v>26.5</v>
      </c>
      <c r="G74" s="11">
        <v>62.74</v>
      </c>
      <c r="H74" s="11">
        <v>0.90490000000000004</v>
      </c>
      <c r="I74" s="11">
        <v>1.046</v>
      </c>
      <c r="J74" s="11">
        <v>9</v>
      </c>
      <c r="K74" s="11">
        <v>9</v>
      </c>
      <c r="L74" s="11">
        <v>10</v>
      </c>
      <c r="M74" s="11">
        <v>9</v>
      </c>
      <c r="N74" s="4" t="s">
        <v>104</v>
      </c>
    </row>
    <row r="75" spans="1:14" x14ac:dyDescent="0.2">
      <c r="A75" s="4" t="s">
        <v>124</v>
      </c>
      <c r="B75" s="4" t="s">
        <v>9</v>
      </c>
      <c r="C75" s="4">
        <v>4</v>
      </c>
      <c r="D75" s="25">
        <v>1.4E-3</v>
      </c>
      <c r="E75" s="11">
        <v>29.6</v>
      </c>
      <c r="F75" s="11">
        <v>34.31</v>
      </c>
      <c r="G75" s="11">
        <v>66.91</v>
      </c>
      <c r="H75" s="11">
        <v>0.89649999999999996</v>
      </c>
      <c r="I75" s="11">
        <v>0.997</v>
      </c>
      <c r="J75" s="11">
        <v>9</v>
      </c>
      <c r="K75" s="11">
        <v>9</v>
      </c>
      <c r="L75" s="11">
        <v>10</v>
      </c>
      <c r="M75" s="11">
        <v>9</v>
      </c>
      <c r="N75" s="4" t="s">
        <v>125</v>
      </c>
    </row>
    <row r="76" spans="1:14" x14ac:dyDescent="0.2">
      <c r="A76" s="4" t="s">
        <v>126</v>
      </c>
      <c r="B76" s="4" t="s">
        <v>9</v>
      </c>
      <c r="C76" s="4">
        <v>2</v>
      </c>
      <c r="D76" s="25">
        <v>5.9999999999999995E-4</v>
      </c>
      <c r="E76" s="11">
        <v>13.4</v>
      </c>
      <c r="F76" s="11">
        <v>48.13</v>
      </c>
      <c r="G76" s="11">
        <v>74.45</v>
      </c>
      <c r="H76" s="11">
        <v>0.92830000000000001</v>
      </c>
      <c r="I76" s="11">
        <v>1.0069999999999999</v>
      </c>
      <c r="J76" s="11">
        <v>9</v>
      </c>
      <c r="K76" s="11">
        <v>9</v>
      </c>
      <c r="L76" s="11">
        <v>10</v>
      </c>
      <c r="M76" s="11">
        <v>9</v>
      </c>
      <c r="N76" s="4" t="s">
        <v>101</v>
      </c>
    </row>
    <row r="77" spans="1:14" s="9" customFormat="1" x14ac:dyDescent="0.2">
      <c r="A77" s="6" t="s">
        <v>128</v>
      </c>
      <c r="B77" s="6">
        <f>COUNTA(A2:A76)</f>
        <v>75</v>
      </c>
      <c r="C77" s="6" t="s">
        <v>19</v>
      </c>
      <c r="D77" s="26">
        <f>SUM(D2:D76)</f>
        <v>0.5071</v>
      </c>
      <c r="E77" s="18">
        <f>SUM(E2:E76)</f>
        <v>5294.300000000002</v>
      </c>
      <c r="F77" s="18">
        <f>AVERAGE(F2:F76)</f>
        <v>34.009066666666662</v>
      </c>
      <c r="G77" s="18">
        <f>AVERAGE(G2:G76)</f>
        <v>62.373599999999996</v>
      </c>
      <c r="H77" s="18">
        <f>AVERAGE(H2:H76)</f>
        <v>0.88900666666666706</v>
      </c>
      <c r="I77" s="18">
        <f>AVERAGE(I2:I76)</f>
        <v>0.94793333333333329</v>
      </c>
      <c r="J77" s="18">
        <f>AVERAGE(J2:J76)</f>
        <v>9.3853333333333353</v>
      </c>
      <c r="K77" s="18">
        <f>AVERAGE(K2:K76)</f>
        <v>9.3853333333333353</v>
      </c>
      <c r="L77" s="18">
        <f>AVERAGE(L2:L76)</f>
        <v>9.86</v>
      </c>
      <c r="M77" s="18">
        <f>AVERAGE(M2:M76)</f>
        <v>9.4666666666666686</v>
      </c>
      <c r="N77" s="8"/>
    </row>
    <row r="78" spans="1:14" x14ac:dyDescent="0.2">
      <c r="A78" s="4" t="s">
        <v>166</v>
      </c>
      <c r="B78" s="4" t="s">
        <v>10</v>
      </c>
      <c r="C78" s="4">
        <v>2</v>
      </c>
      <c r="D78" s="25">
        <v>1.6999999999999999E-3</v>
      </c>
      <c r="E78" s="11">
        <v>22.9</v>
      </c>
      <c r="F78" s="11">
        <v>56.28</v>
      </c>
      <c r="G78" s="11">
        <v>78.66</v>
      </c>
      <c r="H78" s="11">
        <v>0.9325</v>
      </c>
      <c r="I78" s="11">
        <v>1.016</v>
      </c>
      <c r="J78" s="11">
        <v>9</v>
      </c>
      <c r="K78" s="11">
        <v>9</v>
      </c>
      <c r="L78" s="11">
        <v>10</v>
      </c>
      <c r="M78" s="11">
        <v>9</v>
      </c>
      <c r="N78" s="4" t="s">
        <v>101</v>
      </c>
    </row>
    <row r="79" spans="1:14" x14ac:dyDescent="0.2">
      <c r="A79" s="4" t="s">
        <v>167</v>
      </c>
      <c r="B79" s="4" t="s">
        <v>10</v>
      </c>
      <c r="C79" s="4">
        <v>25</v>
      </c>
      <c r="D79" s="25">
        <v>1.24E-2</v>
      </c>
      <c r="E79" s="11">
        <v>116</v>
      </c>
      <c r="F79" s="11">
        <v>42.91</v>
      </c>
      <c r="G79" s="11">
        <v>68.44</v>
      </c>
      <c r="H79" s="11">
        <v>0.8972</v>
      </c>
      <c r="I79" s="11">
        <v>0.89</v>
      </c>
      <c r="J79" s="11">
        <v>9</v>
      </c>
      <c r="K79" s="11">
        <v>9</v>
      </c>
      <c r="L79" s="11">
        <v>9.4</v>
      </c>
      <c r="M79" s="11">
        <v>9.6</v>
      </c>
      <c r="N79" s="4" t="s">
        <v>169</v>
      </c>
    </row>
    <row r="80" spans="1:14" x14ac:dyDescent="0.2">
      <c r="A80" s="4" t="s">
        <v>168</v>
      </c>
      <c r="B80" s="4" t="s">
        <v>10</v>
      </c>
      <c r="C80" s="4">
        <v>25</v>
      </c>
      <c r="D80" s="25">
        <v>1.23E-2</v>
      </c>
      <c r="E80" s="11">
        <v>115.3</v>
      </c>
      <c r="F80" s="11">
        <v>42.21</v>
      </c>
      <c r="G80" s="11">
        <v>68.08</v>
      </c>
      <c r="H80" s="11">
        <v>0.89470000000000005</v>
      </c>
      <c r="I80" s="11">
        <v>0.88600000000000001</v>
      </c>
      <c r="J80" s="11">
        <v>9</v>
      </c>
      <c r="K80" s="11">
        <v>9</v>
      </c>
      <c r="L80" s="11">
        <v>9.6</v>
      </c>
      <c r="M80" s="11">
        <v>9.4</v>
      </c>
      <c r="N80" s="4" t="s">
        <v>170</v>
      </c>
    </row>
    <row r="81" spans="1:14" x14ac:dyDescent="0.2">
      <c r="A81" s="4" t="s">
        <v>171</v>
      </c>
      <c r="B81" s="4" t="s">
        <v>10</v>
      </c>
      <c r="C81" s="4">
        <v>139</v>
      </c>
      <c r="D81" s="25">
        <v>7.7600000000000002E-2</v>
      </c>
      <c r="E81" s="11">
        <v>547.4</v>
      </c>
      <c r="F81" s="11">
        <v>25.16</v>
      </c>
      <c r="G81" s="11">
        <v>47.44</v>
      </c>
      <c r="H81" s="11">
        <v>0.82640000000000002</v>
      </c>
      <c r="I81" s="11">
        <v>0.83699999999999997</v>
      </c>
      <c r="J81" s="11">
        <v>9</v>
      </c>
      <c r="K81" s="11">
        <v>9</v>
      </c>
      <c r="L81" s="11">
        <v>9.4</v>
      </c>
      <c r="M81" s="11">
        <v>9.1999999999999993</v>
      </c>
      <c r="N81" s="4" t="s">
        <v>172</v>
      </c>
    </row>
    <row r="82" spans="1:14" x14ac:dyDescent="0.2">
      <c r="A82" s="4" t="s">
        <v>173</v>
      </c>
      <c r="B82" s="4" t="s">
        <v>10</v>
      </c>
      <c r="C82" s="4">
        <v>13</v>
      </c>
      <c r="D82" s="25">
        <v>6.1000000000000004E-3</v>
      </c>
      <c r="E82" s="11">
        <v>68.099999999999994</v>
      </c>
      <c r="F82" s="11">
        <v>40.99</v>
      </c>
      <c r="G82" s="11">
        <v>68.45</v>
      </c>
      <c r="H82" s="11">
        <v>0.87339999999999995</v>
      </c>
      <c r="I82" s="11">
        <v>0.97699999999999998</v>
      </c>
      <c r="J82" s="11">
        <v>9.1999999999999993</v>
      </c>
      <c r="K82" s="11">
        <v>9.1999999999999993</v>
      </c>
      <c r="L82" s="11">
        <v>10</v>
      </c>
      <c r="M82" s="11">
        <v>9.1999999999999993</v>
      </c>
      <c r="N82" s="4" t="s">
        <v>174</v>
      </c>
    </row>
    <row r="83" spans="1:14" x14ac:dyDescent="0.2">
      <c r="A83" s="4" t="s">
        <v>175</v>
      </c>
      <c r="B83" s="4" t="s">
        <v>10</v>
      </c>
      <c r="C83" s="4">
        <v>11</v>
      </c>
      <c r="D83" s="25">
        <v>4.7999999999999996E-3</v>
      </c>
      <c r="E83" s="11">
        <v>54.9</v>
      </c>
      <c r="F83" s="11">
        <v>31.12</v>
      </c>
      <c r="G83" s="11">
        <v>53.48</v>
      </c>
      <c r="H83" s="11">
        <v>0.87329999999999997</v>
      </c>
      <c r="I83" s="11">
        <v>0.70899999999999996</v>
      </c>
      <c r="J83" s="11">
        <v>8.8000000000000007</v>
      </c>
      <c r="K83" s="11">
        <v>8.8000000000000007</v>
      </c>
      <c r="L83" s="11">
        <v>9.1999999999999993</v>
      </c>
      <c r="M83" s="11">
        <v>9</v>
      </c>
      <c r="N83" s="4" t="s">
        <v>176</v>
      </c>
    </row>
    <row r="84" spans="1:14" x14ac:dyDescent="0.2">
      <c r="A84" s="4" t="s">
        <v>177</v>
      </c>
      <c r="B84" s="4" t="s">
        <v>10</v>
      </c>
      <c r="C84" s="4">
        <v>14</v>
      </c>
      <c r="D84" s="25">
        <v>6.1000000000000004E-3</v>
      </c>
      <c r="E84" s="11">
        <v>59.5</v>
      </c>
      <c r="F84" s="11">
        <v>35.950000000000003</v>
      </c>
      <c r="G84" s="11">
        <v>59.32</v>
      </c>
      <c r="H84" s="11">
        <v>0.87029999999999996</v>
      </c>
      <c r="I84" s="11">
        <v>0.77900000000000003</v>
      </c>
      <c r="J84" s="11">
        <v>8.8000000000000007</v>
      </c>
      <c r="K84" s="11">
        <v>8.8000000000000007</v>
      </c>
      <c r="L84" s="11">
        <v>9.8000000000000007</v>
      </c>
      <c r="M84" s="11">
        <v>9</v>
      </c>
      <c r="N84" s="4" t="s">
        <v>178</v>
      </c>
    </row>
    <row r="85" spans="1:14" x14ac:dyDescent="0.2">
      <c r="A85" s="4" t="s">
        <v>179</v>
      </c>
      <c r="B85" s="4" t="s">
        <v>10</v>
      </c>
      <c r="C85" s="4">
        <v>14</v>
      </c>
      <c r="D85" s="25">
        <v>6.7999999999999996E-3</v>
      </c>
      <c r="E85" s="11">
        <v>77</v>
      </c>
      <c r="F85" s="11">
        <v>38.71</v>
      </c>
      <c r="G85" s="11">
        <v>66.56</v>
      </c>
      <c r="H85" s="11">
        <v>0.877</v>
      </c>
      <c r="I85" s="11">
        <v>0.99</v>
      </c>
      <c r="J85" s="11">
        <v>9</v>
      </c>
      <c r="K85" s="11">
        <v>9</v>
      </c>
      <c r="L85" s="11">
        <v>10</v>
      </c>
      <c r="M85" s="11">
        <v>9</v>
      </c>
      <c r="N85" s="4" t="s">
        <v>180</v>
      </c>
    </row>
    <row r="86" spans="1:14" x14ac:dyDescent="0.2">
      <c r="A86" s="4" t="s">
        <v>181</v>
      </c>
      <c r="B86" s="4" t="s">
        <v>10</v>
      </c>
      <c r="C86" s="4">
        <v>10</v>
      </c>
      <c r="D86" s="25">
        <v>4.7000000000000002E-3</v>
      </c>
      <c r="E86" s="11">
        <v>55.1</v>
      </c>
      <c r="F86" s="11">
        <v>49.81</v>
      </c>
      <c r="G86" s="11">
        <v>70.56</v>
      </c>
      <c r="H86" s="11">
        <v>0.89249999999999996</v>
      </c>
      <c r="I86" s="11">
        <v>0.90700000000000003</v>
      </c>
      <c r="J86" s="11">
        <v>9.1999999999999993</v>
      </c>
      <c r="K86" s="11">
        <v>9.1999999999999993</v>
      </c>
      <c r="L86" s="11">
        <v>10</v>
      </c>
      <c r="M86" s="11">
        <v>9.1999999999999993</v>
      </c>
      <c r="N86" s="4" t="s">
        <v>182</v>
      </c>
    </row>
    <row r="87" spans="1:14" x14ac:dyDescent="0.2">
      <c r="A87" s="4" t="s">
        <v>183</v>
      </c>
      <c r="B87" s="4" t="s">
        <v>10</v>
      </c>
      <c r="C87" s="4">
        <v>21</v>
      </c>
      <c r="D87" s="25">
        <v>8.8999999999999999E-3</v>
      </c>
      <c r="E87" s="11">
        <v>103.5</v>
      </c>
      <c r="F87" s="11">
        <v>20.88</v>
      </c>
      <c r="G87" s="11">
        <v>45.28</v>
      </c>
      <c r="H87" s="11">
        <v>0.83989999999999998</v>
      </c>
      <c r="I87" s="11">
        <v>0.69</v>
      </c>
      <c r="J87" s="11">
        <v>8.1999999999999993</v>
      </c>
      <c r="K87" s="11">
        <v>8.1999999999999993</v>
      </c>
      <c r="L87" s="11">
        <v>8.4</v>
      </c>
      <c r="M87" s="11">
        <v>8.8000000000000007</v>
      </c>
      <c r="N87" s="4" t="s">
        <v>184</v>
      </c>
    </row>
    <row r="88" spans="1:14" x14ac:dyDescent="0.2">
      <c r="A88" s="4" t="s">
        <v>185</v>
      </c>
      <c r="B88" s="4" t="s">
        <v>10</v>
      </c>
      <c r="C88" s="4">
        <v>48</v>
      </c>
      <c r="D88" s="25">
        <v>2.46E-2</v>
      </c>
      <c r="E88" s="11">
        <v>193.7</v>
      </c>
      <c r="F88" s="11">
        <v>14.83</v>
      </c>
      <c r="G88" s="11">
        <v>52.5</v>
      </c>
      <c r="H88" s="11">
        <v>0.82899999999999996</v>
      </c>
      <c r="I88" s="11">
        <v>1.236</v>
      </c>
      <c r="J88" s="11">
        <v>9</v>
      </c>
      <c r="K88" s="11">
        <v>9</v>
      </c>
      <c r="L88" s="11">
        <v>9.6</v>
      </c>
      <c r="M88" s="11">
        <v>9.4</v>
      </c>
      <c r="N88" s="4" t="s">
        <v>186</v>
      </c>
    </row>
    <row r="89" spans="1:14" x14ac:dyDescent="0.2">
      <c r="A89" s="4" t="s">
        <v>187</v>
      </c>
      <c r="B89" s="4" t="s">
        <v>10</v>
      </c>
      <c r="C89" s="4">
        <v>81</v>
      </c>
      <c r="D89" s="25">
        <v>3.8699999999999998E-2</v>
      </c>
      <c r="E89" s="11">
        <v>370.3</v>
      </c>
      <c r="F89" s="11">
        <v>22.23</v>
      </c>
      <c r="G89" s="11">
        <v>54.47</v>
      </c>
      <c r="H89" s="11">
        <v>0.84199999999999997</v>
      </c>
      <c r="I89" s="11">
        <v>0.83799999999999997</v>
      </c>
      <c r="J89" s="11">
        <v>9</v>
      </c>
      <c r="K89" s="11">
        <v>9</v>
      </c>
      <c r="L89" s="11">
        <v>10</v>
      </c>
      <c r="M89" s="11">
        <v>9</v>
      </c>
      <c r="N89" s="4" t="s">
        <v>188</v>
      </c>
    </row>
    <row r="90" spans="1:14" x14ac:dyDescent="0.2">
      <c r="A90" s="4" t="s">
        <v>189</v>
      </c>
      <c r="B90" s="4" t="s">
        <v>10</v>
      </c>
      <c r="C90" s="4">
        <v>4</v>
      </c>
      <c r="D90" s="25">
        <v>2.8999999999999998E-3</v>
      </c>
      <c r="E90" s="11">
        <v>52.2</v>
      </c>
      <c r="F90" s="11">
        <v>63.47</v>
      </c>
      <c r="G90" s="11">
        <v>81.96</v>
      </c>
      <c r="H90" s="11">
        <v>0.94159999999999999</v>
      </c>
      <c r="I90" s="11">
        <v>1.0469999999999999</v>
      </c>
      <c r="J90" s="11">
        <v>9</v>
      </c>
      <c r="K90" s="11">
        <v>9</v>
      </c>
      <c r="L90" s="11">
        <v>10</v>
      </c>
      <c r="M90" s="11">
        <v>9</v>
      </c>
      <c r="N90" s="4" t="s">
        <v>190</v>
      </c>
    </row>
    <row r="91" spans="1:14" x14ac:dyDescent="0.2">
      <c r="A91" s="4" t="s">
        <v>166</v>
      </c>
      <c r="B91" s="4" t="s">
        <v>10</v>
      </c>
      <c r="C91" s="4">
        <v>2</v>
      </c>
      <c r="D91" s="25">
        <v>1.6999999999999999E-3</v>
      </c>
      <c r="E91" s="11">
        <v>26.2</v>
      </c>
      <c r="F91" s="11">
        <v>59.16</v>
      </c>
      <c r="G91" s="11">
        <v>79.98</v>
      </c>
      <c r="H91" s="11">
        <v>0.94140000000000001</v>
      </c>
      <c r="I91" s="11">
        <v>1.014</v>
      </c>
      <c r="J91" s="11">
        <v>9</v>
      </c>
      <c r="K91" s="11">
        <v>9</v>
      </c>
      <c r="L91" s="11">
        <v>10</v>
      </c>
      <c r="M91" s="11">
        <v>9</v>
      </c>
      <c r="N91" s="4" t="s">
        <v>101</v>
      </c>
    </row>
    <row r="92" spans="1:14" x14ac:dyDescent="0.2">
      <c r="A92" s="4" t="s">
        <v>191</v>
      </c>
      <c r="B92" s="4" t="s">
        <v>10</v>
      </c>
      <c r="C92" s="4">
        <v>29</v>
      </c>
      <c r="D92" s="25">
        <v>1.3599999999999999E-2</v>
      </c>
      <c r="E92" s="11">
        <v>126</v>
      </c>
      <c r="F92" s="11">
        <v>34.61</v>
      </c>
      <c r="G92" s="11">
        <v>55.74</v>
      </c>
      <c r="H92" s="11">
        <v>0.85299999999999998</v>
      </c>
      <c r="I92" s="11">
        <v>0.88200000000000001</v>
      </c>
      <c r="J92" s="11">
        <v>9</v>
      </c>
      <c r="K92" s="11">
        <v>9</v>
      </c>
      <c r="L92" s="11">
        <v>9.8000000000000007</v>
      </c>
      <c r="M92" s="11">
        <v>9.1999999999999993</v>
      </c>
      <c r="N92" s="4" t="s">
        <v>192</v>
      </c>
    </row>
    <row r="93" spans="1:14" x14ac:dyDescent="0.2">
      <c r="A93" s="4" t="s">
        <v>193</v>
      </c>
      <c r="B93" s="4" t="s">
        <v>10</v>
      </c>
      <c r="C93" s="4">
        <v>6</v>
      </c>
      <c r="D93" s="25">
        <v>4.8999999999999998E-3</v>
      </c>
      <c r="E93" s="11">
        <v>43</v>
      </c>
      <c r="F93" s="11">
        <v>61.98</v>
      </c>
      <c r="G93" s="11">
        <v>81.05</v>
      </c>
      <c r="H93" s="11">
        <v>0.94840000000000002</v>
      </c>
      <c r="I93" s="11">
        <v>1.016</v>
      </c>
      <c r="J93" s="11">
        <v>9</v>
      </c>
      <c r="K93" s="11">
        <v>9</v>
      </c>
      <c r="L93" s="11">
        <v>10</v>
      </c>
      <c r="M93" s="11">
        <v>9</v>
      </c>
      <c r="N93" s="4" t="s">
        <v>112</v>
      </c>
    </row>
    <row r="94" spans="1:14" x14ac:dyDescent="0.2">
      <c r="A94" s="4" t="s">
        <v>194</v>
      </c>
      <c r="B94" s="4" t="s">
        <v>10</v>
      </c>
      <c r="C94" s="4">
        <v>39</v>
      </c>
      <c r="D94" s="25">
        <v>1.95E-2</v>
      </c>
      <c r="E94" s="11">
        <v>173.3</v>
      </c>
      <c r="F94" s="11">
        <v>26.16</v>
      </c>
      <c r="G94" s="11">
        <v>54.39</v>
      </c>
      <c r="H94" s="11">
        <v>0.84750000000000003</v>
      </c>
      <c r="I94" s="11">
        <v>0.77800000000000002</v>
      </c>
      <c r="J94" s="11">
        <v>9</v>
      </c>
      <c r="K94" s="11">
        <v>9</v>
      </c>
      <c r="L94" s="11">
        <v>9.8000000000000007</v>
      </c>
      <c r="M94" s="11">
        <v>9.1999999999999993</v>
      </c>
      <c r="N94" s="4" t="s">
        <v>195</v>
      </c>
    </row>
    <row r="95" spans="1:14" x14ac:dyDescent="0.2">
      <c r="A95" s="4" t="s">
        <v>196</v>
      </c>
      <c r="B95" s="4" t="s">
        <v>10</v>
      </c>
      <c r="C95" s="4">
        <v>15</v>
      </c>
      <c r="D95" s="25">
        <v>6.4999999999999997E-3</v>
      </c>
      <c r="E95" s="11">
        <v>94.1</v>
      </c>
      <c r="F95" s="11">
        <v>30.68</v>
      </c>
      <c r="G95" s="11">
        <v>54.75</v>
      </c>
      <c r="H95" s="11">
        <v>0.85829999999999995</v>
      </c>
      <c r="I95" s="11">
        <v>0.84099999999999997</v>
      </c>
      <c r="J95" s="11">
        <v>8.6</v>
      </c>
      <c r="K95" s="11">
        <v>8.6</v>
      </c>
      <c r="L95" s="11">
        <v>8.8000000000000007</v>
      </c>
      <c r="M95" s="11">
        <v>9</v>
      </c>
      <c r="N95" s="4" t="s">
        <v>197</v>
      </c>
    </row>
    <row r="96" spans="1:14" x14ac:dyDescent="0.2">
      <c r="A96" s="4" t="s">
        <v>198</v>
      </c>
      <c r="B96" s="4" t="s">
        <v>10</v>
      </c>
      <c r="C96" s="4">
        <v>32</v>
      </c>
      <c r="D96" s="25">
        <v>1.61E-2</v>
      </c>
      <c r="E96" s="11">
        <v>150.69999999999999</v>
      </c>
      <c r="F96" s="11">
        <v>39.39</v>
      </c>
      <c r="G96" s="11">
        <v>64.489999999999995</v>
      </c>
      <c r="H96" s="11">
        <v>0.84860000000000002</v>
      </c>
      <c r="I96" s="11">
        <v>0.96099999999999997</v>
      </c>
      <c r="J96" s="11">
        <v>8.8000000000000007</v>
      </c>
      <c r="K96" s="11">
        <v>9</v>
      </c>
      <c r="L96" s="11">
        <v>9.6</v>
      </c>
      <c r="M96" s="11">
        <v>9</v>
      </c>
      <c r="N96" s="4" t="s">
        <v>199</v>
      </c>
    </row>
    <row r="97" spans="1:14" x14ac:dyDescent="0.2">
      <c r="A97" s="4" t="s">
        <v>200</v>
      </c>
      <c r="B97" s="4" t="s">
        <v>10</v>
      </c>
      <c r="C97" s="4">
        <v>8</v>
      </c>
      <c r="D97" s="25">
        <v>3.8E-3</v>
      </c>
      <c r="E97" s="11">
        <v>38.5</v>
      </c>
      <c r="F97" s="11">
        <v>99.6</v>
      </c>
      <c r="G97" s="11">
        <v>99.89</v>
      </c>
      <c r="H97" s="11">
        <v>0.98839999999999995</v>
      </c>
      <c r="I97" s="11">
        <v>1</v>
      </c>
      <c r="J97" s="11">
        <v>9.3000000000000007</v>
      </c>
      <c r="K97" s="11">
        <v>9.3000000000000007</v>
      </c>
      <c r="L97" s="11">
        <v>10</v>
      </c>
      <c r="M97" s="11">
        <v>9.3000000000000007</v>
      </c>
      <c r="N97" s="4" t="s">
        <v>201</v>
      </c>
    </row>
    <row r="98" spans="1:14" x14ac:dyDescent="0.2">
      <c r="A98" s="4" t="s">
        <v>202</v>
      </c>
      <c r="B98" s="4" t="s">
        <v>10</v>
      </c>
      <c r="C98" s="4">
        <v>7</v>
      </c>
      <c r="D98" s="25">
        <v>3.5000000000000001E-3</v>
      </c>
      <c r="E98" s="11">
        <v>43.4</v>
      </c>
      <c r="F98" s="11">
        <v>51.55</v>
      </c>
      <c r="G98" s="11">
        <v>74.16</v>
      </c>
      <c r="H98" s="11">
        <v>0.90639999999999998</v>
      </c>
      <c r="I98" s="11">
        <v>1.01</v>
      </c>
      <c r="J98" s="11">
        <v>9</v>
      </c>
      <c r="K98" s="11">
        <v>9</v>
      </c>
      <c r="L98" s="11">
        <v>10</v>
      </c>
      <c r="M98" s="11">
        <v>9</v>
      </c>
      <c r="N98" s="4" t="s">
        <v>203</v>
      </c>
    </row>
    <row r="99" spans="1:14" x14ac:dyDescent="0.2">
      <c r="A99" s="4" t="s">
        <v>204</v>
      </c>
      <c r="B99" s="4" t="s">
        <v>10</v>
      </c>
      <c r="C99" s="4">
        <v>43</v>
      </c>
      <c r="D99" s="25">
        <v>2.1700000000000001E-2</v>
      </c>
      <c r="E99" s="11">
        <v>261.60000000000002</v>
      </c>
      <c r="F99" s="11">
        <v>35.61</v>
      </c>
      <c r="G99" s="11">
        <v>61.03</v>
      </c>
      <c r="H99" s="11">
        <v>0.85529999999999995</v>
      </c>
      <c r="I99" s="11">
        <v>0.93799999999999994</v>
      </c>
      <c r="J99" s="11">
        <v>9</v>
      </c>
      <c r="K99" s="11">
        <v>9</v>
      </c>
      <c r="L99" s="11">
        <v>9.6</v>
      </c>
      <c r="M99" s="11">
        <v>9.4</v>
      </c>
      <c r="N99" s="4" t="s">
        <v>219</v>
      </c>
    </row>
    <row r="100" spans="1:14" x14ac:dyDescent="0.2">
      <c r="A100" s="4" t="s">
        <v>205</v>
      </c>
      <c r="B100" s="4" t="s">
        <v>10</v>
      </c>
      <c r="C100" s="4">
        <v>16</v>
      </c>
      <c r="D100" s="25">
        <v>8.0000000000000002E-3</v>
      </c>
      <c r="E100" s="11">
        <v>108.7</v>
      </c>
      <c r="F100" s="11">
        <v>42.42</v>
      </c>
      <c r="G100" s="11">
        <v>67.56</v>
      </c>
      <c r="H100" s="11">
        <v>0.89670000000000005</v>
      </c>
      <c r="I100" s="11">
        <v>0.95099999999999996</v>
      </c>
      <c r="J100" s="11">
        <v>9</v>
      </c>
      <c r="K100" s="11">
        <v>9</v>
      </c>
      <c r="L100" s="11">
        <v>9.8000000000000007</v>
      </c>
      <c r="M100" s="11">
        <v>9.1999999999999993</v>
      </c>
      <c r="N100" s="4" t="s">
        <v>220</v>
      </c>
    </row>
    <row r="101" spans="1:14" x14ac:dyDescent="0.2">
      <c r="A101" s="4" t="s">
        <v>207</v>
      </c>
      <c r="B101" s="4" t="s">
        <v>10</v>
      </c>
      <c r="C101" s="4">
        <v>24</v>
      </c>
      <c r="D101" s="25">
        <v>1.2699999999999999E-2</v>
      </c>
      <c r="E101" s="11">
        <v>136.69999999999999</v>
      </c>
      <c r="F101" s="11">
        <v>49.17</v>
      </c>
      <c r="G101" s="11">
        <v>70.680000000000007</v>
      </c>
      <c r="H101" s="11">
        <v>0.87739999999999996</v>
      </c>
      <c r="I101" s="11">
        <v>0.93799999999999994</v>
      </c>
      <c r="J101" s="11">
        <v>9</v>
      </c>
      <c r="K101" s="11">
        <v>9</v>
      </c>
      <c r="L101" s="11">
        <v>10</v>
      </c>
      <c r="M101" s="11">
        <v>9</v>
      </c>
      <c r="N101" s="4" t="s">
        <v>222</v>
      </c>
    </row>
    <row r="102" spans="1:14" x14ac:dyDescent="0.2">
      <c r="A102" s="4" t="s">
        <v>206</v>
      </c>
      <c r="B102" s="4" t="s">
        <v>10</v>
      </c>
      <c r="C102" s="4">
        <v>7</v>
      </c>
      <c r="D102" s="25">
        <v>2.8999999999999998E-3</v>
      </c>
      <c r="E102" s="11">
        <v>36.5</v>
      </c>
      <c r="F102" s="11">
        <v>54.84</v>
      </c>
      <c r="G102" s="11">
        <v>75.209999999999994</v>
      </c>
      <c r="H102" s="11">
        <v>0.93730000000000002</v>
      </c>
      <c r="I102" s="11">
        <v>0.92800000000000005</v>
      </c>
      <c r="J102" s="11">
        <v>9.3000000000000007</v>
      </c>
      <c r="K102" s="11">
        <v>9.3000000000000007</v>
      </c>
      <c r="L102" s="11">
        <v>10</v>
      </c>
      <c r="M102" s="11">
        <v>9.3000000000000007</v>
      </c>
      <c r="N102" s="4" t="s">
        <v>223</v>
      </c>
    </row>
    <row r="103" spans="1:14" x14ac:dyDescent="0.2">
      <c r="A103" s="4" t="s">
        <v>208</v>
      </c>
      <c r="B103" s="4" t="s">
        <v>10</v>
      </c>
      <c r="C103" s="4">
        <v>3</v>
      </c>
      <c r="D103" s="25">
        <v>1E-3</v>
      </c>
      <c r="E103" s="11">
        <v>47.9</v>
      </c>
      <c r="F103" s="11">
        <v>40.86</v>
      </c>
      <c r="G103" s="11">
        <v>64.760000000000005</v>
      </c>
      <c r="H103" s="11">
        <v>0.86709999999999998</v>
      </c>
      <c r="I103" s="11">
        <v>0.81799999999999995</v>
      </c>
      <c r="J103" s="11">
        <v>9</v>
      </c>
      <c r="K103" s="11">
        <v>9</v>
      </c>
      <c r="L103" s="11">
        <v>10</v>
      </c>
      <c r="M103" s="11">
        <v>9</v>
      </c>
      <c r="N103" s="4" t="s">
        <v>101</v>
      </c>
    </row>
    <row r="104" spans="1:14" x14ac:dyDescent="0.2">
      <c r="A104" s="4" t="s">
        <v>209</v>
      </c>
      <c r="B104" s="4" t="s">
        <v>10</v>
      </c>
      <c r="C104" s="4">
        <v>10</v>
      </c>
      <c r="D104" s="25">
        <v>4.3E-3</v>
      </c>
      <c r="E104" s="11">
        <v>47</v>
      </c>
      <c r="F104" s="11">
        <v>48.06</v>
      </c>
      <c r="G104" s="11">
        <v>70.63</v>
      </c>
      <c r="H104" s="11">
        <v>0.90690000000000004</v>
      </c>
      <c r="I104" s="11">
        <v>0.93799999999999994</v>
      </c>
      <c r="J104" s="11">
        <v>9.1999999999999993</v>
      </c>
      <c r="K104" s="11">
        <v>9.1999999999999993</v>
      </c>
      <c r="L104" s="11">
        <v>10</v>
      </c>
      <c r="M104" s="11">
        <v>9.1999999999999993</v>
      </c>
      <c r="N104" s="4" t="s">
        <v>224</v>
      </c>
    </row>
    <row r="105" spans="1:14" x14ac:dyDescent="0.2">
      <c r="A105" s="4" t="s">
        <v>210</v>
      </c>
      <c r="B105" s="4" t="s">
        <v>10</v>
      </c>
      <c r="C105" s="4">
        <v>4</v>
      </c>
      <c r="D105" s="25">
        <v>1.9E-3</v>
      </c>
      <c r="E105" s="11">
        <v>35.799999999999997</v>
      </c>
      <c r="F105" s="11">
        <v>42.43</v>
      </c>
      <c r="G105" s="11">
        <v>65.56</v>
      </c>
      <c r="H105" s="11">
        <v>0.87649999999999995</v>
      </c>
      <c r="I105" s="11">
        <v>1.002</v>
      </c>
      <c r="J105" s="11">
        <v>9.5</v>
      </c>
      <c r="K105" s="11">
        <v>9.5</v>
      </c>
      <c r="L105" s="11">
        <v>10</v>
      </c>
      <c r="M105" s="11">
        <v>9.5</v>
      </c>
      <c r="N105" s="4" t="s">
        <v>225</v>
      </c>
    </row>
    <row r="106" spans="1:14" x14ac:dyDescent="0.2">
      <c r="A106" s="4" t="s">
        <v>211</v>
      </c>
      <c r="B106" s="4" t="s">
        <v>10</v>
      </c>
      <c r="C106" s="4">
        <v>9</v>
      </c>
      <c r="D106" s="25">
        <v>3.2000000000000002E-3</v>
      </c>
      <c r="E106" s="11">
        <v>44.1</v>
      </c>
      <c r="F106" s="11">
        <v>47.79</v>
      </c>
      <c r="G106" s="11">
        <v>71.78</v>
      </c>
      <c r="H106" s="11">
        <v>0.89439999999999997</v>
      </c>
      <c r="I106" s="11">
        <v>0.93</v>
      </c>
      <c r="J106" s="11">
        <v>9</v>
      </c>
      <c r="K106" s="11">
        <v>9</v>
      </c>
      <c r="L106" s="11">
        <v>9.6999999999999993</v>
      </c>
      <c r="M106" s="11">
        <v>9.3000000000000007</v>
      </c>
      <c r="N106" s="4" t="s">
        <v>226</v>
      </c>
    </row>
    <row r="107" spans="1:14" x14ac:dyDescent="0.2">
      <c r="A107" s="4" t="s">
        <v>212</v>
      </c>
      <c r="B107" s="4" t="s">
        <v>10</v>
      </c>
      <c r="C107" s="4">
        <v>30</v>
      </c>
      <c r="D107" s="25">
        <v>1.4E-2</v>
      </c>
      <c r="E107" s="11">
        <v>118.9</v>
      </c>
      <c r="F107" s="11">
        <v>12.72</v>
      </c>
      <c r="G107" s="11">
        <v>37.270000000000003</v>
      </c>
      <c r="H107" s="11">
        <v>0.81379999999999997</v>
      </c>
      <c r="I107" s="11">
        <v>0.69699999999999995</v>
      </c>
      <c r="J107" s="11">
        <v>8.4</v>
      </c>
      <c r="K107" s="11">
        <v>8.1999999999999993</v>
      </c>
      <c r="L107" s="11">
        <v>8.8000000000000007</v>
      </c>
      <c r="M107" s="11">
        <v>8.8000000000000007</v>
      </c>
      <c r="N107" s="4" t="s">
        <v>227</v>
      </c>
    </row>
    <row r="108" spans="1:14" x14ac:dyDescent="0.2">
      <c r="A108" s="4" t="s">
        <v>213</v>
      </c>
      <c r="B108" s="4" t="s">
        <v>10</v>
      </c>
      <c r="C108" s="4">
        <v>39</v>
      </c>
      <c r="D108" s="25">
        <v>2.1899999999999999E-2</v>
      </c>
      <c r="E108" s="11">
        <v>213.3</v>
      </c>
      <c r="F108" s="11">
        <v>29.83</v>
      </c>
      <c r="G108" s="11">
        <v>53.58</v>
      </c>
      <c r="H108" s="11">
        <v>0.84460000000000002</v>
      </c>
      <c r="I108" s="11">
        <v>0.83399999999999996</v>
      </c>
      <c r="J108" s="11">
        <v>9</v>
      </c>
      <c r="K108" s="11">
        <v>9</v>
      </c>
      <c r="L108" s="11">
        <v>10</v>
      </c>
      <c r="M108" s="11">
        <v>9</v>
      </c>
      <c r="N108" s="4" t="s">
        <v>228</v>
      </c>
    </row>
    <row r="109" spans="1:14" x14ac:dyDescent="0.2">
      <c r="A109" s="4" t="s">
        <v>214</v>
      </c>
      <c r="B109" s="4" t="s">
        <v>10</v>
      </c>
      <c r="C109" s="4">
        <v>119</v>
      </c>
      <c r="D109" s="25">
        <v>6.6799999999999998E-2</v>
      </c>
      <c r="E109" s="11">
        <v>631.70000000000005</v>
      </c>
      <c r="F109" s="11">
        <v>32.33</v>
      </c>
      <c r="G109" s="11">
        <v>59.58</v>
      </c>
      <c r="H109" s="11">
        <v>0.84719999999999995</v>
      </c>
      <c r="I109" s="11">
        <v>0.80400000000000005</v>
      </c>
      <c r="J109" s="11">
        <v>9</v>
      </c>
      <c r="K109" s="11">
        <v>9</v>
      </c>
      <c r="L109" s="11">
        <v>10</v>
      </c>
      <c r="M109" s="11">
        <v>9</v>
      </c>
      <c r="N109" s="4" t="s">
        <v>230</v>
      </c>
    </row>
    <row r="110" spans="1:14" x14ac:dyDescent="0.2">
      <c r="A110" s="4" t="s">
        <v>215</v>
      </c>
      <c r="B110" s="4" t="s">
        <v>10</v>
      </c>
      <c r="C110" s="4">
        <v>16</v>
      </c>
      <c r="D110" s="25">
        <v>8.0000000000000002E-3</v>
      </c>
      <c r="E110" s="11">
        <v>90.3</v>
      </c>
      <c r="F110" s="11">
        <v>38.5</v>
      </c>
      <c r="G110" s="11">
        <v>65.41</v>
      </c>
      <c r="H110" s="11">
        <v>0.89439999999999997</v>
      </c>
      <c r="I110" s="11">
        <v>0.83</v>
      </c>
      <c r="J110" s="11">
        <v>9.1999999999999993</v>
      </c>
      <c r="K110" s="11">
        <v>9.1999999999999993</v>
      </c>
      <c r="L110" s="11">
        <v>9.8000000000000007</v>
      </c>
      <c r="M110" s="11">
        <v>9.4</v>
      </c>
      <c r="N110" s="4" t="s">
        <v>231</v>
      </c>
    </row>
    <row r="111" spans="1:14" x14ac:dyDescent="0.2">
      <c r="A111" s="4" t="s">
        <v>216</v>
      </c>
      <c r="B111" s="4" t="s">
        <v>10</v>
      </c>
      <c r="C111" s="4">
        <v>42</v>
      </c>
      <c r="D111" s="25">
        <v>2.0899999999999998E-2</v>
      </c>
      <c r="E111" s="11">
        <v>188.2</v>
      </c>
      <c r="F111" s="11">
        <v>34.56</v>
      </c>
      <c r="G111" s="11">
        <v>62.46</v>
      </c>
      <c r="H111" s="11">
        <v>0.88849999999999996</v>
      </c>
      <c r="I111" s="11">
        <v>0.92300000000000004</v>
      </c>
      <c r="J111" s="11">
        <v>9</v>
      </c>
      <c r="K111" s="11">
        <v>9</v>
      </c>
      <c r="L111" s="11">
        <v>9.8000000000000007</v>
      </c>
      <c r="M111" s="11">
        <v>9.1999999999999993</v>
      </c>
      <c r="N111" s="4" t="s">
        <v>232</v>
      </c>
    </row>
    <row r="112" spans="1:14" x14ac:dyDescent="0.2">
      <c r="A112" s="4" t="s">
        <v>217</v>
      </c>
      <c r="B112" s="4" t="s">
        <v>10</v>
      </c>
      <c r="C112" s="4">
        <v>78</v>
      </c>
      <c r="D112" s="25">
        <v>4.19E-2</v>
      </c>
      <c r="E112" s="11">
        <v>434</v>
      </c>
      <c r="F112" s="11">
        <v>24.44</v>
      </c>
      <c r="G112" s="11">
        <v>54.1</v>
      </c>
      <c r="H112" s="11">
        <v>0.84770000000000001</v>
      </c>
      <c r="I112" s="11">
        <v>0.87</v>
      </c>
      <c r="J112" s="11">
        <v>9</v>
      </c>
      <c r="K112" s="11">
        <v>9</v>
      </c>
      <c r="L112" s="11">
        <v>10</v>
      </c>
      <c r="M112" s="11">
        <v>9</v>
      </c>
      <c r="N112" s="4" t="s">
        <v>233</v>
      </c>
    </row>
    <row r="113" spans="1:14" x14ac:dyDescent="0.2">
      <c r="A113" s="4" t="s">
        <v>218</v>
      </c>
      <c r="B113" s="4" t="s">
        <v>10</v>
      </c>
      <c r="C113" s="4">
        <v>47</v>
      </c>
      <c r="D113" s="25">
        <v>2.3699999999999999E-2</v>
      </c>
      <c r="E113" s="11">
        <v>255.4</v>
      </c>
      <c r="F113" s="11">
        <v>20.03</v>
      </c>
      <c r="G113" s="11">
        <v>49.88</v>
      </c>
      <c r="H113" s="11">
        <v>0.83209999999999995</v>
      </c>
      <c r="I113" s="11">
        <v>0.78900000000000003</v>
      </c>
      <c r="J113" s="11">
        <v>9</v>
      </c>
      <c r="K113" s="11">
        <v>9</v>
      </c>
      <c r="L113" s="11">
        <v>10</v>
      </c>
      <c r="M113" s="11">
        <v>9</v>
      </c>
      <c r="N113" s="4" t="s">
        <v>234</v>
      </c>
    </row>
    <row r="114" spans="1:14" x14ac:dyDescent="0.2">
      <c r="A114" s="4" t="s">
        <v>221</v>
      </c>
      <c r="B114" s="4" t="s">
        <v>10</v>
      </c>
      <c r="C114" s="4">
        <v>5</v>
      </c>
      <c r="D114" s="25">
        <v>3.3999999999999998E-3</v>
      </c>
      <c r="E114" s="11">
        <v>121.8</v>
      </c>
      <c r="F114" s="11">
        <v>60.29</v>
      </c>
      <c r="G114" s="11">
        <v>76.91</v>
      </c>
      <c r="H114" s="11">
        <v>0.96399999999999997</v>
      </c>
      <c r="I114" s="11">
        <v>0.93</v>
      </c>
      <c r="J114" s="11">
        <v>9.5</v>
      </c>
      <c r="K114" s="11">
        <v>9.5</v>
      </c>
      <c r="L114" s="11">
        <v>9.5</v>
      </c>
      <c r="M114" s="11">
        <v>10</v>
      </c>
      <c r="N114" s="4" t="s">
        <v>235</v>
      </c>
    </row>
    <row r="115" spans="1:14" x14ac:dyDescent="0.2">
      <c r="A115" s="4" t="s">
        <v>229</v>
      </c>
      <c r="B115" s="4" t="s">
        <v>10</v>
      </c>
      <c r="C115" s="4">
        <v>6</v>
      </c>
      <c r="D115" s="25">
        <v>4.1999999999999997E-3</v>
      </c>
      <c r="E115" s="11">
        <v>102.9</v>
      </c>
      <c r="F115" s="11">
        <v>63.57</v>
      </c>
      <c r="G115" s="11">
        <v>76.739999999999995</v>
      </c>
      <c r="H115" s="11">
        <v>0.9506</v>
      </c>
      <c r="I115" s="11">
        <v>0.89200000000000002</v>
      </c>
      <c r="J115" s="11">
        <v>9</v>
      </c>
      <c r="K115" s="11">
        <v>9.5</v>
      </c>
      <c r="L115" s="11">
        <v>9.5</v>
      </c>
      <c r="M115" s="11">
        <v>9.5</v>
      </c>
      <c r="N115" s="4" t="s">
        <v>236</v>
      </c>
    </row>
    <row r="116" spans="1:14" x14ac:dyDescent="0.2">
      <c r="A116" s="4" t="s">
        <v>237</v>
      </c>
      <c r="B116" s="4" t="s">
        <v>10</v>
      </c>
      <c r="C116" s="4">
        <v>33</v>
      </c>
      <c r="D116" s="25">
        <v>1.7999999999999999E-2</v>
      </c>
      <c r="E116" s="11">
        <v>168.3</v>
      </c>
      <c r="F116" s="11">
        <v>40.67</v>
      </c>
      <c r="G116" s="11">
        <v>65</v>
      </c>
      <c r="H116" s="11">
        <v>0.86229999999999996</v>
      </c>
      <c r="I116" s="11">
        <v>0.96399999999999997</v>
      </c>
      <c r="J116" s="11">
        <v>8.6</v>
      </c>
      <c r="K116" s="11">
        <v>8.4</v>
      </c>
      <c r="L116" s="11">
        <v>8.8000000000000007</v>
      </c>
      <c r="M116" s="11">
        <v>9.1999999999999993</v>
      </c>
      <c r="N116" s="4" t="s">
        <v>238</v>
      </c>
    </row>
    <row r="117" spans="1:14" x14ac:dyDescent="0.2">
      <c r="A117" s="4" t="s">
        <v>239</v>
      </c>
      <c r="B117" s="4" t="s">
        <v>10</v>
      </c>
      <c r="C117" s="4">
        <v>37</v>
      </c>
      <c r="D117" s="25">
        <v>2.1399999999999999E-2</v>
      </c>
      <c r="E117" s="11">
        <v>187</v>
      </c>
      <c r="F117" s="11">
        <v>39.85</v>
      </c>
      <c r="G117" s="11">
        <v>62.17</v>
      </c>
      <c r="H117" s="11">
        <v>0.84809999999999997</v>
      </c>
      <c r="I117" s="11">
        <v>0.91</v>
      </c>
      <c r="J117" s="11">
        <v>9.1999999999999993</v>
      </c>
      <c r="K117" s="11">
        <v>9.1999999999999993</v>
      </c>
      <c r="L117" s="11">
        <v>9.8000000000000007</v>
      </c>
      <c r="M117" s="11">
        <v>9.4</v>
      </c>
      <c r="N117" s="4" t="s">
        <v>240</v>
      </c>
    </row>
    <row r="118" spans="1:14" x14ac:dyDescent="0.2">
      <c r="A118" s="4" t="s">
        <v>242</v>
      </c>
      <c r="B118" s="4" t="s">
        <v>10</v>
      </c>
      <c r="C118" s="4">
        <v>3</v>
      </c>
      <c r="D118" s="25">
        <v>1.8E-3</v>
      </c>
      <c r="E118" s="11">
        <v>36.9</v>
      </c>
      <c r="F118" s="11">
        <v>54.22</v>
      </c>
      <c r="G118" s="11">
        <v>77.62</v>
      </c>
      <c r="H118" s="11">
        <v>0.93030000000000002</v>
      </c>
      <c r="I118" s="11">
        <v>1.0629999999999999</v>
      </c>
      <c r="J118" s="11">
        <v>9</v>
      </c>
      <c r="K118" s="11">
        <v>9</v>
      </c>
      <c r="L118" s="11">
        <v>10</v>
      </c>
      <c r="M118" s="11">
        <v>9</v>
      </c>
      <c r="N118" s="4" t="s">
        <v>104</v>
      </c>
    </row>
    <row r="119" spans="1:14" x14ac:dyDescent="0.2">
      <c r="A119" s="4" t="s">
        <v>241</v>
      </c>
      <c r="B119" s="4" t="s">
        <v>10</v>
      </c>
      <c r="C119" s="4">
        <v>3</v>
      </c>
      <c r="D119" s="25">
        <v>1.5E-3</v>
      </c>
      <c r="E119" s="11">
        <v>102.6</v>
      </c>
      <c r="F119" s="11">
        <v>40.869999999999997</v>
      </c>
      <c r="G119" s="11">
        <v>64.23</v>
      </c>
      <c r="H119" s="11">
        <v>0.90110000000000001</v>
      </c>
      <c r="I119" s="11">
        <v>0.81799999999999995</v>
      </c>
      <c r="J119" s="11">
        <v>9</v>
      </c>
      <c r="K119" s="11">
        <v>9</v>
      </c>
      <c r="L119" s="11">
        <v>10</v>
      </c>
      <c r="M119" s="11">
        <v>9</v>
      </c>
      <c r="N119" s="4" t="s">
        <v>101</v>
      </c>
    </row>
    <row r="120" spans="1:14" x14ac:dyDescent="0.2">
      <c r="A120" s="4" t="s">
        <v>243</v>
      </c>
      <c r="B120" s="4" t="s">
        <v>10</v>
      </c>
      <c r="C120" s="4">
        <v>62</v>
      </c>
      <c r="D120" s="25">
        <v>3.2500000000000001E-2</v>
      </c>
      <c r="E120" s="11">
        <v>261.2</v>
      </c>
      <c r="F120" s="11">
        <v>20.93</v>
      </c>
      <c r="G120" s="11">
        <v>52.12</v>
      </c>
      <c r="H120" s="11">
        <v>0.83109999999999995</v>
      </c>
      <c r="I120" s="11">
        <v>0.88300000000000001</v>
      </c>
      <c r="J120" s="11">
        <v>9</v>
      </c>
      <c r="K120" s="11">
        <v>9</v>
      </c>
      <c r="L120" s="11">
        <v>10</v>
      </c>
      <c r="M120" s="11">
        <v>9</v>
      </c>
      <c r="N120" s="4" t="s">
        <v>256</v>
      </c>
    </row>
    <row r="121" spans="1:14" x14ac:dyDescent="0.2">
      <c r="A121" s="4" t="s">
        <v>244</v>
      </c>
      <c r="B121" s="4" t="s">
        <v>10</v>
      </c>
      <c r="C121" s="4">
        <v>2</v>
      </c>
      <c r="D121" s="25">
        <v>1.6000000000000001E-3</v>
      </c>
      <c r="E121" s="11">
        <v>31.2</v>
      </c>
      <c r="F121" s="11">
        <v>65.959999999999994</v>
      </c>
      <c r="G121" s="11">
        <v>83.22</v>
      </c>
      <c r="H121" s="11">
        <v>0.97099999999999997</v>
      </c>
      <c r="I121" s="11">
        <v>1.02</v>
      </c>
      <c r="J121" s="11">
        <v>9</v>
      </c>
      <c r="K121" s="11">
        <v>9</v>
      </c>
      <c r="L121" s="11">
        <v>10</v>
      </c>
      <c r="M121" s="11">
        <v>9</v>
      </c>
      <c r="N121" s="4" t="s">
        <v>257</v>
      </c>
    </row>
    <row r="122" spans="1:14" x14ac:dyDescent="0.2">
      <c r="A122" s="4" t="s">
        <v>245</v>
      </c>
      <c r="B122" s="4" t="s">
        <v>10</v>
      </c>
      <c r="C122" s="4">
        <v>62</v>
      </c>
      <c r="D122" s="25">
        <v>3.27E-2</v>
      </c>
      <c r="E122" s="11">
        <v>354.9</v>
      </c>
      <c r="F122" s="11">
        <v>23.99</v>
      </c>
      <c r="G122" s="11">
        <v>52.55</v>
      </c>
      <c r="H122" s="11">
        <v>0.83689999999999998</v>
      </c>
      <c r="I122" s="11">
        <v>0.86199999999999999</v>
      </c>
      <c r="J122" s="11">
        <v>9</v>
      </c>
      <c r="K122" s="11">
        <v>9</v>
      </c>
      <c r="L122" s="11">
        <v>10</v>
      </c>
      <c r="M122" s="11">
        <v>9</v>
      </c>
      <c r="N122" s="4" t="s">
        <v>258</v>
      </c>
    </row>
    <row r="123" spans="1:14" x14ac:dyDescent="0.2">
      <c r="A123" s="4" t="s">
        <v>246</v>
      </c>
      <c r="B123" s="4" t="s">
        <v>10</v>
      </c>
      <c r="C123" s="4">
        <v>349</v>
      </c>
      <c r="D123" s="25">
        <v>0.192</v>
      </c>
      <c r="E123" s="11">
        <v>1738</v>
      </c>
      <c r="F123" s="11">
        <v>14.78</v>
      </c>
      <c r="G123" s="11">
        <v>37.020000000000003</v>
      </c>
      <c r="H123" s="11">
        <v>0.80669999999999997</v>
      </c>
      <c r="I123" s="11">
        <v>0.83899999999999997</v>
      </c>
      <c r="J123" s="11">
        <v>9.1999999999999993</v>
      </c>
      <c r="K123" s="11">
        <v>9.1999999999999993</v>
      </c>
      <c r="L123" s="11">
        <v>10</v>
      </c>
      <c r="M123" s="11">
        <v>9.1999999999999993</v>
      </c>
      <c r="N123" s="4" t="s">
        <v>262</v>
      </c>
    </row>
    <row r="124" spans="1:14" x14ac:dyDescent="0.2">
      <c r="A124" s="4" t="s">
        <v>247</v>
      </c>
      <c r="B124" s="4" t="s">
        <v>10</v>
      </c>
      <c r="C124" s="4">
        <v>3</v>
      </c>
      <c r="D124" s="25">
        <v>1.1000000000000001E-3</v>
      </c>
      <c r="E124" s="11">
        <v>29.4</v>
      </c>
      <c r="F124" s="11">
        <v>44.07</v>
      </c>
      <c r="G124" s="11">
        <v>72.2</v>
      </c>
      <c r="H124" s="11">
        <v>0.88329999999999997</v>
      </c>
      <c r="I124" s="11">
        <v>1.117</v>
      </c>
      <c r="J124" s="11">
        <v>9</v>
      </c>
      <c r="K124" s="11">
        <v>9</v>
      </c>
      <c r="L124" s="11">
        <v>10</v>
      </c>
      <c r="M124" s="11">
        <v>9</v>
      </c>
      <c r="N124" s="4" t="s">
        <v>101</v>
      </c>
    </row>
    <row r="125" spans="1:14" x14ac:dyDescent="0.2">
      <c r="A125" s="4" t="s">
        <v>248</v>
      </c>
      <c r="B125" s="4" t="s">
        <v>10</v>
      </c>
      <c r="C125" s="4">
        <v>3</v>
      </c>
      <c r="D125" s="25">
        <v>1.2999999999999999E-3</v>
      </c>
      <c r="E125" s="11">
        <v>29.2</v>
      </c>
      <c r="F125" s="11">
        <v>51.29</v>
      </c>
      <c r="G125" s="11">
        <v>73.260000000000005</v>
      </c>
      <c r="H125" s="11">
        <v>0.92520000000000002</v>
      </c>
      <c r="I125" s="11">
        <v>1.069</v>
      </c>
      <c r="J125" s="11">
        <v>9</v>
      </c>
      <c r="K125" s="11">
        <v>9</v>
      </c>
      <c r="L125" s="11">
        <v>10</v>
      </c>
      <c r="M125" s="11">
        <v>9</v>
      </c>
      <c r="N125" s="4" t="s">
        <v>101</v>
      </c>
    </row>
    <row r="126" spans="1:14" x14ac:dyDescent="0.2">
      <c r="A126" s="4" t="s">
        <v>249</v>
      </c>
      <c r="B126" s="4" t="s">
        <v>10</v>
      </c>
      <c r="C126" s="4">
        <v>5</v>
      </c>
      <c r="D126" s="25">
        <v>1.8E-3</v>
      </c>
      <c r="E126" s="11">
        <v>39.6</v>
      </c>
      <c r="F126" s="11">
        <v>57.73</v>
      </c>
      <c r="G126" s="11">
        <v>76.69</v>
      </c>
      <c r="H126" s="11">
        <v>0.91120000000000001</v>
      </c>
      <c r="I126" s="11">
        <v>1.042</v>
      </c>
      <c r="J126" s="11">
        <v>9</v>
      </c>
      <c r="K126" s="11">
        <v>9</v>
      </c>
      <c r="L126" s="11">
        <v>10</v>
      </c>
      <c r="M126" s="11">
        <v>9</v>
      </c>
      <c r="N126" s="4" t="s">
        <v>112</v>
      </c>
    </row>
    <row r="127" spans="1:14" x14ac:dyDescent="0.2">
      <c r="A127" s="4" t="s">
        <v>250</v>
      </c>
      <c r="B127" s="4" t="s">
        <v>10</v>
      </c>
      <c r="C127" s="4">
        <v>6</v>
      </c>
      <c r="D127" s="25">
        <v>2.3999999999999998E-3</v>
      </c>
      <c r="E127" s="11">
        <v>85</v>
      </c>
      <c r="F127" s="11">
        <v>47.44</v>
      </c>
      <c r="G127" s="11">
        <v>68.47</v>
      </c>
      <c r="H127" s="11">
        <v>0.89339999999999997</v>
      </c>
      <c r="I127" s="11">
        <v>0.96199999999999997</v>
      </c>
      <c r="J127" s="11">
        <v>9</v>
      </c>
      <c r="K127" s="11">
        <v>9</v>
      </c>
      <c r="L127" s="11">
        <v>9.5</v>
      </c>
      <c r="M127" s="11">
        <v>9.5</v>
      </c>
      <c r="N127" s="4" t="s">
        <v>263</v>
      </c>
    </row>
    <row r="128" spans="1:14" x14ac:dyDescent="0.2">
      <c r="A128" s="4" t="s">
        <v>259</v>
      </c>
      <c r="B128" s="4" t="s">
        <v>10</v>
      </c>
      <c r="C128" s="4">
        <v>24</v>
      </c>
      <c r="D128" s="25">
        <v>1.2999999999999999E-2</v>
      </c>
      <c r="E128" s="11">
        <v>143.80000000000001</v>
      </c>
      <c r="F128" s="11">
        <v>44.98</v>
      </c>
      <c r="G128" s="11">
        <v>70.72</v>
      </c>
      <c r="H128" s="11">
        <v>0.89439999999999997</v>
      </c>
      <c r="I128" s="11">
        <v>0.98199999999999998</v>
      </c>
      <c r="J128" s="11">
        <v>9</v>
      </c>
      <c r="K128" s="11">
        <v>9</v>
      </c>
      <c r="L128" s="11">
        <v>10</v>
      </c>
      <c r="M128" s="11">
        <v>9</v>
      </c>
      <c r="N128" s="4" t="s">
        <v>264</v>
      </c>
    </row>
    <row r="129" spans="1:14" x14ac:dyDescent="0.2">
      <c r="A129" s="4" t="s">
        <v>260</v>
      </c>
      <c r="B129" s="4" t="s">
        <v>10</v>
      </c>
      <c r="C129" s="4">
        <v>28</v>
      </c>
      <c r="D129" s="25">
        <v>1.46E-2</v>
      </c>
      <c r="E129" s="11">
        <v>155.5</v>
      </c>
      <c r="F129" s="11">
        <v>34.200000000000003</v>
      </c>
      <c r="G129" s="11">
        <v>61.5</v>
      </c>
      <c r="H129" s="11">
        <v>0.86550000000000005</v>
      </c>
      <c r="I129" s="11">
        <v>0.91400000000000003</v>
      </c>
      <c r="J129" s="11">
        <v>9.1999999999999993</v>
      </c>
      <c r="K129" s="11">
        <v>9.1999999999999993</v>
      </c>
      <c r="L129" s="11">
        <v>10</v>
      </c>
      <c r="M129" s="11">
        <v>9.1999999999999993</v>
      </c>
      <c r="N129" s="4" t="s">
        <v>271</v>
      </c>
    </row>
    <row r="130" spans="1:14" x14ac:dyDescent="0.2">
      <c r="A130" s="4" t="s">
        <v>261</v>
      </c>
      <c r="B130" s="4" t="s">
        <v>10</v>
      </c>
      <c r="C130" s="4">
        <v>11</v>
      </c>
      <c r="D130" s="25">
        <v>5.1999999999999998E-3</v>
      </c>
      <c r="E130" s="11">
        <v>123.3</v>
      </c>
      <c r="F130" s="11">
        <v>51.49</v>
      </c>
      <c r="G130" s="11">
        <v>74.41</v>
      </c>
      <c r="H130" s="11">
        <v>0.91239999999999999</v>
      </c>
      <c r="I130" s="11">
        <v>0.995</v>
      </c>
      <c r="J130" s="11">
        <v>9</v>
      </c>
      <c r="K130" s="11">
        <v>9</v>
      </c>
      <c r="L130" s="11">
        <v>9.8000000000000007</v>
      </c>
      <c r="M130" s="11">
        <v>9.1999999999999993</v>
      </c>
      <c r="N130" s="4" t="s">
        <v>287</v>
      </c>
    </row>
    <row r="131" spans="1:14" x14ac:dyDescent="0.2">
      <c r="A131" s="4" t="s">
        <v>266</v>
      </c>
      <c r="B131" s="4" t="s">
        <v>10</v>
      </c>
      <c r="C131" s="4">
        <v>11</v>
      </c>
      <c r="D131" s="25">
        <v>5.7000000000000002E-3</v>
      </c>
      <c r="E131" s="11">
        <v>67.599999999999994</v>
      </c>
      <c r="F131" s="11">
        <v>58.25</v>
      </c>
      <c r="G131" s="11">
        <v>75.08</v>
      </c>
      <c r="H131" s="11">
        <v>0.91669999999999996</v>
      </c>
      <c r="I131" s="11">
        <v>0.99</v>
      </c>
      <c r="J131" s="11">
        <v>9</v>
      </c>
      <c r="K131" s="11">
        <v>9</v>
      </c>
      <c r="L131" s="11">
        <v>10</v>
      </c>
      <c r="M131" s="11">
        <v>9</v>
      </c>
      <c r="N131" s="4" t="s">
        <v>290</v>
      </c>
    </row>
    <row r="132" spans="1:14" x14ac:dyDescent="0.2">
      <c r="A132" s="4" t="s">
        <v>267</v>
      </c>
      <c r="B132" s="4" t="s">
        <v>10</v>
      </c>
      <c r="C132" s="4">
        <v>3</v>
      </c>
      <c r="D132" s="25">
        <v>1.1000000000000001E-3</v>
      </c>
      <c r="E132" s="11">
        <v>27.7</v>
      </c>
      <c r="F132" s="11">
        <v>69.010000000000005</v>
      </c>
      <c r="G132" s="11">
        <v>82.35</v>
      </c>
      <c r="H132" s="11">
        <v>0.92290000000000005</v>
      </c>
      <c r="I132" s="11">
        <v>0.95099999999999996</v>
      </c>
      <c r="J132" s="11">
        <v>9</v>
      </c>
      <c r="K132" s="11">
        <v>9</v>
      </c>
      <c r="L132" s="11">
        <v>10</v>
      </c>
      <c r="M132" s="11">
        <v>9</v>
      </c>
      <c r="N132" s="4" t="s">
        <v>101</v>
      </c>
    </row>
    <row r="133" spans="1:14" x14ac:dyDescent="0.2">
      <c r="A133" s="4" t="s">
        <v>265</v>
      </c>
      <c r="B133" s="4" t="s">
        <v>10</v>
      </c>
      <c r="C133" s="4">
        <v>14</v>
      </c>
      <c r="D133" s="25">
        <v>7.1000000000000004E-3</v>
      </c>
      <c r="E133" s="11">
        <v>80.7</v>
      </c>
      <c r="F133" s="11">
        <v>56.82</v>
      </c>
      <c r="G133" s="11">
        <v>74.760000000000005</v>
      </c>
      <c r="H133" s="11">
        <v>0.88419999999999999</v>
      </c>
      <c r="I133" s="11">
        <v>0.98599999999999999</v>
      </c>
      <c r="J133" s="11">
        <v>9</v>
      </c>
      <c r="K133" s="11">
        <v>9</v>
      </c>
      <c r="L133" s="11">
        <v>10</v>
      </c>
      <c r="M133" s="11">
        <v>9</v>
      </c>
      <c r="N133" s="4" t="s">
        <v>305</v>
      </c>
    </row>
    <row r="134" spans="1:14" x14ac:dyDescent="0.2">
      <c r="A134" s="4" t="s">
        <v>268</v>
      </c>
      <c r="B134" s="4" t="s">
        <v>10</v>
      </c>
      <c r="C134" s="4">
        <v>18</v>
      </c>
      <c r="D134" s="25">
        <v>8.6999999999999994E-3</v>
      </c>
      <c r="E134" s="11">
        <v>87</v>
      </c>
      <c r="F134" s="11">
        <v>47.06</v>
      </c>
      <c r="G134" s="11">
        <v>64.62</v>
      </c>
      <c r="H134" s="11">
        <v>0.88529999999999998</v>
      </c>
      <c r="I134" s="11">
        <v>0.81699999999999995</v>
      </c>
      <c r="J134" s="11">
        <v>8.1999999999999993</v>
      </c>
      <c r="K134" s="11">
        <v>8.1999999999999993</v>
      </c>
      <c r="L134" s="11">
        <v>8.1999999999999993</v>
      </c>
      <c r="M134" s="11">
        <v>9</v>
      </c>
      <c r="N134" s="4" t="s">
        <v>306</v>
      </c>
    </row>
    <row r="135" spans="1:14" x14ac:dyDescent="0.2">
      <c r="A135" s="4" t="s">
        <v>269</v>
      </c>
      <c r="B135" s="4" t="s">
        <v>10</v>
      </c>
      <c r="C135" s="4">
        <v>18</v>
      </c>
      <c r="D135" s="25">
        <v>8.6999999999999994E-3</v>
      </c>
      <c r="E135" s="11">
        <v>113.3</v>
      </c>
      <c r="F135" s="11">
        <v>50.43</v>
      </c>
      <c r="G135" s="11">
        <v>71.349999999999994</v>
      </c>
      <c r="H135" s="11">
        <v>0.88519999999999999</v>
      </c>
      <c r="I135" s="11">
        <v>0.96299999999999997</v>
      </c>
      <c r="J135" s="11">
        <v>9</v>
      </c>
      <c r="K135" s="11">
        <v>9</v>
      </c>
      <c r="L135" s="11">
        <v>10</v>
      </c>
      <c r="M135" s="11">
        <v>9</v>
      </c>
      <c r="N135" s="4" t="s">
        <v>307</v>
      </c>
    </row>
    <row r="136" spans="1:14" x14ac:dyDescent="0.2">
      <c r="A136" s="4" t="s">
        <v>270</v>
      </c>
      <c r="B136" s="4" t="s">
        <v>10</v>
      </c>
      <c r="C136" s="4">
        <v>12</v>
      </c>
      <c r="D136" s="25">
        <v>5.5999999999999999E-3</v>
      </c>
      <c r="E136" s="11">
        <v>84.6</v>
      </c>
      <c r="F136" s="11">
        <v>37.93</v>
      </c>
      <c r="G136" s="11">
        <v>62.01</v>
      </c>
      <c r="H136" s="11">
        <v>0.85519999999999996</v>
      </c>
      <c r="I136" s="11">
        <v>0.98399999999999999</v>
      </c>
      <c r="J136" s="11">
        <v>9</v>
      </c>
      <c r="K136" s="11">
        <v>9</v>
      </c>
      <c r="L136" s="11">
        <v>10</v>
      </c>
      <c r="M136" s="11">
        <v>9</v>
      </c>
      <c r="N136" s="4" t="s">
        <v>315</v>
      </c>
    </row>
    <row r="137" spans="1:14" x14ac:dyDescent="0.2">
      <c r="A137" s="4" t="s">
        <v>272</v>
      </c>
      <c r="B137" s="4" t="s">
        <v>10</v>
      </c>
      <c r="C137" s="4">
        <v>4</v>
      </c>
      <c r="D137" s="25">
        <v>1.2999999999999999E-3</v>
      </c>
      <c r="E137" s="11">
        <v>32.1</v>
      </c>
      <c r="F137" s="11">
        <v>77.89</v>
      </c>
      <c r="G137" s="11">
        <v>85.79</v>
      </c>
      <c r="H137" s="11">
        <v>0.92830000000000001</v>
      </c>
      <c r="I137" s="11">
        <v>1.036</v>
      </c>
      <c r="J137" s="11">
        <v>9</v>
      </c>
      <c r="K137" s="11">
        <v>9</v>
      </c>
      <c r="L137" s="11">
        <v>10</v>
      </c>
      <c r="M137" s="11">
        <v>9</v>
      </c>
      <c r="N137" s="4" t="s">
        <v>314</v>
      </c>
    </row>
    <row r="138" spans="1:14" x14ac:dyDescent="0.2">
      <c r="A138" s="1" t="s">
        <v>273</v>
      </c>
      <c r="B138" s="4" t="s">
        <v>10</v>
      </c>
      <c r="C138" s="1">
        <v>21</v>
      </c>
      <c r="D138" s="27">
        <v>1.02516E-2</v>
      </c>
      <c r="E138" s="5">
        <v>123.4</v>
      </c>
      <c r="F138" s="5">
        <v>44.28</v>
      </c>
      <c r="G138" s="5">
        <v>68.680000000000007</v>
      </c>
      <c r="H138" s="5">
        <v>0.87139999999999995</v>
      </c>
      <c r="I138" s="5">
        <v>1.0029999999999999</v>
      </c>
      <c r="J138" s="5">
        <v>9</v>
      </c>
      <c r="K138" s="5">
        <v>9</v>
      </c>
      <c r="L138" s="5">
        <v>10</v>
      </c>
      <c r="M138" s="5">
        <v>9</v>
      </c>
      <c r="N138" s="4" t="s">
        <v>348</v>
      </c>
    </row>
    <row r="139" spans="1:14" x14ac:dyDescent="0.2">
      <c r="A139" s="1" t="s">
        <v>274</v>
      </c>
      <c r="B139" s="4" t="s">
        <v>10</v>
      </c>
      <c r="C139" s="1">
        <v>8</v>
      </c>
      <c r="D139" s="27">
        <v>3.5444999999999999E-3</v>
      </c>
      <c r="E139" s="5">
        <v>48.8</v>
      </c>
      <c r="F139" s="5">
        <v>35.630000000000003</v>
      </c>
      <c r="G139" s="5">
        <v>65.28</v>
      </c>
      <c r="H139" s="5">
        <v>0.88600000000000001</v>
      </c>
      <c r="I139" s="5">
        <v>1.06</v>
      </c>
      <c r="J139" s="5">
        <v>9</v>
      </c>
      <c r="K139" s="5">
        <v>9</v>
      </c>
      <c r="L139" s="5">
        <v>10</v>
      </c>
      <c r="M139" s="5">
        <v>9</v>
      </c>
      <c r="N139" s="4" t="s">
        <v>347</v>
      </c>
    </row>
    <row r="140" spans="1:14" x14ac:dyDescent="0.2">
      <c r="A140" s="1" t="s">
        <v>275</v>
      </c>
      <c r="B140" s="4" t="s">
        <v>10</v>
      </c>
      <c r="C140" s="1">
        <v>20</v>
      </c>
      <c r="D140" s="27">
        <v>1.146525E-2</v>
      </c>
      <c r="E140" s="5">
        <v>126</v>
      </c>
      <c r="F140" s="5">
        <v>36.76</v>
      </c>
      <c r="G140" s="5">
        <v>62.18</v>
      </c>
      <c r="H140" s="5">
        <v>0.82489999999999997</v>
      </c>
      <c r="I140" s="5">
        <v>1.0109999999999999</v>
      </c>
      <c r="J140" s="5">
        <v>9</v>
      </c>
      <c r="K140" s="5">
        <v>9</v>
      </c>
      <c r="L140" s="5">
        <v>10</v>
      </c>
      <c r="M140" s="5">
        <v>9</v>
      </c>
      <c r="N140" s="4" t="s">
        <v>351</v>
      </c>
    </row>
    <row r="141" spans="1:14" x14ac:dyDescent="0.2">
      <c r="A141" s="1" t="s">
        <v>276</v>
      </c>
      <c r="B141" s="4" t="s">
        <v>10</v>
      </c>
      <c r="C141" s="1">
        <v>10</v>
      </c>
      <c r="D141" s="27">
        <v>4.3762499999999999E-3</v>
      </c>
      <c r="E141" s="5">
        <v>58.5</v>
      </c>
      <c r="F141" s="5">
        <v>2.63</v>
      </c>
      <c r="G141" s="5">
        <v>30.12</v>
      </c>
      <c r="H141" s="5">
        <v>0.7984</v>
      </c>
      <c r="I141" s="5">
        <v>0.65700000000000003</v>
      </c>
      <c r="J141" s="5">
        <v>9</v>
      </c>
      <c r="K141" s="5">
        <v>9.25</v>
      </c>
      <c r="L141" s="5">
        <v>9.25</v>
      </c>
      <c r="M141" s="5">
        <v>9.75</v>
      </c>
      <c r="N141" s="4" t="s">
        <v>346</v>
      </c>
    </row>
    <row r="142" spans="1:14" x14ac:dyDescent="0.2">
      <c r="A142" s="1" t="s">
        <v>277</v>
      </c>
      <c r="B142" s="4" t="s">
        <v>10</v>
      </c>
      <c r="C142" s="1">
        <v>40</v>
      </c>
      <c r="D142" s="27">
        <v>2.2127250000000001E-2</v>
      </c>
      <c r="E142" s="5">
        <v>205.3</v>
      </c>
      <c r="F142" s="5">
        <v>34.020000000000003</v>
      </c>
      <c r="G142" s="5">
        <v>56.59</v>
      </c>
      <c r="H142" s="5">
        <v>0.84130000000000005</v>
      </c>
      <c r="I142" s="5">
        <v>0.94199999999999995</v>
      </c>
      <c r="J142" s="5">
        <v>9.1999999999999993</v>
      </c>
      <c r="K142" s="5">
        <v>9.1999999999999993</v>
      </c>
      <c r="L142" s="5">
        <v>10</v>
      </c>
      <c r="M142" s="5">
        <v>9.1999999999999993</v>
      </c>
      <c r="N142" s="4" t="s">
        <v>345</v>
      </c>
    </row>
    <row r="143" spans="1:14" x14ac:dyDescent="0.2">
      <c r="A143" s="1" t="s">
        <v>278</v>
      </c>
      <c r="B143" s="4" t="s">
        <v>10</v>
      </c>
      <c r="C143" s="1">
        <v>16</v>
      </c>
      <c r="D143" s="27">
        <v>7.1032500000000002E-3</v>
      </c>
      <c r="E143" s="5">
        <v>72</v>
      </c>
      <c r="F143" s="5">
        <v>33.61</v>
      </c>
      <c r="G143" s="5">
        <v>58.33</v>
      </c>
      <c r="H143" s="5">
        <v>0.87819999999999998</v>
      </c>
      <c r="I143" s="5">
        <v>0.79900000000000004</v>
      </c>
      <c r="J143" s="5">
        <v>8.8000000000000007</v>
      </c>
      <c r="K143" s="5">
        <v>9</v>
      </c>
      <c r="L143" s="5">
        <v>9.1999999999999993</v>
      </c>
      <c r="M143" s="5">
        <v>9.1999999999999993</v>
      </c>
      <c r="N143" s="4" t="s">
        <v>344</v>
      </c>
    </row>
    <row r="144" spans="1:14" x14ac:dyDescent="0.2">
      <c r="A144" s="1" t="s">
        <v>279</v>
      </c>
      <c r="B144" s="4" t="s">
        <v>10</v>
      </c>
      <c r="C144" s="1">
        <v>42</v>
      </c>
      <c r="D144" s="27">
        <v>2.08332E-2</v>
      </c>
      <c r="E144" s="5">
        <v>198.7</v>
      </c>
      <c r="F144" s="5">
        <v>31.11</v>
      </c>
      <c r="G144" s="5">
        <v>57.8</v>
      </c>
      <c r="H144" s="5">
        <v>0.83199999999999996</v>
      </c>
      <c r="I144" s="5">
        <v>0.93100000000000005</v>
      </c>
      <c r="J144" s="5">
        <v>9</v>
      </c>
      <c r="K144" s="5">
        <v>9</v>
      </c>
      <c r="L144" s="5">
        <v>10</v>
      </c>
      <c r="M144" s="5">
        <v>9</v>
      </c>
      <c r="N144" s="4" t="s">
        <v>343</v>
      </c>
    </row>
    <row r="145" spans="1:14" x14ac:dyDescent="0.2">
      <c r="A145" s="1" t="s">
        <v>353</v>
      </c>
      <c r="B145" s="4" t="s">
        <v>10</v>
      </c>
      <c r="C145" s="1">
        <v>136</v>
      </c>
      <c r="D145" s="27">
        <v>7.0499999999999993E-2</v>
      </c>
      <c r="E145" s="5">
        <v>721.5</v>
      </c>
      <c r="F145" s="5">
        <v>32.880000000000003</v>
      </c>
      <c r="G145" s="5">
        <v>51.87</v>
      </c>
      <c r="H145" s="5">
        <v>0.82799999999999996</v>
      </c>
      <c r="I145" s="5">
        <v>0.92700000000000005</v>
      </c>
      <c r="J145" s="5">
        <v>9.1999999999999993</v>
      </c>
      <c r="K145" s="5">
        <v>9.4</v>
      </c>
      <c r="L145" s="5">
        <v>9.6</v>
      </c>
      <c r="M145" s="5">
        <v>9.6</v>
      </c>
      <c r="N145" s="4" t="s">
        <v>362</v>
      </c>
    </row>
    <row r="146" spans="1:14" x14ac:dyDescent="0.2">
      <c r="A146" s="1" t="s">
        <v>280</v>
      </c>
      <c r="B146" s="4" t="s">
        <v>10</v>
      </c>
      <c r="C146" s="1">
        <v>7</v>
      </c>
      <c r="D146" s="27">
        <v>3.3727499999999999E-3</v>
      </c>
      <c r="E146" s="5">
        <v>56</v>
      </c>
      <c r="F146" s="5">
        <v>48.91</v>
      </c>
      <c r="G146" s="5">
        <v>70.58</v>
      </c>
      <c r="H146" s="5">
        <v>0.90880000000000005</v>
      </c>
      <c r="I146" s="5">
        <v>0.89600000000000002</v>
      </c>
      <c r="J146" s="5">
        <v>9.3333333333333304</v>
      </c>
      <c r="K146" s="5">
        <v>9.3333333333333304</v>
      </c>
      <c r="L146" s="5">
        <v>10</v>
      </c>
      <c r="M146" s="5">
        <v>9.3333333333333304</v>
      </c>
      <c r="N146" s="4" t="s">
        <v>342</v>
      </c>
    </row>
    <row r="147" spans="1:14" x14ac:dyDescent="0.2">
      <c r="A147" s="1" t="s">
        <v>281</v>
      </c>
      <c r="B147" s="4" t="s">
        <v>10</v>
      </c>
      <c r="C147" s="1">
        <v>8</v>
      </c>
      <c r="D147" s="27">
        <v>3.9081000000000003E-3</v>
      </c>
      <c r="E147" s="5">
        <v>48</v>
      </c>
      <c r="F147" s="5">
        <v>36.729999999999997</v>
      </c>
      <c r="G147" s="5">
        <v>63.77</v>
      </c>
      <c r="H147" s="5">
        <v>0.87860000000000005</v>
      </c>
      <c r="I147" s="5">
        <v>1.0029999999999999</v>
      </c>
      <c r="J147" s="5">
        <v>9</v>
      </c>
      <c r="K147" s="5">
        <v>9</v>
      </c>
      <c r="L147" s="5">
        <v>9.6666666666666696</v>
      </c>
      <c r="M147" s="5">
        <v>9.3333333333333304</v>
      </c>
      <c r="N147" s="4" t="s">
        <v>341</v>
      </c>
    </row>
    <row r="148" spans="1:14" x14ac:dyDescent="0.2">
      <c r="A148" s="1" t="s">
        <v>282</v>
      </c>
      <c r="B148" s="4" t="s">
        <v>10</v>
      </c>
      <c r="C148" s="1">
        <v>21</v>
      </c>
      <c r="D148" s="27">
        <v>1.05621E-2</v>
      </c>
      <c r="E148" s="5">
        <v>94.1</v>
      </c>
      <c r="F148" s="5">
        <v>40.47</v>
      </c>
      <c r="G148" s="5">
        <v>65.41</v>
      </c>
      <c r="H148" s="5">
        <v>0.86609999999999998</v>
      </c>
      <c r="I148" s="5">
        <v>0.98699999999999999</v>
      </c>
      <c r="J148" s="5">
        <v>9</v>
      </c>
      <c r="K148" s="5">
        <v>9</v>
      </c>
      <c r="L148" s="5">
        <v>9.8000000000000007</v>
      </c>
      <c r="M148" s="5">
        <v>9.1999999999999993</v>
      </c>
      <c r="N148" s="4" t="s">
        <v>340</v>
      </c>
    </row>
    <row r="149" spans="1:14" x14ac:dyDescent="0.2">
      <c r="A149" s="1" t="s">
        <v>283</v>
      </c>
      <c r="B149" s="4" t="s">
        <v>10</v>
      </c>
      <c r="C149" s="1">
        <v>43</v>
      </c>
      <c r="D149" s="27">
        <v>2.0784449999999999E-2</v>
      </c>
      <c r="E149" s="5">
        <v>208.1</v>
      </c>
      <c r="F149" s="5">
        <v>32.979999999999997</v>
      </c>
      <c r="G149" s="5">
        <v>57.5</v>
      </c>
      <c r="H149" s="5">
        <v>0.85240000000000005</v>
      </c>
      <c r="I149" s="5">
        <v>0.876</v>
      </c>
      <c r="J149" s="5">
        <v>9</v>
      </c>
      <c r="K149" s="5">
        <v>9</v>
      </c>
      <c r="L149" s="5">
        <v>9.6</v>
      </c>
      <c r="M149" s="5">
        <v>9.4</v>
      </c>
      <c r="N149" s="4" t="s">
        <v>339</v>
      </c>
    </row>
    <row r="150" spans="1:14" x14ac:dyDescent="0.2">
      <c r="A150" s="1" t="s">
        <v>284</v>
      </c>
      <c r="B150" s="4" t="s">
        <v>10</v>
      </c>
      <c r="C150" s="1">
        <v>4</v>
      </c>
      <c r="D150" s="27">
        <v>1.9531499999999999E-3</v>
      </c>
      <c r="E150" s="5">
        <v>37.299999999999997</v>
      </c>
      <c r="F150" s="5">
        <v>59.87</v>
      </c>
      <c r="G150" s="5">
        <v>74.930000000000007</v>
      </c>
      <c r="H150" s="5">
        <v>0.90459999999999996</v>
      </c>
      <c r="I150" s="5">
        <v>0.93600000000000005</v>
      </c>
      <c r="J150" s="5">
        <v>9.5</v>
      </c>
      <c r="K150" s="5">
        <v>9.5</v>
      </c>
      <c r="L150" s="5">
        <v>10</v>
      </c>
      <c r="M150" s="5">
        <v>9.5</v>
      </c>
      <c r="N150" s="4" t="s">
        <v>338</v>
      </c>
    </row>
    <row r="151" spans="1:14" x14ac:dyDescent="0.2">
      <c r="A151" s="1" t="s">
        <v>285</v>
      </c>
      <c r="B151" s="4" t="s">
        <v>10</v>
      </c>
      <c r="C151" s="1">
        <v>8</v>
      </c>
      <c r="D151" s="27">
        <v>3.5363999999999999E-3</v>
      </c>
      <c r="E151" s="5">
        <v>59.9</v>
      </c>
      <c r="F151" s="5">
        <v>42.14</v>
      </c>
      <c r="G151" s="5">
        <v>66.12</v>
      </c>
      <c r="H151" s="5">
        <v>0.89810000000000001</v>
      </c>
      <c r="I151" s="5">
        <v>0.877</v>
      </c>
      <c r="J151" s="5">
        <v>9</v>
      </c>
      <c r="K151" s="5">
        <v>9</v>
      </c>
      <c r="L151" s="5">
        <v>9.6666666666666696</v>
      </c>
      <c r="M151" s="5">
        <v>9.3333333333333304</v>
      </c>
      <c r="N151" s="4" t="s">
        <v>337</v>
      </c>
    </row>
    <row r="152" spans="1:14" x14ac:dyDescent="0.2">
      <c r="A152" s="1" t="s">
        <v>286</v>
      </c>
      <c r="B152" s="4" t="s">
        <v>10</v>
      </c>
      <c r="C152" s="1">
        <v>9</v>
      </c>
      <c r="D152" s="27">
        <v>4.4418000000000001E-3</v>
      </c>
      <c r="E152" s="5">
        <v>49.6</v>
      </c>
      <c r="F152" s="5">
        <v>39.909999999999997</v>
      </c>
      <c r="G152" s="5">
        <v>65.48</v>
      </c>
      <c r="H152" s="5">
        <v>0.89629999999999999</v>
      </c>
      <c r="I152" s="5">
        <v>0.98199999999999998</v>
      </c>
      <c r="J152" s="5">
        <v>9</v>
      </c>
      <c r="K152" s="5">
        <v>9</v>
      </c>
      <c r="L152" s="5">
        <v>9.6666666666666696</v>
      </c>
      <c r="M152" s="5">
        <v>9.3333333333333304</v>
      </c>
      <c r="N152" s="4" t="s">
        <v>336</v>
      </c>
    </row>
    <row r="153" spans="1:14" s="9" customFormat="1" x14ac:dyDescent="0.2">
      <c r="A153" s="6" t="s">
        <v>128</v>
      </c>
      <c r="B153" s="6">
        <f>COUNTA(A78:A152)</f>
        <v>75</v>
      </c>
      <c r="C153" s="6" t="s">
        <v>19</v>
      </c>
      <c r="D153" s="26">
        <f>SUM(D78:D152)</f>
        <v>1.11556005</v>
      </c>
      <c r="E153" s="18">
        <f>SUM(E78:E152)</f>
        <v>11492</v>
      </c>
      <c r="F153" s="18">
        <f>AVERAGE(F78:F152)</f>
        <v>41.95893333333332</v>
      </c>
      <c r="G153" s="18">
        <f t="shared" ref="G153" si="0">AVERAGE(G78:G152)</f>
        <v>65.127600000000001</v>
      </c>
      <c r="H153" s="18">
        <f t="shared" ref="H153" si="1">AVERAGE(H78:H152)</f>
        <v>0.88122799999999979</v>
      </c>
      <c r="I153" s="18">
        <f t="shared" ref="I153" si="2">AVERAGE(I78:I152)</f>
        <v>0.92493333333333339</v>
      </c>
      <c r="J153" s="18">
        <f t="shared" ref="J153" si="3">AVERAGE(J78:J152)</f>
        <v>9.0057777777777783</v>
      </c>
      <c r="K153" s="18">
        <f t="shared" ref="K153" si="4">AVERAGE(K78:K152)</f>
        <v>9.0184444444444445</v>
      </c>
      <c r="L153" s="18">
        <f t="shared" ref="L153" si="5">AVERAGE(L78:L152)</f>
        <v>9.766</v>
      </c>
      <c r="M153" s="18">
        <f t="shared" ref="M153" si="6">AVERAGE(M78:M152)</f>
        <v>9.1624444444444482</v>
      </c>
      <c r="N153" s="8"/>
    </row>
    <row r="154" spans="1:14" x14ac:dyDescent="0.2">
      <c r="A154" s="4" t="s">
        <v>139</v>
      </c>
      <c r="B154" s="4" t="s">
        <v>11</v>
      </c>
      <c r="C154" s="4">
        <v>148</v>
      </c>
      <c r="D154" s="25">
        <v>7.5399999999999995E-2</v>
      </c>
      <c r="E154" s="11">
        <v>810.7</v>
      </c>
      <c r="F154" s="11">
        <v>30.9</v>
      </c>
      <c r="G154" s="11">
        <v>50.37</v>
      </c>
      <c r="H154" s="11">
        <v>0.82389999999999997</v>
      </c>
      <c r="I154" s="11">
        <v>0.79900000000000004</v>
      </c>
      <c r="J154" s="11">
        <v>8.6</v>
      </c>
      <c r="K154" s="11">
        <v>8.8000000000000007</v>
      </c>
      <c r="L154" s="11">
        <v>9</v>
      </c>
      <c r="M154" s="11">
        <v>9</v>
      </c>
      <c r="N154" s="4" t="s">
        <v>152</v>
      </c>
    </row>
    <row r="155" spans="1:14" x14ac:dyDescent="0.2">
      <c r="A155" s="4" t="s">
        <v>140</v>
      </c>
      <c r="B155" s="4" t="s">
        <v>11</v>
      </c>
      <c r="C155" s="4">
        <v>71</v>
      </c>
      <c r="D155" s="25">
        <v>3.5900000000000001E-2</v>
      </c>
      <c r="E155" s="11">
        <v>377.2</v>
      </c>
      <c r="F155" s="11">
        <v>32.869999999999997</v>
      </c>
      <c r="G155" s="11">
        <v>54.93</v>
      </c>
      <c r="H155" s="11">
        <v>0.8377</v>
      </c>
      <c r="I155" s="11">
        <v>0.86399999999999999</v>
      </c>
      <c r="J155" s="11">
        <v>9</v>
      </c>
      <c r="K155" s="11">
        <v>9</v>
      </c>
      <c r="L155" s="11">
        <v>9.8000000000000007</v>
      </c>
      <c r="M155" s="11">
        <v>9.1999999999999993</v>
      </c>
      <c r="N155" s="4" t="s">
        <v>153</v>
      </c>
    </row>
    <row r="156" spans="1:14" x14ac:dyDescent="0.2">
      <c r="A156" s="4" t="s">
        <v>141</v>
      </c>
      <c r="B156" s="4" t="s">
        <v>11</v>
      </c>
      <c r="C156" s="4">
        <v>33</v>
      </c>
      <c r="D156" s="25">
        <v>1.46E-2</v>
      </c>
      <c r="E156" s="11">
        <v>181.2</v>
      </c>
      <c r="F156" s="11">
        <v>29.9</v>
      </c>
      <c r="G156" s="11">
        <v>53.16</v>
      </c>
      <c r="H156" s="11">
        <v>0.84430000000000005</v>
      </c>
      <c r="I156" s="11">
        <v>0.80600000000000005</v>
      </c>
      <c r="J156" s="11">
        <v>8.8000000000000007</v>
      </c>
      <c r="K156" s="11">
        <v>8.8000000000000007</v>
      </c>
      <c r="L156" s="11">
        <v>9.4</v>
      </c>
      <c r="M156" s="11">
        <v>9</v>
      </c>
      <c r="N156" s="4" t="s">
        <v>154</v>
      </c>
    </row>
    <row r="157" spans="1:14" x14ac:dyDescent="0.2">
      <c r="A157" s="4" t="s">
        <v>142</v>
      </c>
      <c r="B157" s="4" t="s">
        <v>11</v>
      </c>
      <c r="C157" s="4">
        <v>89</v>
      </c>
      <c r="D157" s="25">
        <v>4.6100000000000002E-2</v>
      </c>
      <c r="E157" s="11">
        <v>460.2</v>
      </c>
      <c r="F157" s="11">
        <v>30.79</v>
      </c>
      <c r="G157" s="11">
        <v>53.34</v>
      </c>
      <c r="H157" s="11">
        <v>0.83189999999999997</v>
      </c>
      <c r="I157" s="11">
        <v>0.872</v>
      </c>
      <c r="J157" s="11">
        <v>9.1999999999999993</v>
      </c>
      <c r="K157" s="11">
        <v>9.1999999999999993</v>
      </c>
      <c r="L157" s="11">
        <v>9.8000000000000007</v>
      </c>
      <c r="M157" s="11">
        <v>9.4</v>
      </c>
      <c r="N157" s="4" t="s">
        <v>155</v>
      </c>
    </row>
    <row r="158" spans="1:14" x14ac:dyDescent="0.2">
      <c r="A158" s="4" t="s">
        <v>143</v>
      </c>
      <c r="B158" s="4" t="s">
        <v>11</v>
      </c>
      <c r="C158" s="4">
        <v>137</v>
      </c>
      <c r="D158" s="25">
        <v>7.5800000000000006E-2</v>
      </c>
      <c r="E158" s="11">
        <v>749.9</v>
      </c>
      <c r="F158" s="11">
        <v>24.5</v>
      </c>
      <c r="G158" s="11">
        <v>51.52</v>
      </c>
      <c r="H158" s="11">
        <v>0.82840000000000003</v>
      </c>
      <c r="I158" s="11">
        <v>1.1319999999999999</v>
      </c>
      <c r="J158" s="11">
        <v>9</v>
      </c>
      <c r="K158" s="11">
        <v>9</v>
      </c>
      <c r="L158" s="11">
        <v>9.8000000000000007</v>
      </c>
      <c r="M158" s="11">
        <v>9.1999999999999993</v>
      </c>
      <c r="N158" s="4" t="s">
        <v>156</v>
      </c>
    </row>
    <row r="159" spans="1:14" x14ac:dyDescent="0.2">
      <c r="A159" s="4" t="s">
        <v>144</v>
      </c>
      <c r="B159" s="4" t="s">
        <v>11</v>
      </c>
      <c r="C159" s="4">
        <v>269</v>
      </c>
      <c r="D159" s="25">
        <v>0.13389999999999999</v>
      </c>
      <c r="E159" s="11">
        <v>1239.7</v>
      </c>
      <c r="F159" s="11">
        <v>17.600000000000001</v>
      </c>
      <c r="G159" s="11">
        <v>41.93</v>
      </c>
      <c r="H159" s="11">
        <v>0.81569999999999998</v>
      </c>
      <c r="I159" s="11">
        <v>0.879</v>
      </c>
      <c r="J159" s="11">
        <v>9</v>
      </c>
      <c r="K159" s="11">
        <v>9</v>
      </c>
      <c r="L159" s="11">
        <v>10</v>
      </c>
      <c r="M159" s="11">
        <v>9</v>
      </c>
      <c r="N159" s="4" t="s">
        <v>157</v>
      </c>
    </row>
    <row r="160" spans="1:14" x14ac:dyDescent="0.2">
      <c r="A160" s="4" t="s">
        <v>145</v>
      </c>
      <c r="B160" s="4" t="s">
        <v>11</v>
      </c>
      <c r="C160" s="4">
        <v>72</v>
      </c>
      <c r="D160" s="25">
        <v>3.7100000000000001E-2</v>
      </c>
      <c r="E160" s="11">
        <v>343.2</v>
      </c>
      <c r="F160" s="11">
        <v>45.94</v>
      </c>
      <c r="G160" s="11">
        <v>66.52</v>
      </c>
      <c r="H160" s="11">
        <v>0.89200000000000002</v>
      </c>
      <c r="I160" s="11">
        <v>0.879</v>
      </c>
      <c r="J160" s="11">
        <v>8.8000000000000007</v>
      </c>
      <c r="K160" s="11">
        <v>9</v>
      </c>
      <c r="L160" s="11">
        <v>9.4</v>
      </c>
      <c r="M160" s="11">
        <v>9.1999999999999993</v>
      </c>
      <c r="N160" s="4" t="s">
        <v>158</v>
      </c>
    </row>
    <row r="161" spans="1:14" x14ac:dyDescent="0.2">
      <c r="A161" s="4" t="s">
        <v>146</v>
      </c>
      <c r="B161" s="4" t="s">
        <v>11</v>
      </c>
      <c r="C161" s="4">
        <v>39</v>
      </c>
      <c r="D161" s="25">
        <v>1.84E-2</v>
      </c>
      <c r="E161" s="11">
        <v>178.4</v>
      </c>
      <c r="F161" s="11">
        <v>42.73</v>
      </c>
      <c r="G161" s="11">
        <v>59.67</v>
      </c>
      <c r="H161" s="11">
        <v>0.8417</v>
      </c>
      <c r="I161" s="11">
        <v>0.91800000000000004</v>
      </c>
      <c r="J161" s="11">
        <v>9</v>
      </c>
      <c r="K161" s="11">
        <v>9</v>
      </c>
      <c r="L161" s="11">
        <v>9.1999999999999993</v>
      </c>
      <c r="M161" s="11">
        <v>9.8000000000000007</v>
      </c>
      <c r="N161" s="4" t="s">
        <v>159</v>
      </c>
    </row>
    <row r="162" spans="1:14" x14ac:dyDescent="0.2">
      <c r="A162" s="4" t="s">
        <v>147</v>
      </c>
      <c r="B162" s="4" t="s">
        <v>11</v>
      </c>
      <c r="C162" s="4">
        <v>104</v>
      </c>
      <c r="D162" s="25">
        <v>4.9799999999999997E-2</v>
      </c>
      <c r="E162" s="11">
        <v>479.4</v>
      </c>
      <c r="F162" s="11">
        <v>43.94</v>
      </c>
      <c r="G162" s="11">
        <v>61.3</v>
      </c>
      <c r="H162" s="11">
        <v>0.85640000000000005</v>
      </c>
      <c r="I162" s="11">
        <v>0.91900000000000004</v>
      </c>
      <c r="J162" s="11">
        <v>9</v>
      </c>
      <c r="K162" s="11">
        <v>9</v>
      </c>
      <c r="L162" s="11">
        <v>10</v>
      </c>
      <c r="M162" s="11">
        <v>9</v>
      </c>
      <c r="N162" s="4" t="s">
        <v>160</v>
      </c>
    </row>
    <row r="163" spans="1:14" x14ac:dyDescent="0.2">
      <c r="A163" s="4" t="s">
        <v>148</v>
      </c>
      <c r="B163" s="4" t="s">
        <v>11</v>
      </c>
      <c r="C163" s="1">
        <v>132</v>
      </c>
      <c r="D163" s="27">
        <v>6.9099999999999995E-2</v>
      </c>
      <c r="E163" s="5">
        <v>601.9</v>
      </c>
      <c r="F163" s="5">
        <v>26.64</v>
      </c>
      <c r="G163" s="5">
        <v>51.22</v>
      </c>
      <c r="H163" s="5">
        <v>0.82850000000000001</v>
      </c>
      <c r="I163" s="5">
        <v>0.878</v>
      </c>
      <c r="J163" s="11">
        <v>9</v>
      </c>
      <c r="K163" s="11">
        <v>9</v>
      </c>
      <c r="L163" s="11">
        <v>9.6</v>
      </c>
      <c r="M163" s="11">
        <v>9.4</v>
      </c>
      <c r="N163" s="4" t="s">
        <v>161</v>
      </c>
    </row>
    <row r="164" spans="1:14" x14ac:dyDescent="0.2">
      <c r="A164" s="4" t="s">
        <v>149</v>
      </c>
      <c r="B164" s="4" t="s">
        <v>11</v>
      </c>
      <c r="C164" s="4">
        <v>51</v>
      </c>
      <c r="D164" s="27">
        <v>2.4899999999999999E-2</v>
      </c>
      <c r="E164" s="5">
        <v>248.6</v>
      </c>
      <c r="F164" s="5">
        <v>35.01</v>
      </c>
      <c r="G164" s="5">
        <v>59.45</v>
      </c>
      <c r="H164" s="5">
        <v>0.83289999999999997</v>
      </c>
      <c r="I164" s="5">
        <v>0.95499999999999996</v>
      </c>
      <c r="J164" s="11">
        <v>9</v>
      </c>
      <c r="K164" s="11">
        <v>9</v>
      </c>
      <c r="L164" s="11">
        <v>9.8000000000000007</v>
      </c>
      <c r="M164" s="11">
        <v>9.1999999999999993</v>
      </c>
      <c r="N164" s="4" t="s">
        <v>162</v>
      </c>
    </row>
    <row r="165" spans="1:14" x14ac:dyDescent="0.2">
      <c r="A165" s="4" t="s">
        <v>150</v>
      </c>
      <c r="B165" s="4" t="s">
        <v>11</v>
      </c>
      <c r="C165" s="4">
        <v>75</v>
      </c>
      <c r="D165" s="25">
        <v>3.6900000000000002E-2</v>
      </c>
      <c r="E165" s="11">
        <v>231</v>
      </c>
      <c r="F165" s="11">
        <v>32.31</v>
      </c>
      <c r="G165" s="11">
        <v>52.52</v>
      </c>
      <c r="H165" s="11">
        <v>0.83940000000000003</v>
      </c>
      <c r="I165" s="11">
        <v>0.85799999999999998</v>
      </c>
      <c r="J165" s="11">
        <v>9</v>
      </c>
      <c r="K165" s="11">
        <v>9</v>
      </c>
      <c r="L165" s="11">
        <v>9.4</v>
      </c>
      <c r="M165" s="11">
        <v>9.6</v>
      </c>
      <c r="N165" s="4" t="s">
        <v>164</v>
      </c>
    </row>
    <row r="166" spans="1:14" x14ac:dyDescent="0.2">
      <c r="A166" s="4" t="s">
        <v>151</v>
      </c>
      <c r="B166" s="4" t="s">
        <v>11</v>
      </c>
      <c r="C166" s="4">
        <v>133</v>
      </c>
      <c r="D166" s="25">
        <v>6.2399999999999997E-2</v>
      </c>
      <c r="E166" s="11">
        <v>552</v>
      </c>
      <c r="F166" s="11">
        <v>18.91</v>
      </c>
      <c r="G166" s="11">
        <v>42.2</v>
      </c>
      <c r="H166" s="11">
        <v>0.81820000000000004</v>
      </c>
      <c r="I166" s="11">
        <v>0.84799999999999998</v>
      </c>
      <c r="J166" s="11">
        <v>9</v>
      </c>
      <c r="K166" s="11">
        <v>9</v>
      </c>
      <c r="L166" s="11">
        <v>9.6</v>
      </c>
      <c r="M166" s="11">
        <v>9.4</v>
      </c>
      <c r="N166" s="4" t="s">
        <v>165</v>
      </c>
    </row>
    <row r="167" spans="1:14" x14ac:dyDescent="0.2">
      <c r="A167" s="4" t="s">
        <v>251</v>
      </c>
      <c r="B167" s="4" t="s">
        <v>11</v>
      </c>
      <c r="C167" s="4">
        <v>42</v>
      </c>
      <c r="D167" s="25">
        <v>2.1899999999999999E-2</v>
      </c>
      <c r="E167" s="11">
        <v>207</v>
      </c>
      <c r="F167" s="11">
        <v>40.15</v>
      </c>
      <c r="G167" s="11">
        <v>58.66</v>
      </c>
      <c r="H167" s="11">
        <v>0.86619999999999997</v>
      </c>
      <c r="I167" s="11">
        <v>0.88100000000000001</v>
      </c>
      <c r="J167" s="11">
        <v>8.8000000000000007</v>
      </c>
      <c r="K167" s="11">
        <v>8.8000000000000007</v>
      </c>
      <c r="L167" s="11">
        <v>9.4</v>
      </c>
      <c r="M167" s="11">
        <v>9</v>
      </c>
      <c r="N167" s="4" t="s">
        <v>254</v>
      </c>
    </row>
    <row r="168" spans="1:14" x14ac:dyDescent="0.2">
      <c r="A168" s="4" t="s">
        <v>252</v>
      </c>
      <c r="B168" s="4" t="s">
        <v>11</v>
      </c>
      <c r="C168" s="4">
        <v>34</v>
      </c>
      <c r="D168" s="25">
        <v>1.7999999999999999E-2</v>
      </c>
      <c r="E168" s="11">
        <v>192.6</v>
      </c>
      <c r="F168" s="11">
        <v>50.66</v>
      </c>
      <c r="G168" s="11">
        <v>63.67</v>
      </c>
      <c r="H168" s="11">
        <v>0.84360000000000002</v>
      </c>
      <c r="I168" s="11">
        <v>0.94299999999999995</v>
      </c>
      <c r="J168" s="11">
        <v>8.8000000000000007</v>
      </c>
      <c r="K168" s="11">
        <v>8.8000000000000007</v>
      </c>
      <c r="L168" s="11">
        <v>9.8000000000000007</v>
      </c>
      <c r="M168" s="11">
        <v>9</v>
      </c>
      <c r="N168" s="4" t="s">
        <v>255</v>
      </c>
    </row>
    <row r="169" spans="1:14" x14ac:dyDescent="0.2">
      <c r="A169" s="4" t="s">
        <v>253</v>
      </c>
      <c r="B169" s="4" t="s">
        <v>11</v>
      </c>
      <c r="C169" s="4">
        <v>81</v>
      </c>
      <c r="D169" s="25">
        <v>4.0099999999999997E-2</v>
      </c>
      <c r="E169" s="11">
        <v>428.7</v>
      </c>
      <c r="F169" s="11">
        <v>31.07</v>
      </c>
      <c r="G169" s="11">
        <v>52.13</v>
      </c>
      <c r="H169" s="11">
        <v>0.83299999999999996</v>
      </c>
      <c r="I169" s="11">
        <v>0.85199999999999998</v>
      </c>
      <c r="J169" s="11">
        <v>9</v>
      </c>
      <c r="K169" s="11">
        <v>9</v>
      </c>
      <c r="L169" s="11">
        <v>10</v>
      </c>
      <c r="M169" s="11">
        <v>9</v>
      </c>
      <c r="N169" s="4" t="s">
        <v>188</v>
      </c>
    </row>
    <row r="170" spans="1:14" x14ac:dyDescent="0.2">
      <c r="A170" s="4" t="s">
        <v>288</v>
      </c>
      <c r="B170" s="4" t="s">
        <v>11</v>
      </c>
      <c r="C170" s="4">
        <v>32</v>
      </c>
      <c r="D170" s="25">
        <v>1.7000000000000001E-2</v>
      </c>
      <c r="E170" s="11">
        <v>219.7</v>
      </c>
      <c r="F170" s="11">
        <v>37.53</v>
      </c>
      <c r="G170" s="11">
        <v>59.81</v>
      </c>
      <c r="H170" s="11">
        <v>0.85170000000000001</v>
      </c>
      <c r="I170" s="11">
        <v>0.89300000000000002</v>
      </c>
      <c r="J170" s="11">
        <v>9</v>
      </c>
      <c r="K170" s="11">
        <v>9</v>
      </c>
      <c r="L170" s="11">
        <v>10</v>
      </c>
      <c r="M170" s="11">
        <v>9</v>
      </c>
      <c r="N170" s="4" t="s">
        <v>600</v>
      </c>
    </row>
    <row r="171" spans="1:14" x14ac:dyDescent="0.2">
      <c r="A171" s="1" t="s">
        <v>289</v>
      </c>
      <c r="B171" s="1" t="s">
        <v>11</v>
      </c>
      <c r="C171" s="1">
        <v>48</v>
      </c>
      <c r="D171" s="27">
        <v>2.3507549999999999E-2</v>
      </c>
      <c r="E171" s="5">
        <v>122.7</v>
      </c>
      <c r="F171" s="5">
        <v>28.66</v>
      </c>
      <c r="G171" s="5">
        <v>54.96</v>
      </c>
      <c r="H171" s="5">
        <v>0.84509999999999996</v>
      </c>
      <c r="I171" s="5">
        <v>0.996</v>
      </c>
      <c r="J171" s="5">
        <v>9</v>
      </c>
      <c r="K171" s="5">
        <v>9.1999999999999993</v>
      </c>
      <c r="L171" s="5">
        <v>9.6</v>
      </c>
      <c r="M171" s="5">
        <v>9.4</v>
      </c>
      <c r="N171" s="4" t="s">
        <v>601</v>
      </c>
    </row>
    <row r="172" spans="1:14" x14ac:dyDescent="0.2">
      <c r="A172" s="4" t="s">
        <v>292</v>
      </c>
      <c r="B172" s="4" t="s">
        <v>11</v>
      </c>
      <c r="C172" s="1">
        <v>152</v>
      </c>
      <c r="D172" s="27">
        <v>7.4165850000000005E-2</v>
      </c>
      <c r="E172" s="5">
        <v>334.9</v>
      </c>
      <c r="F172" s="5">
        <v>19.75</v>
      </c>
      <c r="G172" s="5">
        <v>41.77</v>
      </c>
      <c r="H172" s="5">
        <v>0.82210000000000005</v>
      </c>
      <c r="I172" s="5">
        <v>0.84099999999999997</v>
      </c>
      <c r="J172" s="5">
        <v>9</v>
      </c>
      <c r="K172" s="5">
        <v>9</v>
      </c>
      <c r="L172" s="5">
        <v>10</v>
      </c>
      <c r="M172" s="5">
        <v>9</v>
      </c>
      <c r="N172" s="4" t="s">
        <v>602</v>
      </c>
    </row>
    <row r="173" spans="1:14" x14ac:dyDescent="0.2">
      <c r="A173" s="1" t="s">
        <v>352</v>
      </c>
      <c r="B173" s="1" t="s">
        <v>11</v>
      </c>
      <c r="C173" s="1">
        <v>192</v>
      </c>
      <c r="D173" s="27" t="s">
        <v>516</v>
      </c>
      <c r="E173" s="5">
        <v>357.4</v>
      </c>
      <c r="F173" s="5">
        <v>26.25</v>
      </c>
      <c r="G173" s="5">
        <v>48.32</v>
      </c>
      <c r="H173" s="5">
        <v>0.81940000000000002</v>
      </c>
      <c r="I173" s="5">
        <v>0.94499999999999995</v>
      </c>
      <c r="J173" s="5">
        <v>9.4</v>
      </c>
      <c r="K173" s="5">
        <v>9.4</v>
      </c>
      <c r="L173" s="5">
        <v>9.8000000000000007</v>
      </c>
      <c r="M173" s="5">
        <v>9.6</v>
      </c>
      <c r="N173" s="1" t="s">
        <v>517</v>
      </c>
    </row>
    <row r="174" spans="1:14" x14ac:dyDescent="0.2">
      <c r="A174" s="1" t="s">
        <v>354</v>
      </c>
      <c r="B174" s="1" t="s">
        <v>11</v>
      </c>
      <c r="C174" s="1">
        <v>107</v>
      </c>
      <c r="D174" s="27" t="s">
        <v>518</v>
      </c>
      <c r="E174" s="5">
        <v>236.1</v>
      </c>
      <c r="F174" s="5">
        <v>27.98</v>
      </c>
      <c r="G174" s="5">
        <v>50.19</v>
      </c>
      <c r="H174" s="5">
        <v>0.83140000000000003</v>
      </c>
      <c r="I174" s="5">
        <v>0.88</v>
      </c>
      <c r="J174" s="5">
        <v>9.1999999999999993</v>
      </c>
      <c r="K174" s="5">
        <v>9.4</v>
      </c>
      <c r="L174" s="5">
        <v>9.8000000000000007</v>
      </c>
      <c r="M174" s="5">
        <v>9.4</v>
      </c>
      <c r="N174" s="1" t="s">
        <v>519</v>
      </c>
    </row>
    <row r="175" spans="1:14" x14ac:dyDescent="0.2">
      <c r="A175" s="1" t="s">
        <v>350</v>
      </c>
      <c r="B175" s="1" t="s">
        <v>11</v>
      </c>
      <c r="C175" s="1">
        <v>120</v>
      </c>
      <c r="D175" s="27" t="s">
        <v>520</v>
      </c>
      <c r="E175" s="5">
        <v>225.2</v>
      </c>
      <c r="F175" s="5">
        <v>41.29</v>
      </c>
      <c r="G175" s="5">
        <v>61.36</v>
      </c>
      <c r="H175" s="5">
        <v>0.84</v>
      </c>
      <c r="I175" s="5">
        <v>0.94499999999999995</v>
      </c>
      <c r="J175" s="5">
        <v>9.1999999999999993</v>
      </c>
      <c r="K175" s="5">
        <v>9.4</v>
      </c>
      <c r="L175" s="5">
        <v>9.8000000000000007</v>
      </c>
      <c r="M175" s="5">
        <v>9.4</v>
      </c>
      <c r="N175" s="1" t="s">
        <v>521</v>
      </c>
    </row>
    <row r="176" spans="1:14" x14ac:dyDescent="0.2">
      <c r="A176" s="1" t="s">
        <v>349</v>
      </c>
      <c r="B176" s="1" t="s">
        <v>11</v>
      </c>
      <c r="C176" s="20">
        <v>151</v>
      </c>
      <c r="D176" s="28">
        <v>7.9388399999999998E-2</v>
      </c>
      <c r="E176" s="24">
        <v>380.9</v>
      </c>
      <c r="F176" s="24">
        <v>17.88</v>
      </c>
      <c r="G176" s="24">
        <v>46.81</v>
      </c>
      <c r="H176" s="24">
        <v>0.81740000000000002</v>
      </c>
      <c r="I176" s="24">
        <v>0.93899999999999995</v>
      </c>
      <c r="J176" s="24">
        <v>9.4</v>
      </c>
      <c r="K176" s="24">
        <v>9.4</v>
      </c>
      <c r="L176" s="24">
        <v>9.8000000000000007</v>
      </c>
      <c r="M176" s="24">
        <v>9.6</v>
      </c>
      <c r="N176" s="4" t="s">
        <v>603</v>
      </c>
    </row>
    <row r="177" spans="1:14" x14ac:dyDescent="0.2">
      <c r="A177" s="1" t="s">
        <v>335</v>
      </c>
      <c r="B177" s="1" t="s">
        <v>11</v>
      </c>
      <c r="C177" s="1">
        <v>222</v>
      </c>
      <c r="D177" s="27" t="s">
        <v>522</v>
      </c>
      <c r="E177" s="5">
        <v>536.5</v>
      </c>
      <c r="F177" s="5">
        <v>20.350000000000001</v>
      </c>
      <c r="G177" s="5">
        <v>45.1</v>
      </c>
      <c r="H177" s="5">
        <v>0.82169999999999999</v>
      </c>
      <c r="I177" s="5">
        <v>0.84599999999999997</v>
      </c>
      <c r="J177" s="5">
        <v>9.1999999999999993</v>
      </c>
      <c r="K177" s="5">
        <v>9.1999999999999993</v>
      </c>
      <c r="L177" s="5">
        <v>10</v>
      </c>
      <c r="M177" s="5">
        <v>9.1999999999999993</v>
      </c>
      <c r="N177" s="1" t="s">
        <v>523</v>
      </c>
    </row>
    <row r="178" spans="1:14" x14ac:dyDescent="0.2">
      <c r="A178" s="1" t="s">
        <v>334</v>
      </c>
      <c r="B178" s="1" t="s">
        <v>11</v>
      </c>
      <c r="C178" s="1">
        <v>73</v>
      </c>
      <c r="D178" s="27" t="s">
        <v>524</v>
      </c>
      <c r="E178" s="5">
        <v>148.9</v>
      </c>
      <c r="F178" s="5">
        <v>22.67</v>
      </c>
      <c r="G178" s="5">
        <v>45.08</v>
      </c>
      <c r="H178" s="5">
        <v>0.81899999999999995</v>
      </c>
      <c r="I178" s="5">
        <v>0.94</v>
      </c>
      <c r="J178" s="5">
        <v>9.1999999999999993</v>
      </c>
      <c r="K178" s="5">
        <v>9.1999999999999993</v>
      </c>
      <c r="L178" s="5">
        <v>9.8000000000000007</v>
      </c>
      <c r="M178" s="5">
        <v>9.4</v>
      </c>
      <c r="N178" s="1" t="s">
        <v>525</v>
      </c>
    </row>
    <row r="179" spans="1:14" x14ac:dyDescent="0.2">
      <c r="A179" s="1" t="s">
        <v>333</v>
      </c>
      <c r="B179" s="1" t="s">
        <v>11</v>
      </c>
      <c r="C179" s="1">
        <v>29</v>
      </c>
      <c r="D179" s="27" t="s">
        <v>526</v>
      </c>
      <c r="E179" s="5">
        <v>83.9</v>
      </c>
      <c r="F179" s="5">
        <v>41.3</v>
      </c>
      <c r="G179" s="5">
        <v>55.72</v>
      </c>
      <c r="H179" s="5">
        <v>0.85150000000000003</v>
      </c>
      <c r="I179" s="5">
        <v>0.996</v>
      </c>
      <c r="J179" s="5">
        <v>9.1999999999999993</v>
      </c>
      <c r="K179" s="5">
        <v>9.1999999999999993</v>
      </c>
      <c r="L179" s="5">
        <v>10</v>
      </c>
      <c r="M179" s="5">
        <v>9.1999999999999993</v>
      </c>
      <c r="N179" s="1" t="s">
        <v>527</v>
      </c>
    </row>
    <row r="180" spans="1:14" x14ac:dyDescent="0.2">
      <c r="A180" s="1" t="s">
        <v>332</v>
      </c>
      <c r="B180" s="1" t="s">
        <v>11</v>
      </c>
      <c r="C180" s="1">
        <v>2</v>
      </c>
      <c r="D180" s="27" t="s">
        <v>528</v>
      </c>
      <c r="E180" s="5">
        <v>59.2</v>
      </c>
      <c r="F180" s="5">
        <v>60.5</v>
      </c>
      <c r="G180" s="5">
        <v>76.37</v>
      </c>
      <c r="H180" s="5">
        <v>0.92200000000000004</v>
      </c>
      <c r="I180" s="5">
        <v>0.93300000000000005</v>
      </c>
      <c r="J180" s="5">
        <v>9</v>
      </c>
      <c r="K180" s="5">
        <v>9</v>
      </c>
      <c r="L180" s="5">
        <v>10</v>
      </c>
      <c r="M180" s="5">
        <v>9</v>
      </c>
      <c r="N180" s="1" t="s">
        <v>529</v>
      </c>
    </row>
    <row r="181" spans="1:14" x14ac:dyDescent="0.2">
      <c r="A181" s="1" t="s">
        <v>331</v>
      </c>
      <c r="B181" s="1" t="s">
        <v>11</v>
      </c>
      <c r="C181" s="1">
        <v>16</v>
      </c>
      <c r="D181" s="27" t="s">
        <v>530</v>
      </c>
      <c r="E181" s="5">
        <v>79.7</v>
      </c>
      <c r="F181" s="5">
        <v>18.38</v>
      </c>
      <c r="G181" s="5">
        <v>40.81</v>
      </c>
      <c r="H181" s="5">
        <v>0.84850000000000003</v>
      </c>
      <c r="I181" s="5">
        <v>0.58599999999999997</v>
      </c>
      <c r="J181" s="5">
        <v>9.1999999999999993</v>
      </c>
      <c r="K181" s="5">
        <v>9.4</v>
      </c>
      <c r="L181" s="5">
        <v>9.8000000000000007</v>
      </c>
      <c r="M181" s="5">
        <v>9.4</v>
      </c>
      <c r="N181" s="1" t="s">
        <v>531</v>
      </c>
    </row>
    <row r="182" spans="1:14" x14ac:dyDescent="0.2">
      <c r="A182" s="1" t="s">
        <v>330</v>
      </c>
      <c r="B182" s="1" t="s">
        <v>11</v>
      </c>
      <c r="C182" s="1">
        <v>92</v>
      </c>
      <c r="D182" s="27" t="s">
        <v>532</v>
      </c>
      <c r="E182" s="5">
        <v>196.2</v>
      </c>
      <c r="F182" s="5">
        <v>20.63</v>
      </c>
      <c r="G182" s="5">
        <v>44.04</v>
      </c>
      <c r="H182" s="5">
        <v>0.82730000000000004</v>
      </c>
      <c r="I182" s="5">
        <v>0.80800000000000005</v>
      </c>
      <c r="J182" s="5">
        <v>9</v>
      </c>
      <c r="K182" s="5">
        <v>9</v>
      </c>
      <c r="L182" s="5">
        <v>9.4</v>
      </c>
      <c r="M182" s="5">
        <v>9.6</v>
      </c>
      <c r="N182" s="1" t="s">
        <v>533</v>
      </c>
    </row>
    <row r="183" spans="1:14" x14ac:dyDescent="0.2">
      <c r="A183" s="1" t="s">
        <v>329</v>
      </c>
      <c r="B183" s="1" t="s">
        <v>11</v>
      </c>
      <c r="C183" s="1">
        <v>4</v>
      </c>
      <c r="D183" s="27" t="s">
        <v>534</v>
      </c>
      <c r="E183" s="5">
        <v>35.700000000000003</v>
      </c>
      <c r="F183" s="5">
        <v>53.4</v>
      </c>
      <c r="G183" s="5">
        <v>78.930000000000007</v>
      </c>
      <c r="H183" s="5">
        <v>0.94220000000000004</v>
      </c>
      <c r="I183" s="5">
        <v>1.0660000000000001</v>
      </c>
      <c r="J183" s="5">
        <v>9.5</v>
      </c>
      <c r="K183" s="5">
        <v>9.5</v>
      </c>
      <c r="L183" s="5">
        <v>10</v>
      </c>
      <c r="M183" s="5">
        <v>9.5</v>
      </c>
      <c r="N183" s="1" t="s">
        <v>535</v>
      </c>
    </row>
    <row r="184" spans="1:14" x14ac:dyDescent="0.2">
      <c r="A184" s="1" t="s">
        <v>328</v>
      </c>
      <c r="B184" s="1" t="s">
        <v>11</v>
      </c>
      <c r="C184" s="1">
        <v>18</v>
      </c>
      <c r="D184" s="27" t="s">
        <v>536</v>
      </c>
      <c r="E184" s="5">
        <v>81.599999999999994</v>
      </c>
      <c r="F184" s="5">
        <v>43.98</v>
      </c>
      <c r="G184" s="5">
        <v>66.23</v>
      </c>
      <c r="H184" s="5">
        <v>0.9012</v>
      </c>
      <c r="I184" s="5">
        <v>0.95</v>
      </c>
      <c r="J184" s="5">
        <v>9</v>
      </c>
      <c r="K184" s="5">
        <v>9.1999999999999993</v>
      </c>
      <c r="L184" s="5">
        <v>9.4</v>
      </c>
      <c r="M184" s="5">
        <v>9.6</v>
      </c>
      <c r="N184" s="1" t="s">
        <v>537</v>
      </c>
    </row>
    <row r="185" spans="1:14" x14ac:dyDescent="0.2">
      <c r="A185" s="1" t="s">
        <v>327</v>
      </c>
      <c r="B185" s="1" t="s">
        <v>11</v>
      </c>
      <c r="C185" s="1">
        <v>2</v>
      </c>
      <c r="D185" s="27" t="s">
        <v>538</v>
      </c>
      <c r="E185" s="5">
        <v>72.900000000000006</v>
      </c>
      <c r="F185" s="5">
        <v>42.06</v>
      </c>
      <c r="G185" s="5">
        <v>65.569999999999993</v>
      </c>
      <c r="H185" s="5">
        <v>0.91320000000000001</v>
      </c>
      <c r="I185" s="5">
        <v>0.75700000000000001</v>
      </c>
      <c r="J185" s="5">
        <v>9</v>
      </c>
      <c r="K185" s="5">
        <v>9</v>
      </c>
      <c r="L185" s="5">
        <v>10</v>
      </c>
      <c r="M185" s="5">
        <v>9</v>
      </c>
      <c r="N185" s="1" t="s">
        <v>539</v>
      </c>
    </row>
    <row r="186" spans="1:14" x14ac:dyDescent="0.2">
      <c r="A186" s="1" t="s">
        <v>326</v>
      </c>
      <c r="B186" s="1" t="s">
        <v>11</v>
      </c>
      <c r="C186" s="1">
        <v>21</v>
      </c>
      <c r="D186" s="27" t="s">
        <v>540</v>
      </c>
      <c r="E186" s="5">
        <v>68.2</v>
      </c>
      <c r="F186" s="5">
        <v>29.34</v>
      </c>
      <c r="G186" s="5">
        <v>54.23</v>
      </c>
      <c r="H186" s="5">
        <v>0.83799999999999997</v>
      </c>
      <c r="I186" s="5">
        <v>0.875</v>
      </c>
      <c r="J186" s="5">
        <v>8.8000000000000007</v>
      </c>
      <c r="K186" s="5">
        <v>8.8000000000000007</v>
      </c>
      <c r="L186" s="5">
        <v>9</v>
      </c>
      <c r="M186" s="5">
        <v>9.4</v>
      </c>
      <c r="N186" s="1" t="s">
        <v>541</v>
      </c>
    </row>
    <row r="187" spans="1:14" x14ac:dyDescent="0.2">
      <c r="A187" s="1" t="s">
        <v>407</v>
      </c>
      <c r="B187" s="1" t="s">
        <v>11</v>
      </c>
      <c r="C187" s="1">
        <v>79</v>
      </c>
      <c r="D187" s="27" t="s">
        <v>542</v>
      </c>
      <c r="E187" s="5">
        <v>178</v>
      </c>
      <c r="F187" s="5">
        <v>40.130000000000003</v>
      </c>
      <c r="G187" s="5">
        <v>60.59</v>
      </c>
      <c r="H187" s="5">
        <v>0.84360000000000002</v>
      </c>
      <c r="I187" s="5">
        <v>0.872</v>
      </c>
      <c r="J187" s="5">
        <v>9.1999999999999993</v>
      </c>
      <c r="K187" s="5">
        <v>9.1999999999999993</v>
      </c>
      <c r="L187" s="5">
        <v>9.6</v>
      </c>
      <c r="M187" s="5">
        <v>9.6</v>
      </c>
      <c r="N187" s="1" t="s">
        <v>543</v>
      </c>
    </row>
    <row r="188" spans="1:14" x14ac:dyDescent="0.2">
      <c r="A188" s="1" t="s">
        <v>325</v>
      </c>
      <c r="B188" s="1" t="s">
        <v>11</v>
      </c>
      <c r="C188" s="1">
        <v>23</v>
      </c>
      <c r="D188" s="27" t="s">
        <v>544</v>
      </c>
      <c r="E188" s="5">
        <v>74.400000000000006</v>
      </c>
      <c r="F188" s="5">
        <v>31.49</v>
      </c>
      <c r="G188" s="5">
        <v>56.43</v>
      </c>
      <c r="H188" s="5">
        <v>0.86180000000000001</v>
      </c>
      <c r="I188" s="5">
        <v>0.83599999999999997</v>
      </c>
      <c r="J188" s="5">
        <v>9.1999999999999993</v>
      </c>
      <c r="K188" s="5">
        <v>9.1999999999999993</v>
      </c>
      <c r="L188" s="5">
        <v>9.8000000000000007</v>
      </c>
      <c r="M188" s="5">
        <v>9.4</v>
      </c>
      <c r="N188" s="1" t="s">
        <v>545</v>
      </c>
    </row>
    <row r="189" spans="1:14" x14ac:dyDescent="0.2">
      <c r="A189" s="1" t="s">
        <v>324</v>
      </c>
      <c r="B189" s="1" t="s">
        <v>11</v>
      </c>
      <c r="C189" s="1">
        <v>72</v>
      </c>
      <c r="D189" s="27" t="s">
        <v>546</v>
      </c>
      <c r="E189" s="5">
        <v>131.9</v>
      </c>
      <c r="F189" s="5">
        <v>45.14</v>
      </c>
      <c r="G189" s="5">
        <v>56.49</v>
      </c>
      <c r="H189" s="5">
        <v>0.85309999999999997</v>
      </c>
      <c r="I189" s="5">
        <v>0.86</v>
      </c>
      <c r="J189" s="5">
        <v>9.1999999999999993</v>
      </c>
      <c r="K189" s="5">
        <v>9.4</v>
      </c>
      <c r="L189" s="5">
        <v>9.6</v>
      </c>
      <c r="M189" s="5">
        <v>9.6</v>
      </c>
      <c r="N189" s="1" t="s">
        <v>547</v>
      </c>
    </row>
    <row r="190" spans="1:14" x14ac:dyDescent="0.2">
      <c r="A190" s="1" t="s">
        <v>323</v>
      </c>
      <c r="B190" s="1" t="s">
        <v>11</v>
      </c>
      <c r="C190" s="1">
        <v>75</v>
      </c>
      <c r="D190" s="27" t="s">
        <v>548</v>
      </c>
      <c r="E190" s="5">
        <v>146.6</v>
      </c>
      <c r="F190" s="5">
        <v>44.34</v>
      </c>
      <c r="G190" s="5">
        <v>58.94</v>
      </c>
      <c r="H190" s="5">
        <v>0.84940000000000004</v>
      </c>
      <c r="I190" s="5">
        <v>0.94099999999999995</v>
      </c>
      <c r="J190" s="5">
        <v>9.1999999999999993</v>
      </c>
      <c r="K190" s="5">
        <v>9.4</v>
      </c>
      <c r="L190" s="5">
        <v>9.4</v>
      </c>
      <c r="M190" s="5">
        <v>9.8000000000000007</v>
      </c>
      <c r="N190" s="1" t="s">
        <v>549</v>
      </c>
    </row>
    <row r="191" spans="1:14" x14ac:dyDescent="0.2">
      <c r="A191" s="1" t="s">
        <v>322</v>
      </c>
      <c r="B191" s="1" t="s">
        <v>11</v>
      </c>
      <c r="C191" s="1">
        <v>20</v>
      </c>
      <c r="D191" s="27" t="s">
        <v>550</v>
      </c>
      <c r="E191" s="5">
        <v>65.8</v>
      </c>
      <c r="F191" s="5">
        <v>23.19</v>
      </c>
      <c r="G191" s="5">
        <v>49.98</v>
      </c>
      <c r="H191" s="5">
        <v>0.85570000000000002</v>
      </c>
      <c r="I191" s="5">
        <v>0.85099999999999998</v>
      </c>
      <c r="J191" s="5">
        <v>9.1999999999999993</v>
      </c>
      <c r="K191" s="5">
        <v>9.1999999999999993</v>
      </c>
      <c r="L191" s="5">
        <v>9.6</v>
      </c>
      <c r="M191" s="5">
        <v>9.6</v>
      </c>
      <c r="N191" s="1" t="s">
        <v>551</v>
      </c>
    </row>
    <row r="192" spans="1:14" x14ac:dyDescent="0.2">
      <c r="A192" s="1" t="s">
        <v>321</v>
      </c>
      <c r="B192" s="1" t="s">
        <v>11</v>
      </c>
      <c r="C192" s="1">
        <v>3</v>
      </c>
      <c r="D192" s="27" t="s">
        <v>552</v>
      </c>
      <c r="E192" s="5">
        <v>28.7</v>
      </c>
      <c r="F192" s="5">
        <v>34.25</v>
      </c>
      <c r="G192" s="5">
        <v>62.59</v>
      </c>
      <c r="H192" s="5">
        <v>0.88959999999999995</v>
      </c>
      <c r="I192" s="5">
        <v>0.83</v>
      </c>
      <c r="J192" s="5">
        <v>9</v>
      </c>
      <c r="K192" s="5">
        <v>9</v>
      </c>
      <c r="L192" s="5">
        <v>10</v>
      </c>
      <c r="M192" s="5">
        <v>9</v>
      </c>
      <c r="N192" s="1" t="s">
        <v>539</v>
      </c>
    </row>
    <row r="193" spans="1:14" x14ac:dyDescent="0.2">
      <c r="A193" s="1" t="s">
        <v>320</v>
      </c>
      <c r="B193" s="1" t="s">
        <v>11</v>
      </c>
      <c r="C193" s="1">
        <v>31</v>
      </c>
      <c r="D193" s="27" t="s">
        <v>553</v>
      </c>
      <c r="E193" s="5">
        <v>92.2</v>
      </c>
      <c r="F193" s="5">
        <v>36.020000000000003</v>
      </c>
      <c r="G193" s="5">
        <v>63.22</v>
      </c>
      <c r="H193" s="5">
        <v>0.85970000000000002</v>
      </c>
      <c r="I193" s="5">
        <v>0.96899999999999997</v>
      </c>
      <c r="J193" s="5">
        <v>9.1999999999999993</v>
      </c>
      <c r="K193" s="5">
        <v>9.1999999999999993</v>
      </c>
      <c r="L193" s="5">
        <v>9.8000000000000007</v>
      </c>
      <c r="M193" s="5">
        <v>9.4</v>
      </c>
      <c r="N193" s="1" t="s">
        <v>554</v>
      </c>
    </row>
    <row r="194" spans="1:14" x14ac:dyDescent="0.2">
      <c r="A194" s="1" t="s">
        <v>319</v>
      </c>
      <c r="B194" s="1" t="s">
        <v>11</v>
      </c>
      <c r="C194" s="1">
        <v>19</v>
      </c>
      <c r="D194" s="27" t="s">
        <v>555</v>
      </c>
      <c r="E194" s="5">
        <v>69.099999999999994</v>
      </c>
      <c r="F194" s="5">
        <v>41.52</v>
      </c>
      <c r="G194" s="5">
        <v>68.489999999999995</v>
      </c>
      <c r="H194" s="5">
        <v>0.90669999999999995</v>
      </c>
      <c r="I194" s="5">
        <v>0.90400000000000003</v>
      </c>
      <c r="J194" s="5">
        <v>9.1999999999999993</v>
      </c>
      <c r="K194" s="5">
        <v>9.1999999999999993</v>
      </c>
      <c r="L194" s="5">
        <v>9.8000000000000007</v>
      </c>
      <c r="M194" s="5">
        <v>9.4</v>
      </c>
      <c r="N194" s="1" t="s">
        <v>556</v>
      </c>
    </row>
    <row r="195" spans="1:14" x14ac:dyDescent="0.2">
      <c r="A195" s="1" t="s">
        <v>318</v>
      </c>
      <c r="B195" s="1" t="s">
        <v>11</v>
      </c>
      <c r="C195" s="1">
        <v>301</v>
      </c>
      <c r="D195" s="27" t="s">
        <v>557</v>
      </c>
      <c r="E195" s="5">
        <v>639.4</v>
      </c>
      <c r="F195" s="5">
        <v>10.59</v>
      </c>
      <c r="G195" s="5">
        <v>42.04</v>
      </c>
      <c r="H195" s="5">
        <v>0.81859999999999999</v>
      </c>
      <c r="I195" s="5">
        <v>0.79400000000000004</v>
      </c>
      <c r="J195" s="5">
        <v>9.4</v>
      </c>
      <c r="K195" s="5">
        <v>9.4</v>
      </c>
      <c r="L195" s="5">
        <v>9.8000000000000007</v>
      </c>
      <c r="M195" s="5">
        <v>9.6</v>
      </c>
      <c r="N195" s="1" t="s">
        <v>558</v>
      </c>
    </row>
    <row r="196" spans="1:14" x14ac:dyDescent="0.2">
      <c r="A196" s="1" t="s">
        <v>317</v>
      </c>
      <c r="B196" s="1" t="s">
        <v>11</v>
      </c>
      <c r="C196" s="1">
        <v>202</v>
      </c>
      <c r="D196" s="27" t="s">
        <v>559</v>
      </c>
      <c r="E196" s="5">
        <v>476.7</v>
      </c>
      <c r="F196" s="5">
        <v>19.88</v>
      </c>
      <c r="G196" s="5">
        <v>45.3</v>
      </c>
      <c r="H196" s="5">
        <v>0.82210000000000005</v>
      </c>
      <c r="I196" s="5">
        <v>0.85099999999999998</v>
      </c>
      <c r="J196" s="5">
        <v>9.4</v>
      </c>
      <c r="K196" s="5">
        <v>9.4</v>
      </c>
      <c r="L196" s="5">
        <v>9.8000000000000007</v>
      </c>
      <c r="M196" s="5">
        <v>9.6</v>
      </c>
      <c r="N196" s="1" t="s">
        <v>560</v>
      </c>
    </row>
    <row r="197" spans="1:14" x14ac:dyDescent="0.2">
      <c r="A197" s="1" t="s">
        <v>316</v>
      </c>
      <c r="B197" s="1" t="s">
        <v>11</v>
      </c>
      <c r="C197" s="1">
        <v>3</v>
      </c>
      <c r="D197" s="27" t="s">
        <v>538</v>
      </c>
      <c r="E197" s="5">
        <v>29.8</v>
      </c>
      <c r="F197" s="5">
        <v>68.61</v>
      </c>
      <c r="G197" s="5">
        <v>82.27</v>
      </c>
      <c r="H197" s="5">
        <v>0.94430000000000003</v>
      </c>
      <c r="I197" s="5">
        <v>1.0269999999999999</v>
      </c>
      <c r="J197" s="5">
        <v>9</v>
      </c>
      <c r="K197" s="5">
        <v>9</v>
      </c>
      <c r="L197" s="5">
        <v>10</v>
      </c>
      <c r="M197" s="5">
        <v>10</v>
      </c>
      <c r="N197" s="1" t="s">
        <v>561</v>
      </c>
    </row>
    <row r="198" spans="1:14" x14ac:dyDescent="0.2">
      <c r="A198" s="1" t="s">
        <v>313</v>
      </c>
      <c r="B198" s="1" t="s">
        <v>11</v>
      </c>
      <c r="C198" s="1">
        <v>9</v>
      </c>
      <c r="D198" s="27" t="s">
        <v>562</v>
      </c>
      <c r="E198" s="5">
        <v>48.9</v>
      </c>
      <c r="F198" s="5">
        <v>43.46</v>
      </c>
      <c r="G198" s="5">
        <v>69.69</v>
      </c>
      <c r="H198" s="5">
        <v>0.88929999999999998</v>
      </c>
      <c r="I198" s="5">
        <v>1.0069999999999999</v>
      </c>
      <c r="J198" s="5">
        <v>9</v>
      </c>
      <c r="K198" s="5">
        <v>9</v>
      </c>
      <c r="L198" s="5">
        <v>10</v>
      </c>
      <c r="M198" s="5">
        <v>9</v>
      </c>
      <c r="N198" s="1" t="s">
        <v>563</v>
      </c>
    </row>
    <row r="199" spans="1:14" x14ac:dyDescent="0.2">
      <c r="A199" s="1" t="s">
        <v>312</v>
      </c>
      <c r="B199" s="1" t="s">
        <v>11</v>
      </c>
      <c r="C199" s="1">
        <v>9</v>
      </c>
      <c r="D199" s="27" t="s">
        <v>564</v>
      </c>
      <c r="E199" s="5">
        <v>40.6</v>
      </c>
      <c r="F199" s="5">
        <v>44.25</v>
      </c>
      <c r="G199" s="5">
        <v>70.44</v>
      </c>
      <c r="H199" s="5">
        <v>0.88900000000000001</v>
      </c>
      <c r="I199" s="5">
        <v>1.032</v>
      </c>
      <c r="J199" s="5">
        <v>9</v>
      </c>
      <c r="K199" s="5">
        <v>9</v>
      </c>
      <c r="L199" s="5">
        <v>9.6999999999999993</v>
      </c>
      <c r="M199" s="5">
        <v>9.3000000000000007</v>
      </c>
      <c r="N199" s="1" t="s">
        <v>565</v>
      </c>
    </row>
    <row r="200" spans="1:14" x14ac:dyDescent="0.2">
      <c r="A200" s="1" t="s">
        <v>311</v>
      </c>
      <c r="B200" s="1" t="s">
        <v>11</v>
      </c>
      <c r="C200" s="1">
        <v>9</v>
      </c>
      <c r="D200" s="27" t="s">
        <v>566</v>
      </c>
      <c r="E200" s="5">
        <v>72.599999999999994</v>
      </c>
      <c r="F200" s="5">
        <v>46.05</v>
      </c>
      <c r="G200" s="5">
        <v>71.36</v>
      </c>
      <c r="H200" s="5">
        <v>0.91180000000000005</v>
      </c>
      <c r="I200" s="5">
        <v>0.96199999999999997</v>
      </c>
      <c r="J200" s="5">
        <v>9</v>
      </c>
      <c r="K200" s="5">
        <v>9</v>
      </c>
      <c r="L200" s="5">
        <v>9.6999999999999993</v>
      </c>
      <c r="M200" s="5">
        <v>9.3000000000000007</v>
      </c>
      <c r="N200" s="1" t="s">
        <v>567</v>
      </c>
    </row>
    <row r="201" spans="1:14" x14ac:dyDescent="0.2">
      <c r="A201" s="1" t="s">
        <v>310</v>
      </c>
      <c r="B201" s="1" t="s">
        <v>11</v>
      </c>
      <c r="C201" s="1">
        <v>97</v>
      </c>
      <c r="D201" s="27" t="s">
        <v>568</v>
      </c>
      <c r="E201" s="5">
        <v>215.8</v>
      </c>
      <c r="F201" s="5">
        <v>20.74</v>
      </c>
      <c r="G201" s="5">
        <v>44.17</v>
      </c>
      <c r="H201" s="5">
        <v>0.81879999999999997</v>
      </c>
      <c r="I201" s="5">
        <v>0.874</v>
      </c>
      <c r="J201" s="5">
        <v>9.1999999999999993</v>
      </c>
      <c r="K201" s="5">
        <v>9.1999999999999993</v>
      </c>
      <c r="L201" s="5">
        <v>9.8000000000000007</v>
      </c>
      <c r="M201" s="5">
        <v>9.4</v>
      </c>
      <c r="N201" s="1" t="s">
        <v>569</v>
      </c>
    </row>
    <row r="202" spans="1:14" x14ac:dyDescent="0.2">
      <c r="A202" s="1" t="s">
        <v>570</v>
      </c>
      <c r="B202" s="1" t="s">
        <v>11</v>
      </c>
      <c r="C202" s="1">
        <v>123</v>
      </c>
      <c r="D202" s="27" t="s">
        <v>571</v>
      </c>
      <c r="E202" s="5">
        <v>174.2</v>
      </c>
      <c r="F202" s="5">
        <v>7.92</v>
      </c>
      <c r="G202" s="5">
        <v>35.75</v>
      </c>
      <c r="H202" s="5">
        <v>0.79900000000000004</v>
      </c>
      <c r="I202" s="5">
        <v>0.81799999999999995</v>
      </c>
      <c r="J202" s="5">
        <v>8.8000000000000007</v>
      </c>
      <c r="K202" s="5">
        <v>8.8000000000000007</v>
      </c>
      <c r="L202" s="5">
        <v>9.1999999999999993</v>
      </c>
      <c r="M202" s="5">
        <v>9.1999999999999993</v>
      </c>
      <c r="N202" s="1" t="s">
        <v>572</v>
      </c>
    </row>
    <row r="203" spans="1:14" x14ac:dyDescent="0.2">
      <c r="A203" s="1" t="s">
        <v>309</v>
      </c>
      <c r="B203" s="1" t="s">
        <v>11</v>
      </c>
      <c r="C203" s="1">
        <v>275</v>
      </c>
      <c r="D203" s="27" t="s">
        <v>573</v>
      </c>
      <c r="E203" s="5">
        <v>516.4</v>
      </c>
      <c r="F203" s="5">
        <v>16.5</v>
      </c>
      <c r="G203" s="5">
        <v>45.78</v>
      </c>
      <c r="H203" s="5">
        <v>0.81740000000000002</v>
      </c>
      <c r="I203" s="5">
        <v>0.88500000000000001</v>
      </c>
      <c r="J203" s="5">
        <v>9</v>
      </c>
      <c r="K203" s="5">
        <v>9</v>
      </c>
      <c r="L203" s="5">
        <v>9.4</v>
      </c>
      <c r="M203" s="5">
        <v>9.6</v>
      </c>
      <c r="N203" s="1" t="s">
        <v>574</v>
      </c>
    </row>
    <row r="204" spans="1:14" x14ac:dyDescent="0.2">
      <c r="A204" s="1" t="s">
        <v>308</v>
      </c>
      <c r="B204" s="1" t="s">
        <v>11</v>
      </c>
      <c r="C204" s="1">
        <v>180</v>
      </c>
      <c r="D204" s="27" t="s">
        <v>575</v>
      </c>
      <c r="E204" s="5">
        <v>385.5</v>
      </c>
      <c r="F204" s="5">
        <v>24.31</v>
      </c>
      <c r="G204" s="5">
        <v>48.38</v>
      </c>
      <c r="H204" s="5">
        <v>0.83889999999999998</v>
      </c>
      <c r="I204" s="5">
        <v>0.80300000000000005</v>
      </c>
      <c r="J204" s="5">
        <v>8.8000000000000007</v>
      </c>
      <c r="K204" s="5">
        <v>9</v>
      </c>
      <c r="L204" s="5">
        <v>9.4</v>
      </c>
      <c r="M204" s="5">
        <v>9.1999999999999993</v>
      </c>
      <c r="N204" s="1" t="s">
        <v>576</v>
      </c>
    </row>
    <row r="205" spans="1:14" x14ac:dyDescent="0.2">
      <c r="A205" s="1" t="s">
        <v>304</v>
      </c>
      <c r="B205" s="1" t="s">
        <v>11</v>
      </c>
      <c r="C205" s="1">
        <v>4</v>
      </c>
      <c r="D205" s="27" t="s">
        <v>577</v>
      </c>
      <c r="E205" s="5">
        <v>42.9</v>
      </c>
      <c r="F205" s="5">
        <v>69.95</v>
      </c>
      <c r="G205" s="5">
        <v>83.29</v>
      </c>
      <c r="H205" s="5">
        <v>0.95050000000000001</v>
      </c>
      <c r="I205" s="5">
        <v>1.002</v>
      </c>
      <c r="J205" s="5">
        <v>9</v>
      </c>
      <c r="K205" s="5">
        <v>9</v>
      </c>
      <c r="L205" s="5">
        <v>10</v>
      </c>
      <c r="M205" s="5">
        <v>9</v>
      </c>
      <c r="N205" s="1" t="s">
        <v>578</v>
      </c>
    </row>
    <row r="206" spans="1:14" x14ac:dyDescent="0.2">
      <c r="A206" s="1" t="s">
        <v>303</v>
      </c>
      <c r="B206" s="1" t="s">
        <v>11</v>
      </c>
      <c r="C206" s="1">
        <v>5</v>
      </c>
      <c r="D206" s="27" t="s">
        <v>579</v>
      </c>
      <c r="E206" s="5">
        <v>39.299999999999997</v>
      </c>
      <c r="F206" s="5">
        <v>74.400000000000006</v>
      </c>
      <c r="G206" s="5">
        <v>85.39</v>
      </c>
      <c r="H206" s="5">
        <v>0.95089999999999997</v>
      </c>
      <c r="I206" s="5">
        <v>1.0029999999999999</v>
      </c>
      <c r="J206" s="5">
        <v>9</v>
      </c>
      <c r="K206" s="5">
        <v>9</v>
      </c>
      <c r="L206" s="5">
        <v>10</v>
      </c>
      <c r="M206" s="5">
        <v>9</v>
      </c>
      <c r="N206" s="1" t="s">
        <v>580</v>
      </c>
    </row>
    <row r="207" spans="1:14" x14ac:dyDescent="0.2">
      <c r="A207" s="1" t="s">
        <v>302</v>
      </c>
      <c r="B207" s="1" t="s">
        <v>11</v>
      </c>
      <c r="C207" s="1">
        <v>218</v>
      </c>
      <c r="D207" s="27" t="s">
        <v>581</v>
      </c>
      <c r="E207" s="5">
        <v>405.7</v>
      </c>
      <c r="F207" s="5">
        <v>13.9</v>
      </c>
      <c r="G207" s="5">
        <v>44.88</v>
      </c>
      <c r="H207" s="5">
        <v>0.81920000000000004</v>
      </c>
      <c r="I207" s="5">
        <v>0.83499999999999996</v>
      </c>
      <c r="J207" s="5">
        <v>9</v>
      </c>
      <c r="K207" s="5">
        <v>9</v>
      </c>
      <c r="L207" s="5">
        <v>9.6</v>
      </c>
      <c r="M207" s="5">
        <v>9.4</v>
      </c>
      <c r="N207" s="1" t="s">
        <v>582</v>
      </c>
    </row>
    <row r="208" spans="1:14" x14ac:dyDescent="0.2">
      <c r="A208" s="1" t="s">
        <v>301</v>
      </c>
      <c r="B208" s="1" t="s">
        <v>11</v>
      </c>
      <c r="C208" s="1">
        <v>4</v>
      </c>
      <c r="D208" s="27" t="s">
        <v>577</v>
      </c>
      <c r="E208" s="5">
        <v>36.1</v>
      </c>
      <c r="F208" s="5">
        <v>50.73</v>
      </c>
      <c r="G208" s="5">
        <v>76.94</v>
      </c>
      <c r="H208" s="5">
        <v>0.94120000000000004</v>
      </c>
      <c r="I208" s="5">
        <v>1.0049999999999999</v>
      </c>
      <c r="J208" s="5">
        <v>9.5</v>
      </c>
      <c r="K208" s="5">
        <v>9.5</v>
      </c>
      <c r="L208" s="5">
        <v>10</v>
      </c>
      <c r="M208" s="5">
        <v>9.5</v>
      </c>
      <c r="N208" s="1" t="s">
        <v>583</v>
      </c>
    </row>
    <row r="209" spans="1:14" x14ac:dyDescent="0.2">
      <c r="A209" s="1" t="s">
        <v>300</v>
      </c>
      <c r="B209" s="1" t="s">
        <v>11</v>
      </c>
      <c r="C209" s="1">
        <v>53</v>
      </c>
      <c r="D209" s="27" t="s">
        <v>584</v>
      </c>
      <c r="E209" s="5">
        <v>155.5</v>
      </c>
      <c r="F209" s="5">
        <v>30.03</v>
      </c>
      <c r="G209" s="5">
        <v>57.5</v>
      </c>
      <c r="H209" s="5">
        <v>0.8427</v>
      </c>
      <c r="I209" s="5">
        <v>0.91300000000000003</v>
      </c>
      <c r="J209" s="5">
        <v>9</v>
      </c>
      <c r="K209" s="5">
        <v>9</v>
      </c>
      <c r="L209" s="5">
        <v>10</v>
      </c>
      <c r="M209" s="5">
        <v>9</v>
      </c>
      <c r="N209" s="1" t="s">
        <v>585</v>
      </c>
    </row>
    <row r="210" spans="1:14" x14ac:dyDescent="0.2">
      <c r="A210" s="1" t="s">
        <v>299</v>
      </c>
      <c r="B210" s="1" t="s">
        <v>11</v>
      </c>
      <c r="C210" s="1">
        <v>3</v>
      </c>
      <c r="D210" s="27" t="s">
        <v>586</v>
      </c>
      <c r="E210" s="5">
        <v>27.1</v>
      </c>
      <c r="F210" s="5">
        <v>67.28</v>
      </c>
      <c r="G210" s="5">
        <v>83.5</v>
      </c>
      <c r="H210" s="5">
        <v>0.94199999999999995</v>
      </c>
      <c r="I210" s="5">
        <v>1.0329999999999999</v>
      </c>
      <c r="J210" s="5">
        <v>9</v>
      </c>
      <c r="K210" s="5">
        <v>9</v>
      </c>
      <c r="L210" s="5">
        <v>10</v>
      </c>
      <c r="M210" s="5">
        <v>9</v>
      </c>
      <c r="N210" s="1" t="s">
        <v>529</v>
      </c>
    </row>
    <row r="211" spans="1:14" x14ac:dyDescent="0.2">
      <c r="A211" s="1" t="s">
        <v>298</v>
      </c>
      <c r="B211" s="1" t="s">
        <v>11</v>
      </c>
      <c r="C211" s="1">
        <v>50</v>
      </c>
      <c r="D211" s="27" t="s">
        <v>587</v>
      </c>
      <c r="E211" s="5">
        <v>103.1</v>
      </c>
      <c r="F211" s="5">
        <v>29.8</v>
      </c>
      <c r="G211" s="5">
        <v>58.88</v>
      </c>
      <c r="H211" s="5">
        <v>0.86450000000000005</v>
      </c>
      <c r="I211" s="5">
        <v>1.0580000000000001</v>
      </c>
      <c r="J211" s="5">
        <v>9</v>
      </c>
      <c r="K211" s="5">
        <v>9.1999999999999993</v>
      </c>
      <c r="L211" s="5">
        <v>9.4</v>
      </c>
      <c r="M211" s="5">
        <v>9.6</v>
      </c>
      <c r="N211" s="1" t="s">
        <v>588</v>
      </c>
    </row>
    <row r="212" spans="1:14" x14ac:dyDescent="0.2">
      <c r="A212" s="1" t="s">
        <v>297</v>
      </c>
      <c r="B212" s="1" t="s">
        <v>11</v>
      </c>
      <c r="C212" s="1">
        <v>24</v>
      </c>
      <c r="D212" s="27" t="s">
        <v>544</v>
      </c>
      <c r="E212" s="5">
        <v>71.599999999999994</v>
      </c>
      <c r="F212" s="5">
        <v>43.59</v>
      </c>
      <c r="G212" s="5">
        <v>67.709999999999994</v>
      </c>
      <c r="H212" s="5">
        <v>0.85880000000000001</v>
      </c>
      <c r="I212" s="5">
        <v>0.95299999999999996</v>
      </c>
      <c r="J212" s="5">
        <v>9</v>
      </c>
      <c r="K212" s="5">
        <v>9</v>
      </c>
      <c r="L212" s="5">
        <v>9.6</v>
      </c>
      <c r="M212" s="5">
        <v>9.4</v>
      </c>
      <c r="N212" s="1" t="s">
        <v>589</v>
      </c>
    </row>
    <row r="213" spans="1:14" x14ac:dyDescent="0.2">
      <c r="A213" s="1" t="s">
        <v>296</v>
      </c>
      <c r="B213" s="1" t="s">
        <v>11</v>
      </c>
      <c r="C213" s="1">
        <v>20</v>
      </c>
      <c r="D213" s="27" t="s">
        <v>590</v>
      </c>
      <c r="E213" s="5">
        <v>94.6</v>
      </c>
      <c r="F213" s="5">
        <v>29.49</v>
      </c>
      <c r="G213" s="5">
        <v>55.8</v>
      </c>
      <c r="H213" s="5">
        <v>0.8468</v>
      </c>
      <c r="I213" s="5">
        <v>0.98799999999999999</v>
      </c>
      <c r="J213" s="5">
        <v>9</v>
      </c>
      <c r="K213" s="5">
        <v>9</v>
      </c>
      <c r="L213" s="5">
        <v>9.6</v>
      </c>
      <c r="M213" s="5">
        <v>9.4</v>
      </c>
      <c r="N213" s="1" t="s">
        <v>591</v>
      </c>
    </row>
    <row r="214" spans="1:14" x14ac:dyDescent="0.2">
      <c r="A214" s="1" t="s">
        <v>295</v>
      </c>
      <c r="B214" s="1" t="s">
        <v>11</v>
      </c>
      <c r="C214" s="1">
        <v>42</v>
      </c>
      <c r="D214" s="27" t="s">
        <v>592</v>
      </c>
      <c r="E214" s="5">
        <v>95</v>
      </c>
      <c r="F214" s="5">
        <v>34.99</v>
      </c>
      <c r="G214" s="5">
        <v>61.88</v>
      </c>
      <c r="H214" s="5">
        <v>0.89649999999999996</v>
      </c>
      <c r="I214" s="5">
        <v>0.82299999999999995</v>
      </c>
      <c r="J214" s="5">
        <v>9</v>
      </c>
      <c r="K214" s="5">
        <v>9</v>
      </c>
      <c r="L214" s="5">
        <v>9.6</v>
      </c>
      <c r="M214" s="5">
        <v>9.4</v>
      </c>
      <c r="N214" s="1" t="s">
        <v>593</v>
      </c>
    </row>
    <row r="215" spans="1:14" x14ac:dyDescent="0.2">
      <c r="A215" s="1" t="s">
        <v>294</v>
      </c>
      <c r="B215" s="1" t="s">
        <v>11</v>
      </c>
      <c r="C215" s="1">
        <v>21</v>
      </c>
      <c r="D215" s="27" t="s">
        <v>594</v>
      </c>
      <c r="E215" s="5">
        <v>78.099999999999994</v>
      </c>
      <c r="F215" s="5">
        <v>36.76</v>
      </c>
      <c r="G215" s="5">
        <v>61.91</v>
      </c>
      <c r="H215" s="5">
        <v>0.86070000000000002</v>
      </c>
      <c r="I215" s="5">
        <v>0.95399999999999996</v>
      </c>
      <c r="J215" s="5">
        <v>9</v>
      </c>
      <c r="K215" s="5">
        <v>9</v>
      </c>
      <c r="L215" s="5">
        <v>9.6</v>
      </c>
      <c r="M215" s="5">
        <v>9.4</v>
      </c>
      <c r="N215" s="1" t="s">
        <v>595</v>
      </c>
    </row>
    <row r="216" spans="1:14" x14ac:dyDescent="0.2">
      <c r="A216" s="1" t="s">
        <v>293</v>
      </c>
      <c r="B216" s="1" t="s">
        <v>11</v>
      </c>
      <c r="C216" s="1">
        <v>8</v>
      </c>
      <c r="D216" s="27" t="s">
        <v>596</v>
      </c>
      <c r="E216" s="5">
        <v>36.799999999999997</v>
      </c>
      <c r="F216" s="5">
        <v>54.07</v>
      </c>
      <c r="G216" s="5">
        <v>75.44</v>
      </c>
      <c r="H216" s="5">
        <v>0.91190000000000004</v>
      </c>
      <c r="I216" s="5">
        <v>1.008</v>
      </c>
      <c r="J216" s="5">
        <v>9</v>
      </c>
      <c r="K216" s="5">
        <v>9.3000000000000007</v>
      </c>
      <c r="L216" s="5">
        <v>9.6999999999999993</v>
      </c>
      <c r="M216" s="5">
        <v>9.3000000000000007</v>
      </c>
      <c r="N216" s="1" t="s">
        <v>597</v>
      </c>
    </row>
    <row r="217" spans="1:14" x14ac:dyDescent="0.2">
      <c r="A217" s="1" t="s">
        <v>291</v>
      </c>
      <c r="B217" s="1" t="s">
        <v>11</v>
      </c>
      <c r="C217" s="1">
        <v>10</v>
      </c>
      <c r="D217" s="27" t="s">
        <v>598</v>
      </c>
      <c r="E217" s="5">
        <v>69.599999999999994</v>
      </c>
      <c r="F217" s="5">
        <v>46.25</v>
      </c>
      <c r="G217" s="5">
        <v>68.08</v>
      </c>
      <c r="H217" s="5">
        <v>0.92820000000000003</v>
      </c>
      <c r="I217" s="5">
        <v>0.88400000000000001</v>
      </c>
      <c r="J217" s="5">
        <v>9.1999999999999993</v>
      </c>
      <c r="K217" s="5">
        <v>9.5</v>
      </c>
      <c r="L217" s="5">
        <v>9.8000000000000007</v>
      </c>
      <c r="M217" s="5">
        <v>9.5</v>
      </c>
      <c r="N217" s="1" t="s">
        <v>599</v>
      </c>
    </row>
    <row r="218" spans="1:14" x14ac:dyDescent="0.2">
      <c r="A218" s="4" t="s">
        <v>356</v>
      </c>
      <c r="B218" s="4" t="s">
        <v>11</v>
      </c>
      <c r="C218" s="4">
        <v>3</v>
      </c>
      <c r="D218" s="25">
        <v>2.3E-3</v>
      </c>
      <c r="E218" s="11">
        <v>76.599999999999994</v>
      </c>
      <c r="F218" s="11">
        <v>49.11</v>
      </c>
      <c r="G218" s="11">
        <v>73.39</v>
      </c>
      <c r="H218" s="11">
        <v>0.89910000000000001</v>
      </c>
      <c r="I218" s="11">
        <v>0.97599999999999998</v>
      </c>
      <c r="J218" s="11">
        <v>9</v>
      </c>
      <c r="K218" s="11">
        <v>9</v>
      </c>
      <c r="L218" s="11">
        <v>10</v>
      </c>
      <c r="M218" s="11">
        <v>9</v>
      </c>
      <c r="N218" s="4" t="s">
        <v>448</v>
      </c>
    </row>
    <row r="219" spans="1:14" x14ac:dyDescent="0.2">
      <c r="A219" s="4" t="s">
        <v>357</v>
      </c>
      <c r="B219" s="4" t="s">
        <v>11</v>
      </c>
      <c r="C219" s="4">
        <v>2</v>
      </c>
      <c r="D219" s="25">
        <v>1.4E-3</v>
      </c>
      <c r="E219" s="11">
        <v>58.7</v>
      </c>
      <c r="F219" s="11">
        <v>40.619999999999997</v>
      </c>
      <c r="G219" s="11">
        <v>63.63</v>
      </c>
      <c r="H219" s="11">
        <v>0.91820000000000002</v>
      </c>
      <c r="I219" s="11">
        <v>0.752</v>
      </c>
      <c r="J219" s="11">
        <v>9</v>
      </c>
      <c r="K219" s="11">
        <v>9</v>
      </c>
      <c r="L219" s="11">
        <v>10</v>
      </c>
      <c r="M219" s="11">
        <v>9</v>
      </c>
      <c r="N219" s="4" t="s">
        <v>101</v>
      </c>
    </row>
    <row r="220" spans="1:14" x14ac:dyDescent="0.2">
      <c r="A220" s="4" t="s">
        <v>358</v>
      </c>
      <c r="B220" s="4" t="s">
        <v>11</v>
      </c>
      <c r="C220" s="4">
        <v>161</v>
      </c>
      <c r="D220" s="25">
        <v>7.0499999999999993E-2</v>
      </c>
      <c r="E220" s="11">
        <v>795</v>
      </c>
      <c r="F220" s="11">
        <v>30.78</v>
      </c>
      <c r="G220" s="11">
        <v>46.63</v>
      </c>
      <c r="H220" s="11">
        <v>0.82089999999999996</v>
      </c>
      <c r="I220" s="11">
        <v>0.88800000000000001</v>
      </c>
      <c r="J220" s="11">
        <v>8.8000000000000007</v>
      </c>
      <c r="K220" s="11">
        <v>9</v>
      </c>
      <c r="L220" s="11">
        <v>9</v>
      </c>
      <c r="M220" s="11">
        <v>9.1999999999999993</v>
      </c>
      <c r="N220" s="4" t="s">
        <v>434</v>
      </c>
    </row>
    <row r="221" spans="1:14" x14ac:dyDescent="0.2">
      <c r="A221" s="4" t="s">
        <v>359</v>
      </c>
      <c r="B221" s="4" t="s">
        <v>11</v>
      </c>
      <c r="C221" s="4">
        <v>145</v>
      </c>
      <c r="D221" s="25">
        <v>7.3700000000000002E-2</v>
      </c>
      <c r="E221" s="11">
        <v>675.3</v>
      </c>
      <c r="F221" s="11">
        <v>17.059999999999999</v>
      </c>
      <c r="G221" s="11">
        <v>42.98</v>
      </c>
      <c r="H221" s="11">
        <v>0.8296</v>
      </c>
      <c r="I221" s="11">
        <v>0.86</v>
      </c>
      <c r="J221" s="11">
        <v>9.1999999999999993</v>
      </c>
      <c r="K221" s="11">
        <v>9.1999999999999993</v>
      </c>
      <c r="L221" s="11">
        <v>10</v>
      </c>
      <c r="M221" s="11">
        <v>9.1999999999999993</v>
      </c>
      <c r="N221" s="4" t="s">
        <v>429</v>
      </c>
    </row>
    <row r="222" spans="1:14" x14ac:dyDescent="0.2">
      <c r="A222" s="4" t="s">
        <v>360</v>
      </c>
      <c r="B222" s="4" t="s">
        <v>11</v>
      </c>
      <c r="C222" s="4">
        <v>136</v>
      </c>
      <c r="D222" s="25">
        <v>7.1199999999999999E-2</v>
      </c>
      <c r="E222" s="11">
        <v>675.2</v>
      </c>
      <c r="F222" s="11">
        <v>29.92</v>
      </c>
      <c r="G222" s="11">
        <v>51</v>
      </c>
      <c r="H222" s="11">
        <v>0.82669999999999999</v>
      </c>
      <c r="I222" s="11">
        <v>0.92700000000000005</v>
      </c>
      <c r="J222" s="11">
        <v>9.1999999999999993</v>
      </c>
      <c r="K222" s="11">
        <v>9.1999999999999993</v>
      </c>
      <c r="L222" s="11">
        <v>9.8000000000000007</v>
      </c>
      <c r="M222" s="11">
        <v>9.4</v>
      </c>
      <c r="N222" s="4" t="s">
        <v>425</v>
      </c>
    </row>
    <row r="223" spans="1:14" x14ac:dyDescent="0.2">
      <c r="A223" s="4" t="s">
        <v>361</v>
      </c>
      <c r="B223" s="4" t="s">
        <v>11</v>
      </c>
      <c r="C223">
        <v>912</v>
      </c>
      <c r="D223" s="31">
        <v>0.51290099999999905</v>
      </c>
      <c r="E223">
        <v>2077.1</v>
      </c>
      <c r="F223">
        <v>8.09</v>
      </c>
      <c r="G223">
        <v>38.78</v>
      </c>
      <c r="H223">
        <v>0.81069999999999998</v>
      </c>
      <c r="I223">
        <v>0.78400000000000003</v>
      </c>
      <c r="J223">
        <v>9.1999999999999993</v>
      </c>
      <c r="K223">
        <v>9.1999999999999993</v>
      </c>
      <c r="L223">
        <v>10</v>
      </c>
      <c r="M223">
        <v>9.1999999999999993</v>
      </c>
      <c r="N223" s="4" t="s">
        <v>608</v>
      </c>
    </row>
    <row r="224" spans="1:14" x14ac:dyDescent="0.2">
      <c r="A224" s="4" t="s">
        <v>363</v>
      </c>
      <c r="B224" s="4" t="s">
        <v>11</v>
      </c>
      <c r="C224" s="4">
        <v>80</v>
      </c>
      <c r="D224" s="25">
        <v>0.04</v>
      </c>
      <c r="E224" s="11">
        <v>431.1</v>
      </c>
      <c r="F224" s="11">
        <v>35.54</v>
      </c>
      <c r="G224" s="11">
        <v>52.77</v>
      </c>
      <c r="H224" s="11">
        <v>0.83979999999999999</v>
      </c>
      <c r="I224" s="11">
        <v>0.91700000000000004</v>
      </c>
      <c r="J224" s="11">
        <v>9.1999999999999993</v>
      </c>
      <c r="K224" s="11">
        <v>9.1999999999999993</v>
      </c>
      <c r="L224" s="11">
        <v>10</v>
      </c>
      <c r="M224" s="11">
        <v>9.1999999999999993</v>
      </c>
      <c r="N224" s="4" t="s">
        <v>424</v>
      </c>
    </row>
    <row r="225" spans="1:14" x14ac:dyDescent="0.2">
      <c r="A225" s="4" t="s">
        <v>189</v>
      </c>
      <c r="B225" s="4" t="s">
        <v>11</v>
      </c>
      <c r="C225" s="4">
        <v>4</v>
      </c>
      <c r="D225" s="25">
        <v>2.8E-3</v>
      </c>
      <c r="E225" s="11">
        <v>56</v>
      </c>
      <c r="F225" s="11">
        <v>63.2</v>
      </c>
      <c r="G225" s="11">
        <v>81.47</v>
      </c>
      <c r="H225" s="11">
        <v>0.93979999999999997</v>
      </c>
      <c r="I225" s="11">
        <v>1.0249999999999999</v>
      </c>
      <c r="J225" s="11">
        <v>9.5</v>
      </c>
      <c r="K225" s="11">
        <v>9.5</v>
      </c>
      <c r="L225" s="11">
        <v>10</v>
      </c>
      <c r="M225" s="11">
        <v>9.5</v>
      </c>
      <c r="N225" s="4" t="s">
        <v>423</v>
      </c>
    </row>
    <row r="226" spans="1:14" x14ac:dyDescent="0.2">
      <c r="A226" s="4" t="s">
        <v>364</v>
      </c>
      <c r="B226" s="4" t="s">
        <v>11</v>
      </c>
      <c r="C226" s="4">
        <v>60</v>
      </c>
      <c r="D226" s="25">
        <v>2.7699999999999999E-2</v>
      </c>
      <c r="E226" s="11">
        <v>313.89999999999998</v>
      </c>
      <c r="F226" s="11">
        <v>12.18</v>
      </c>
      <c r="G226" s="11">
        <v>43.23</v>
      </c>
      <c r="H226" s="11">
        <v>0.82899999999999996</v>
      </c>
      <c r="I226" s="11">
        <v>0.82099999999999995</v>
      </c>
      <c r="J226" s="11">
        <v>9</v>
      </c>
      <c r="K226" s="11">
        <v>9</v>
      </c>
      <c r="L226" s="11">
        <v>10</v>
      </c>
      <c r="M226" s="11">
        <v>9</v>
      </c>
      <c r="N226" s="4" t="s">
        <v>416</v>
      </c>
    </row>
    <row r="227" spans="1:14" x14ac:dyDescent="0.2">
      <c r="A227" s="4" t="s">
        <v>365</v>
      </c>
      <c r="B227" s="4" t="s">
        <v>11</v>
      </c>
      <c r="C227" s="4">
        <v>104</v>
      </c>
      <c r="D227" s="25">
        <v>4.7500000000000001E-2</v>
      </c>
      <c r="E227" s="11">
        <v>580</v>
      </c>
      <c r="F227" s="11">
        <v>11.02</v>
      </c>
      <c r="G227" s="11">
        <v>41.43</v>
      </c>
      <c r="H227" s="11">
        <v>0.82050000000000001</v>
      </c>
      <c r="I227" s="11">
        <v>0.79600000000000004</v>
      </c>
      <c r="J227" s="11">
        <v>9</v>
      </c>
      <c r="K227" s="11">
        <v>9</v>
      </c>
      <c r="L227" s="11">
        <v>10</v>
      </c>
      <c r="M227" s="11">
        <v>9</v>
      </c>
      <c r="N227" s="4" t="s">
        <v>392</v>
      </c>
    </row>
    <row r="228" spans="1:14" x14ac:dyDescent="0.2">
      <c r="A228" s="4" t="s">
        <v>366</v>
      </c>
      <c r="B228" s="4" t="s">
        <v>11</v>
      </c>
      <c r="C228" s="4">
        <v>54</v>
      </c>
      <c r="D228" s="25">
        <v>2.46E-2</v>
      </c>
      <c r="E228" s="11">
        <v>290.89999999999998</v>
      </c>
      <c r="F228" s="11">
        <v>22.21</v>
      </c>
      <c r="G228" s="11">
        <v>45.77</v>
      </c>
      <c r="H228" s="11">
        <v>0.82869999999999999</v>
      </c>
      <c r="I228" s="11">
        <v>0.84099999999999997</v>
      </c>
      <c r="J228" s="11">
        <v>9</v>
      </c>
      <c r="K228" s="11">
        <v>9</v>
      </c>
      <c r="L228" s="11">
        <v>9.8000000000000007</v>
      </c>
      <c r="M228" s="11">
        <v>9.1999999999999993</v>
      </c>
      <c r="N228" s="4" t="s">
        <v>375</v>
      </c>
    </row>
    <row r="229" spans="1:14" s="9" customFormat="1" x14ac:dyDescent="0.2">
      <c r="A229" s="6" t="s">
        <v>128</v>
      </c>
      <c r="B229" s="6">
        <f>COUNTA(A154:A228)</f>
        <v>75</v>
      </c>
      <c r="C229" s="6" t="s">
        <v>19</v>
      </c>
      <c r="D229" s="26">
        <f>SUM(D154:D228)</f>
        <v>1.8289627999999991</v>
      </c>
      <c r="E229" s="7">
        <f>SUM(E154:E228)</f>
        <v>21193.200000000008</v>
      </c>
      <c r="F229" s="7">
        <f>AVERAGE(F154:F228)</f>
        <v>34.46973333333333</v>
      </c>
      <c r="G229" s="18">
        <f t="shared" ref="G229" si="7">AVERAGE(G154:G228)</f>
        <v>57.36106666666668</v>
      </c>
      <c r="H229" s="16">
        <f t="shared" ref="H229" si="8">AVERAGE(H154:H228)</f>
        <v>0.8585493333333335</v>
      </c>
      <c r="I229" s="17">
        <f t="shared" ref="I229" si="9">AVERAGE(I154:I228)</f>
        <v>0.90188000000000013</v>
      </c>
      <c r="J229" s="19">
        <f t="shared" ref="J229" si="10">AVERAGE(J154:J228)</f>
        <v>9.0679999999999996</v>
      </c>
      <c r="K229" s="19">
        <f t="shared" ref="K229" si="11">AVERAGE(K154:K228)</f>
        <v>9.1080000000000005</v>
      </c>
      <c r="L229" s="19">
        <f t="shared" ref="L229" si="12">AVERAGE(L154:L228)</f>
        <v>9.7346666666666675</v>
      </c>
      <c r="M229" s="19">
        <f t="shared" ref="M229" si="13">AVERAGE(M154:M228)</f>
        <v>9.3053333333333352</v>
      </c>
      <c r="N229" s="8"/>
    </row>
    <row r="230" spans="1:14" x14ac:dyDescent="0.2">
      <c r="A230" s="4" t="s">
        <v>447</v>
      </c>
      <c r="B230" s="4" t="s">
        <v>12</v>
      </c>
      <c r="C230" s="4">
        <v>2</v>
      </c>
      <c r="D230" s="25">
        <v>1.2500999999999901E-3</v>
      </c>
      <c r="E230" s="11">
        <v>37.6</v>
      </c>
      <c r="F230" s="11">
        <v>71.28</v>
      </c>
      <c r="G230" s="11">
        <v>84.77</v>
      </c>
      <c r="H230" s="11">
        <v>0.9667</v>
      </c>
      <c r="I230" s="11">
        <v>0.98599999999999999</v>
      </c>
      <c r="J230" s="11">
        <v>9</v>
      </c>
      <c r="K230" s="11">
        <v>9</v>
      </c>
      <c r="L230" s="11">
        <v>10</v>
      </c>
      <c r="M230" s="11">
        <v>9</v>
      </c>
      <c r="N230" s="4" t="s">
        <v>449</v>
      </c>
    </row>
    <row r="231" spans="1:14" x14ac:dyDescent="0.2">
      <c r="A231" s="4" t="s">
        <v>446</v>
      </c>
      <c r="B231" s="4" t="s">
        <v>12</v>
      </c>
      <c r="C231" s="4">
        <v>2</v>
      </c>
      <c r="D231" s="25">
        <v>1.41689999999999E-3</v>
      </c>
      <c r="E231" s="11">
        <v>24.5</v>
      </c>
      <c r="F231" s="11">
        <v>72.94</v>
      </c>
      <c r="G231" s="11">
        <v>85.39</v>
      </c>
      <c r="H231" s="11">
        <v>0.96740000000000004</v>
      </c>
      <c r="I231" s="11">
        <v>1.012</v>
      </c>
      <c r="J231" s="11">
        <v>9</v>
      </c>
      <c r="K231" s="11">
        <v>9</v>
      </c>
      <c r="L231" s="11">
        <v>9</v>
      </c>
      <c r="M231" s="11">
        <v>10</v>
      </c>
      <c r="N231" s="4" t="s">
        <v>450</v>
      </c>
    </row>
    <row r="232" spans="1:14" x14ac:dyDescent="0.2">
      <c r="A232" s="4" t="s">
        <v>445</v>
      </c>
      <c r="B232" s="4" t="s">
        <v>12</v>
      </c>
      <c r="C232" s="4">
        <v>4</v>
      </c>
      <c r="D232" s="25">
        <v>2.6687999999999998E-3</v>
      </c>
      <c r="E232" s="11">
        <v>38.6</v>
      </c>
      <c r="F232" s="11">
        <v>46.77</v>
      </c>
      <c r="G232" s="11">
        <v>72.2</v>
      </c>
      <c r="H232" s="11">
        <v>0.89559999999999995</v>
      </c>
      <c r="I232" s="11">
        <v>0.94499999999999995</v>
      </c>
      <c r="J232" s="11">
        <v>9.5</v>
      </c>
      <c r="K232" s="11">
        <v>9.5</v>
      </c>
      <c r="L232" s="11">
        <v>10</v>
      </c>
      <c r="M232" s="11">
        <v>9.5</v>
      </c>
      <c r="N232" s="4" t="s">
        <v>451</v>
      </c>
    </row>
    <row r="233" spans="1:14" x14ac:dyDescent="0.2">
      <c r="A233" s="4" t="s">
        <v>444</v>
      </c>
      <c r="B233" s="4" t="s">
        <v>12</v>
      </c>
      <c r="C233" s="4">
        <v>3</v>
      </c>
      <c r="D233" s="25">
        <v>1.7247E-3</v>
      </c>
      <c r="E233" s="11">
        <v>25.6</v>
      </c>
      <c r="F233" s="11">
        <v>56.84</v>
      </c>
      <c r="G233" s="11">
        <v>78.62</v>
      </c>
      <c r="H233" s="11">
        <v>0.92830000000000001</v>
      </c>
      <c r="I233" s="11">
        <v>0.98199999999999998</v>
      </c>
      <c r="J233" s="11">
        <v>9</v>
      </c>
      <c r="K233" s="11">
        <v>9</v>
      </c>
      <c r="L233" s="11">
        <v>10</v>
      </c>
      <c r="M233" s="11">
        <v>9</v>
      </c>
      <c r="N233" s="4" t="s">
        <v>452</v>
      </c>
    </row>
    <row r="234" spans="1:14" x14ac:dyDescent="0.2">
      <c r="A234" s="4" t="s">
        <v>443</v>
      </c>
      <c r="B234" s="4" t="s">
        <v>12</v>
      </c>
      <c r="C234" s="4">
        <v>6</v>
      </c>
      <c r="D234" s="25">
        <v>3.7720499999999999E-3</v>
      </c>
      <c r="E234" s="11">
        <v>73.400000000000006</v>
      </c>
      <c r="F234" s="11">
        <v>66.59</v>
      </c>
      <c r="G234" s="11">
        <v>82.96</v>
      </c>
      <c r="H234" s="11">
        <v>0.94989999999999997</v>
      </c>
      <c r="I234" s="11">
        <v>0.99</v>
      </c>
      <c r="J234" s="11">
        <v>9</v>
      </c>
      <c r="K234" s="11">
        <v>9</v>
      </c>
      <c r="L234" s="11">
        <v>10</v>
      </c>
      <c r="M234" s="11">
        <v>9</v>
      </c>
      <c r="N234" s="4" t="s">
        <v>453</v>
      </c>
    </row>
    <row r="235" spans="1:14" x14ac:dyDescent="0.2">
      <c r="A235" s="4" t="s">
        <v>442</v>
      </c>
      <c r="B235" s="4" t="s">
        <v>12</v>
      </c>
      <c r="C235" s="4">
        <v>5</v>
      </c>
      <c r="D235" s="25">
        <v>3.7357499999999999E-3</v>
      </c>
      <c r="E235" s="11">
        <v>116.1</v>
      </c>
      <c r="F235" s="11">
        <v>28.99</v>
      </c>
      <c r="G235" s="11">
        <v>54.67</v>
      </c>
      <c r="H235" s="11">
        <v>0.86119999999999997</v>
      </c>
      <c r="I235" s="11">
        <v>0.63800000000000001</v>
      </c>
      <c r="J235" s="11">
        <v>9</v>
      </c>
      <c r="K235" s="11">
        <v>9</v>
      </c>
      <c r="L235" s="11">
        <v>9.5</v>
      </c>
      <c r="M235" s="11">
        <v>9.5</v>
      </c>
      <c r="N235" s="4" t="s">
        <v>454</v>
      </c>
    </row>
    <row r="236" spans="1:14" x14ac:dyDescent="0.2">
      <c r="A236" s="4" t="s">
        <v>441</v>
      </c>
      <c r="B236" s="4" t="s">
        <v>12</v>
      </c>
      <c r="C236" s="4">
        <v>5</v>
      </c>
      <c r="D236" s="25">
        <v>3.8114999999999998E-3</v>
      </c>
      <c r="E236" s="11">
        <v>112.5</v>
      </c>
      <c r="F236" s="11">
        <v>45.87</v>
      </c>
      <c r="G236" s="11">
        <v>71.27</v>
      </c>
      <c r="H236" s="11">
        <v>0.89700000000000002</v>
      </c>
      <c r="I236" s="11">
        <v>0.94099999999999995</v>
      </c>
      <c r="J236" s="11">
        <v>9</v>
      </c>
      <c r="K236" s="11">
        <v>9</v>
      </c>
      <c r="L236" s="11">
        <v>9.5</v>
      </c>
      <c r="M236" s="11">
        <v>9.5</v>
      </c>
      <c r="N236" s="4" t="s">
        <v>455</v>
      </c>
    </row>
    <row r="237" spans="1:14" x14ac:dyDescent="0.2">
      <c r="A237" s="4" t="s">
        <v>440</v>
      </c>
      <c r="B237" s="4" t="s">
        <v>12</v>
      </c>
      <c r="C237" s="4">
        <v>66</v>
      </c>
      <c r="D237" s="25">
        <v>3.1654649999999999E-2</v>
      </c>
      <c r="E237" s="11">
        <v>153.30000000000001</v>
      </c>
      <c r="F237" s="11">
        <v>14.7</v>
      </c>
      <c r="G237" s="11">
        <v>44.28</v>
      </c>
      <c r="H237" s="11">
        <v>0.82089999999999996</v>
      </c>
      <c r="I237" s="11">
        <v>0.82099999999999995</v>
      </c>
      <c r="J237" s="11">
        <v>9</v>
      </c>
      <c r="K237" s="11">
        <v>9</v>
      </c>
      <c r="L237" s="11">
        <v>9.8000000000000007</v>
      </c>
      <c r="M237" s="11">
        <v>9.1999999999999993</v>
      </c>
      <c r="N237" s="4" t="s">
        <v>456</v>
      </c>
    </row>
    <row r="238" spans="1:14" x14ac:dyDescent="0.2">
      <c r="A238" s="4" t="s">
        <v>439</v>
      </c>
      <c r="B238" s="4" t="s">
        <v>12</v>
      </c>
      <c r="C238" s="4">
        <v>4</v>
      </c>
      <c r="D238" s="25">
        <v>2.9914499999999901E-3</v>
      </c>
      <c r="E238" s="11">
        <v>91.2</v>
      </c>
      <c r="F238" s="11">
        <v>44.7</v>
      </c>
      <c r="G238" s="11">
        <v>67.61</v>
      </c>
      <c r="H238" s="11">
        <v>0.9032</v>
      </c>
      <c r="I238" s="11">
        <v>0.88300000000000001</v>
      </c>
      <c r="J238" s="11">
        <v>9</v>
      </c>
      <c r="K238" s="11">
        <v>9.5</v>
      </c>
      <c r="L238" s="11">
        <v>9.5</v>
      </c>
      <c r="M238" s="11">
        <v>9.5</v>
      </c>
      <c r="N238" s="4" t="s">
        <v>457</v>
      </c>
    </row>
    <row r="239" spans="1:14" x14ac:dyDescent="0.2">
      <c r="A239" s="4" t="s">
        <v>438</v>
      </c>
      <c r="B239" s="4" t="s">
        <v>12</v>
      </c>
      <c r="C239" s="4">
        <v>105</v>
      </c>
      <c r="D239" s="25">
        <v>5.1358199999999903E-2</v>
      </c>
      <c r="E239" s="11">
        <v>255.5</v>
      </c>
      <c r="F239" s="11">
        <v>36.42</v>
      </c>
      <c r="G239" s="11">
        <v>60.82</v>
      </c>
      <c r="H239" s="11">
        <v>0.8589</v>
      </c>
      <c r="I239" s="11">
        <v>0.90200000000000002</v>
      </c>
      <c r="J239" s="11">
        <v>9.1999999999999993</v>
      </c>
      <c r="K239" s="11">
        <v>9.1999999999999993</v>
      </c>
      <c r="L239" s="11">
        <v>10</v>
      </c>
      <c r="M239" s="11">
        <v>9.1999999999999993</v>
      </c>
      <c r="N239" s="4" t="s">
        <v>458</v>
      </c>
    </row>
    <row r="240" spans="1:14" x14ac:dyDescent="0.2">
      <c r="A240" s="4" t="s">
        <v>437</v>
      </c>
      <c r="B240" s="4" t="s">
        <v>12</v>
      </c>
      <c r="C240" s="4">
        <v>4</v>
      </c>
      <c r="D240" s="25">
        <v>2.7241499999999998E-3</v>
      </c>
      <c r="E240" s="11">
        <v>90</v>
      </c>
      <c r="F240" s="11">
        <v>42.87</v>
      </c>
      <c r="G240" s="11">
        <v>65.010000000000005</v>
      </c>
      <c r="H240" s="11">
        <v>0.9113</v>
      </c>
      <c r="I240" s="11">
        <v>0.77700000000000002</v>
      </c>
      <c r="J240" s="11">
        <v>9</v>
      </c>
      <c r="K240" s="11">
        <v>9</v>
      </c>
      <c r="L240" s="11">
        <v>10</v>
      </c>
      <c r="M240" s="11">
        <v>9</v>
      </c>
      <c r="N240" s="4" t="s">
        <v>453</v>
      </c>
    </row>
    <row r="241" spans="1:14" x14ac:dyDescent="0.2">
      <c r="A241" s="4" t="s">
        <v>436</v>
      </c>
      <c r="B241" s="4" t="s">
        <v>12</v>
      </c>
      <c r="C241" s="4">
        <v>4</v>
      </c>
      <c r="D241" s="25">
        <v>2.7973500000000001E-3</v>
      </c>
      <c r="E241" s="11">
        <v>47.1</v>
      </c>
      <c r="F241" s="11">
        <v>69.08</v>
      </c>
      <c r="G241" s="11">
        <v>82.66</v>
      </c>
      <c r="H241" s="11">
        <v>0.95240000000000002</v>
      </c>
      <c r="I241" s="11">
        <v>1.0149999999999999</v>
      </c>
      <c r="J241" s="11">
        <v>9</v>
      </c>
      <c r="K241" s="11">
        <v>9</v>
      </c>
      <c r="L241" s="11">
        <v>10</v>
      </c>
      <c r="M241" s="11">
        <v>9</v>
      </c>
      <c r="N241" s="4" t="s">
        <v>459</v>
      </c>
    </row>
    <row r="242" spans="1:14" x14ac:dyDescent="0.2">
      <c r="A242" s="4" t="s">
        <v>435</v>
      </c>
      <c r="B242" s="4" t="s">
        <v>12</v>
      </c>
      <c r="C242" s="4">
        <v>4</v>
      </c>
      <c r="D242" s="25">
        <v>2.5671000000000001E-3</v>
      </c>
      <c r="E242" s="11">
        <v>38.9</v>
      </c>
      <c r="F242" s="11">
        <v>61.65</v>
      </c>
      <c r="G242" s="11">
        <v>80.19</v>
      </c>
      <c r="H242" s="11">
        <v>0.9496</v>
      </c>
      <c r="I242" s="11">
        <v>1.0069999999999999</v>
      </c>
      <c r="J242" s="11">
        <v>9.5</v>
      </c>
      <c r="K242" s="11">
        <v>9.5</v>
      </c>
      <c r="L242" s="11">
        <v>10</v>
      </c>
      <c r="M242" s="11">
        <v>9.5</v>
      </c>
      <c r="N242" s="4" t="s">
        <v>460</v>
      </c>
    </row>
    <row r="243" spans="1:14" x14ac:dyDescent="0.2">
      <c r="A243" s="4" t="s">
        <v>433</v>
      </c>
      <c r="B243" s="4" t="s">
        <v>12</v>
      </c>
      <c r="C243" s="4">
        <v>7</v>
      </c>
      <c r="D243" s="25">
        <v>3.00315E-3</v>
      </c>
      <c r="E243" s="11">
        <v>66.7</v>
      </c>
      <c r="F243" s="11">
        <v>49.66</v>
      </c>
      <c r="G243" s="11">
        <v>70.849999999999994</v>
      </c>
      <c r="H243" s="11">
        <v>0.91080000000000005</v>
      </c>
      <c r="I243" s="11">
        <v>0.872</v>
      </c>
      <c r="J243" s="11">
        <v>9</v>
      </c>
      <c r="K243" s="11">
        <v>9</v>
      </c>
      <c r="L243" s="23" t="s">
        <v>461</v>
      </c>
      <c r="M243" s="23" t="s">
        <v>462</v>
      </c>
      <c r="N243" s="4" t="s">
        <v>463</v>
      </c>
    </row>
    <row r="244" spans="1:14" x14ac:dyDescent="0.2">
      <c r="A244" s="4" t="s">
        <v>406</v>
      </c>
      <c r="B244" s="4" t="s">
        <v>12</v>
      </c>
      <c r="C244" s="4">
        <v>3</v>
      </c>
      <c r="D244" s="25">
        <v>1.6999999999999999E-3</v>
      </c>
      <c r="E244" s="11">
        <v>36.700000000000003</v>
      </c>
      <c r="F244" s="11">
        <v>64.010000000000005</v>
      </c>
      <c r="G244" s="11">
        <v>82.69</v>
      </c>
      <c r="H244" s="11">
        <v>0.94610000000000005</v>
      </c>
      <c r="I244" s="11">
        <v>1.0029999999999999</v>
      </c>
      <c r="J244" s="11">
        <v>9</v>
      </c>
      <c r="K244" s="11">
        <v>9</v>
      </c>
      <c r="L244" s="11">
        <v>10</v>
      </c>
      <c r="M244" s="11">
        <v>9</v>
      </c>
      <c r="N244" s="4" t="s">
        <v>101</v>
      </c>
    </row>
    <row r="245" spans="1:14" x14ac:dyDescent="0.2">
      <c r="A245" s="4" t="s">
        <v>432</v>
      </c>
      <c r="B245" s="4" t="s">
        <v>12</v>
      </c>
      <c r="C245" s="4">
        <v>2</v>
      </c>
      <c r="D245" s="25">
        <v>1.1952E-3</v>
      </c>
      <c r="E245" s="11">
        <v>58.8</v>
      </c>
      <c r="F245" s="11">
        <v>52.88</v>
      </c>
      <c r="G245" s="11">
        <v>71.7</v>
      </c>
      <c r="H245" s="11">
        <v>0.90880000000000005</v>
      </c>
      <c r="I245" s="11">
        <v>0.84899999999999998</v>
      </c>
      <c r="J245" s="11">
        <v>9</v>
      </c>
      <c r="K245" s="11">
        <v>9</v>
      </c>
      <c r="L245" s="11">
        <v>9</v>
      </c>
      <c r="M245" s="11">
        <v>10</v>
      </c>
      <c r="N245" s="4" t="s">
        <v>464</v>
      </c>
    </row>
    <row r="246" spans="1:14" x14ac:dyDescent="0.2">
      <c r="A246" s="4" t="s">
        <v>431</v>
      </c>
      <c r="B246" s="4" t="s">
        <v>12</v>
      </c>
      <c r="C246" s="4">
        <v>3</v>
      </c>
      <c r="D246" s="25">
        <v>1.7298000000000001E-3</v>
      </c>
      <c r="E246" s="11">
        <v>81.099999999999994</v>
      </c>
      <c r="F246" s="11">
        <v>54.15</v>
      </c>
      <c r="G246" s="11">
        <v>75.19</v>
      </c>
      <c r="H246" s="11">
        <v>0.91410000000000002</v>
      </c>
      <c r="I246" s="11">
        <v>0.94099999999999995</v>
      </c>
      <c r="J246" s="11">
        <v>9</v>
      </c>
      <c r="K246" s="11">
        <v>9</v>
      </c>
      <c r="L246" s="11">
        <v>10</v>
      </c>
      <c r="M246" s="11">
        <v>9</v>
      </c>
      <c r="N246" s="4" t="s">
        <v>465</v>
      </c>
    </row>
    <row r="247" spans="1:14" x14ac:dyDescent="0.2">
      <c r="A247" s="4" t="s">
        <v>430</v>
      </c>
      <c r="B247" s="4" t="s">
        <v>12</v>
      </c>
      <c r="C247" s="4">
        <v>3</v>
      </c>
      <c r="D247" s="25">
        <v>1.33935E-3</v>
      </c>
      <c r="E247" s="11">
        <v>64.2</v>
      </c>
      <c r="F247" s="11">
        <v>65.290000000000006</v>
      </c>
      <c r="G247" s="11">
        <v>81.430000000000007</v>
      </c>
      <c r="H247" s="11">
        <v>0.94650000000000001</v>
      </c>
      <c r="I247" s="11">
        <v>1.0509999999999999</v>
      </c>
      <c r="J247" s="11">
        <v>9</v>
      </c>
      <c r="K247" s="11">
        <v>9</v>
      </c>
      <c r="L247" s="11">
        <v>9</v>
      </c>
      <c r="M247" s="11">
        <v>10</v>
      </c>
      <c r="N247" s="4" t="s">
        <v>466</v>
      </c>
    </row>
    <row r="248" spans="1:14" x14ac:dyDescent="0.2">
      <c r="A248" s="4" t="s">
        <v>428</v>
      </c>
      <c r="B248" s="4" t="s">
        <v>12</v>
      </c>
      <c r="C248" s="4">
        <v>2</v>
      </c>
      <c r="D248" s="25">
        <v>1.5387000000000001E-3</v>
      </c>
      <c r="E248" s="11">
        <v>81.3</v>
      </c>
      <c r="F248" s="11">
        <v>55.94</v>
      </c>
      <c r="G248" s="11">
        <v>77.95</v>
      </c>
      <c r="H248" s="11">
        <v>0.96550000000000002</v>
      </c>
      <c r="I248" s="11">
        <v>1.016</v>
      </c>
      <c r="J248" s="11">
        <v>9</v>
      </c>
      <c r="K248" s="11">
        <v>9</v>
      </c>
      <c r="L248" s="11">
        <v>10</v>
      </c>
      <c r="M248" s="11">
        <v>9</v>
      </c>
      <c r="N248" s="4" t="s">
        <v>465</v>
      </c>
    </row>
    <row r="249" spans="1:14" x14ac:dyDescent="0.2">
      <c r="A249" s="4" t="s">
        <v>467</v>
      </c>
      <c r="B249" s="4" t="s">
        <v>12</v>
      </c>
      <c r="C249" s="4">
        <v>2</v>
      </c>
      <c r="D249" s="25">
        <v>1.4115E-3</v>
      </c>
      <c r="E249" s="11">
        <v>26.4</v>
      </c>
      <c r="F249" s="11">
        <v>70.680000000000007</v>
      </c>
      <c r="G249" s="11">
        <v>84.22</v>
      </c>
      <c r="H249" s="11">
        <v>0.96460000000000001</v>
      </c>
      <c r="I249" s="11">
        <v>0.997</v>
      </c>
      <c r="J249" s="11">
        <v>9</v>
      </c>
      <c r="K249" s="11">
        <v>9</v>
      </c>
      <c r="L249" s="11">
        <v>10</v>
      </c>
      <c r="M249" s="11">
        <v>9</v>
      </c>
      <c r="N249" s="4" t="s">
        <v>465</v>
      </c>
    </row>
    <row r="250" spans="1:14" x14ac:dyDescent="0.2">
      <c r="A250" s="4" t="s">
        <v>427</v>
      </c>
      <c r="B250" s="4" t="s">
        <v>12</v>
      </c>
      <c r="C250" s="4">
        <v>3</v>
      </c>
      <c r="D250" s="25">
        <v>1.4260499999999899E-3</v>
      </c>
      <c r="E250" s="11">
        <v>36.799999999999997</v>
      </c>
      <c r="F250" s="11">
        <v>60.55</v>
      </c>
      <c r="G250" s="11">
        <v>80.14</v>
      </c>
      <c r="H250" s="11">
        <v>0.94120000000000004</v>
      </c>
      <c r="I250" s="11">
        <v>1.0569999999999999</v>
      </c>
      <c r="J250" s="11">
        <v>9</v>
      </c>
      <c r="K250" s="11">
        <v>9</v>
      </c>
      <c r="L250" s="11">
        <v>10</v>
      </c>
      <c r="M250" s="11">
        <v>9</v>
      </c>
      <c r="N250" s="4" t="s">
        <v>465</v>
      </c>
    </row>
    <row r="251" spans="1:14" x14ac:dyDescent="0.2">
      <c r="A251" s="4" t="s">
        <v>426</v>
      </c>
      <c r="B251" s="4" t="s">
        <v>12</v>
      </c>
      <c r="C251" s="4">
        <v>3</v>
      </c>
      <c r="D251" s="25">
        <v>1.3833000000000001E-3</v>
      </c>
      <c r="E251" s="11">
        <v>26.4</v>
      </c>
      <c r="F251" s="11">
        <v>62.19</v>
      </c>
      <c r="G251" s="11">
        <v>80.349999999999994</v>
      </c>
      <c r="H251" s="11">
        <v>0.94989999999999997</v>
      </c>
      <c r="I251" s="11">
        <v>1.0149999999999999</v>
      </c>
      <c r="J251" s="11">
        <v>9</v>
      </c>
      <c r="K251" s="11">
        <v>9</v>
      </c>
      <c r="L251" s="11">
        <v>10</v>
      </c>
      <c r="M251" s="11">
        <v>9</v>
      </c>
      <c r="N251" s="4" t="s">
        <v>465</v>
      </c>
    </row>
    <row r="252" spans="1:14" x14ac:dyDescent="0.2">
      <c r="A252" s="4" t="s">
        <v>422</v>
      </c>
      <c r="B252" s="4" t="s">
        <v>12</v>
      </c>
      <c r="C252" s="4">
        <v>4</v>
      </c>
      <c r="D252" s="25">
        <v>2.0185499999999901E-3</v>
      </c>
      <c r="E252" s="11">
        <v>92.4</v>
      </c>
      <c r="F252" s="11">
        <v>69.010000000000005</v>
      </c>
      <c r="G252" s="11">
        <v>84.43</v>
      </c>
      <c r="H252" s="11">
        <v>0.94989999999999997</v>
      </c>
      <c r="I252" s="11">
        <v>1.0049999999999999</v>
      </c>
      <c r="J252" s="11">
        <v>9.5</v>
      </c>
      <c r="K252" s="11">
        <v>9.5</v>
      </c>
      <c r="L252" s="11">
        <v>10</v>
      </c>
      <c r="M252" s="11">
        <v>9.5</v>
      </c>
      <c r="N252" s="4" t="s">
        <v>468</v>
      </c>
    </row>
    <row r="253" spans="1:14" x14ac:dyDescent="0.2">
      <c r="A253" s="4" t="s">
        <v>421</v>
      </c>
      <c r="B253" s="4" t="s">
        <v>12</v>
      </c>
      <c r="C253" s="4">
        <v>3</v>
      </c>
      <c r="D253" s="25">
        <v>1.9215E-3</v>
      </c>
      <c r="E253" s="11">
        <v>84.8</v>
      </c>
      <c r="F253" s="11">
        <v>48.04</v>
      </c>
      <c r="G253" s="11">
        <v>72.959999999999994</v>
      </c>
      <c r="H253" s="11">
        <v>0.94189999999999996</v>
      </c>
      <c r="I253" s="11">
        <v>1.03</v>
      </c>
      <c r="J253" s="11">
        <v>9</v>
      </c>
      <c r="K253" s="11">
        <v>9</v>
      </c>
      <c r="L253" s="11">
        <v>10</v>
      </c>
      <c r="M253" s="11">
        <v>9</v>
      </c>
      <c r="N253" s="4" t="s">
        <v>469</v>
      </c>
    </row>
    <row r="254" spans="1:14" x14ac:dyDescent="0.2">
      <c r="A254" s="4" t="s">
        <v>420</v>
      </c>
      <c r="B254" s="4" t="s">
        <v>12</v>
      </c>
      <c r="C254" s="4">
        <v>3</v>
      </c>
      <c r="D254" s="25">
        <v>1.62105E-3</v>
      </c>
      <c r="E254" s="11">
        <v>32</v>
      </c>
      <c r="F254" s="11">
        <v>41.14</v>
      </c>
      <c r="G254" s="11">
        <v>67.959999999999994</v>
      </c>
      <c r="H254" s="11">
        <v>0.87060000000000004</v>
      </c>
      <c r="I254" s="11">
        <v>0.90300000000000002</v>
      </c>
      <c r="J254" s="11">
        <v>9</v>
      </c>
      <c r="K254" s="11">
        <v>9</v>
      </c>
      <c r="L254" s="11">
        <v>9</v>
      </c>
      <c r="M254" s="11">
        <v>10</v>
      </c>
      <c r="N254" s="4" t="s">
        <v>470</v>
      </c>
    </row>
    <row r="255" spans="1:14" x14ac:dyDescent="0.2">
      <c r="A255" s="4" t="s">
        <v>419</v>
      </c>
      <c r="B255" s="4" t="s">
        <v>12</v>
      </c>
      <c r="C255" s="4">
        <v>5</v>
      </c>
      <c r="D255" s="25">
        <v>3.1264499999999998E-3</v>
      </c>
      <c r="E255" s="11">
        <v>87.9</v>
      </c>
      <c r="F255" s="11">
        <v>62.74</v>
      </c>
      <c r="G255" s="11">
        <v>80.89</v>
      </c>
      <c r="H255" s="11">
        <v>0.94510000000000005</v>
      </c>
      <c r="I255" s="11">
        <v>0.99299999999999999</v>
      </c>
      <c r="J255" s="11">
        <v>9</v>
      </c>
      <c r="K255" s="11">
        <v>9</v>
      </c>
      <c r="L255" s="11">
        <v>10</v>
      </c>
      <c r="M255" s="11">
        <v>9</v>
      </c>
      <c r="N255" s="4" t="s">
        <v>471</v>
      </c>
    </row>
    <row r="256" spans="1:14" x14ac:dyDescent="0.2">
      <c r="A256" s="4" t="s">
        <v>472</v>
      </c>
      <c r="B256" s="4" t="s">
        <v>12</v>
      </c>
      <c r="C256" s="4">
        <v>5</v>
      </c>
      <c r="D256" s="25">
        <v>3.12825E-3</v>
      </c>
      <c r="E256" s="11">
        <v>84.8</v>
      </c>
      <c r="F256" s="11">
        <v>62.38</v>
      </c>
      <c r="G256" s="11">
        <v>80.77</v>
      </c>
      <c r="H256" s="11">
        <v>0.94499999999999995</v>
      </c>
      <c r="I256" s="11">
        <v>0.995</v>
      </c>
      <c r="J256" s="11">
        <v>9</v>
      </c>
      <c r="K256" s="11">
        <v>9</v>
      </c>
      <c r="L256" s="11">
        <v>10</v>
      </c>
      <c r="M256" s="11">
        <v>9</v>
      </c>
      <c r="N256" s="4" t="s">
        <v>453</v>
      </c>
    </row>
    <row r="257" spans="1:14" x14ac:dyDescent="0.2">
      <c r="A257" s="4" t="s">
        <v>418</v>
      </c>
      <c r="B257" s="4" t="s">
        <v>12</v>
      </c>
      <c r="C257" s="4">
        <v>3</v>
      </c>
      <c r="D257" s="25">
        <v>1.96305E-3</v>
      </c>
      <c r="E257" s="11">
        <v>34.1</v>
      </c>
      <c r="F257" s="11">
        <v>68.150000000000006</v>
      </c>
      <c r="G257" s="11">
        <v>82.67</v>
      </c>
      <c r="H257" s="11">
        <v>0.94550000000000001</v>
      </c>
      <c r="I257" s="11">
        <v>0.999</v>
      </c>
      <c r="J257" s="11">
        <v>9</v>
      </c>
      <c r="K257" s="11">
        <v>9</v>
      </c>
      <c r="L257" s="11">
        <v>10</v>
      </c>
      <c r="M257" s="11">
        <v>9</v>
      </c>
      <c r="N257" s="4" t="s">
        <v>469</v>
      </c>
    </row>
    <row r="258" spans="1:14" x14ac:dyDescent="0.2">
      <c r="A258" s="4" t="s">
        <v>417</v>
      </c>
      <c r="B258" s="4" t="s">
        <v>12</v>
      </c>
      <c r="C258" s="4">
        <v>3</v>
      </c>
      <c r="D258" s="25">
        <v>1.5092999999999899E-3</v>
      </c>
      <c r="E258" s="11">
        <v>27.5</v>
      </c>
      <c r="F258" s="11">
        <v>68.45</v>
      </c>
      <c r="G258" s="11">
        <v>81.8</v>
      </c>
      <c r="H258" s="11">
        <v>0.93869999999999998</v>
      </c>
      <c r="I258" s="11">
        <v>1.0249999999999999</v>
      </c>
      <c r="J258" s="11">
        <v>9</v>
      </c>
      <c r="K258" s="11">
        <v>9</v>
      </c>
      <c r="L258" s="11">
        <v>10</v>
      </c>
      <c r="M258" s="11">
        <v>9</v>
      </c>
      <c r="N258" s="4" t="s">
        <v>473</v>
      </c>
    </row>
    <row r="259" spans="1:14" x14ac:dyDescent="0.2">
      <c r="A259" s="4" t="s">
        <v>415</v>
      </c>
      <c r="B259" s="4" t="s">
        <v>12</v>
      </c>
      <c r="C259" s="4">
        <v>1</v>
      </c>
      <c r="D259" s="25">
        <v>5.7779999999999995E-4</v>
      </c>
      <c r="E259" s="11">
        <v>14.1</v>
      </c>
      <c r="F259" s="11">
        <v>51.7</v>
      </c>
      <c r="G259" s="11">
        <v>74.25</v>
      </c>
      <c r="H259" s="11">
        <v>0.92700000000000005</v>
      </c>
      <c r="I259" s="11">
        <v>1.036</v>
      </c>
      <c r="J259" s="11">
        <v>10</v>
      </c>
      <c r="K259" s="11">
        <v>10</v>
      </c>
      <c r="L259" s="11">
        <v>10</v>
      </c>
      <c r="M259" s="11">
        <v>10</v>
      </c>
      <c r="N259" s="4" t="s">
        <v>474</v>
      </c>
    </row>
    <row r="260" spans="1:14" x14ac:dyDescent="0.2">
      <c r="A260" s="4" t="s">
        <v>414</v>
      </c>
      <c r="B260" s="4" t="s">
        <v>12</v>
      </c>
      <c r="C260" s="4">
        <v>3</v>
      </c>
      <c r="D260" s="25">
        <v>1.28685E-3</v>
      </c>
      <c r="E260" s="11">
        <v>73.900000000000006</v>
      </c>
      <c r="F260" s="11">
        <v>69.989999999999995</v>
      </c>
      <c r="G260" s="11">
        <v>84.55</v>
      </c>
      <c r="H260" s="11">
        <v>0.94040000000000001</v>
      </c>
      <c r="I260" s="11">
        <v>1.0129999999999999</v>
      </c>
      <c r="J260" s="11">
        <v>9</v>
      </c>
      <c r="K260" s="11">
        <v>9</v>
      </c>
      <c r="L260" s="11">
        <v>10</v>
      </c>
      <c r="M260" s="11">
        <v>9</v>
      </c>
      <c r="N260" s="4" t="s">
        <v>465</v>
      </c>
    </row>
    <row r="261" spans="1:14" x14ac:dyDescent="0.2">
      <c r="A261" s="4" t="s">
        <v>413</v>
      </c>
      <c r="B261" s="4" t="s">
        <v>12</v>
      </c>
      <c r="C261" s="4">
        <v>1</v>
      </c>
      <c r="D261" s="25">
        <v>6.0375000000000001E-4</v>
      </c>
      <c r="E261" s="11">
        <v>15.9</v>
      </c>
      <c r="F261" s="11">
        <v>78.08</v>
      </c>
      <c r="G261" s="11">
        <v>87.8</v>
      </c>
      <c r="H261" s="11">
        <v>0.93869999999999998</v>
      </c>
      <c r="I261" s="11">
        <v>1.016</v>
      </c>
      <c r="J261" s="11">
        <v>10</v>
      </c>
      <c r="K261" s="11">
        <v>10</v>
      </c>
      <c r="L261" s="11">
        <v>10</v>
      </c>
      <c r="M261" s="11">
        <v>10</v>
      </c>
      <c r="N261" s="4" t="s">
        <v>475</v>
      </c>
    </row>
    <row r="262" spans="1:14" x14ac:dyDescent="0.2">
      <c r="A262" s="4" t="s">
        <v>412</v>
      </c>
      <c r="B262" s="4" t="s">
        <v>12</v>
      </c>
      <c r="C262" s="4">
        <v>119</v>
      </c>
      <c r="D262" s="25">
        <v>5.7112650000000001E-2</v>
      </c>
      <c r="E262" s="11">
        <v>250</v>
      </c>
      <c r="F262" s="11">
        <v>16.54</v>
      </c>
      <c r="G262" s="11">
        <v>39.65</v>
      </c>
      <c r="H262" s="11">
        <v>0.81089999999999995</v>
      </c>
      <c r="I262" s="11">
        <v>0.93200000000000005</v>
      </c>
      <c r="J262" s="11">
        <v>9.1999999999999993</v>
      </c>
      <c r="K262" s="11">
        <v>9.1999999999999993</v>
      </c>
      <c r="L262" s="11">
        <v>9.8000000000000007</v>
      </c>
      <c r="M262" s="11">
        <v>9.4</v>
      </c>
      <c r="N262" s="4" t="s">
        <v>476</v>
      </c>
    </row>
    <row r="263" spans="1:14" x14ac:dyDescent="0.2">
      <c r="A263" s="4" t="s">
        <v>411</v>
      </c>
      <c r="B263" s="4" t="s">
        <v>12</v>
      </c>
      <c r="C263" s="4">
        <v>144</v>
      </c>
      <c r="D263" s="25">
        <v>7.1079000000000003E-2</v>
      </c>
      <c r="E263" s="11">
        <v>354.7</v>
      </c>
      <c r="F263" s="11">
        <v>24.62</v>
      </c>
      <c r="G263" s="11">
        <v>45.63</v>
      </c>
      <c r="H263" s="11">
        <v>0.82230000000000003</v>
      </c>
      <c r="I263" s="11">
        <v>0.86399999999999999</v>
      </c>
      <c r="J263" s="11">
        <v>9.1999999999999993</v>
      </c>
      <c r="K263" s="11">
        <v>9.4</v>
      </c>
      <c r="L263" s="11">
        <v>9.8000000000000007</v>
      </c>
      <c r="M263" s="11">
        <v>9.4</v>
      </c>
      <c r="N263" s="4" t="s">
        <v>477</v>
      </c>
    </row>
    <row r="264" spans="1:14" x14ac:dyDescent="0.2">
      <c r="A264" s="4" t="s">
        <v>409</v>
      </c>
      <c r="B264" s="4" t="s">
        <v>12</v>
      </c>
      <c r="C264" s="4">
        <v>20</v>
      </c>
      <c r="D264" s="25">
        <v>9.7168499999999904E-3</v>
      </c>
      <c r="E264" s="11">
        <v>82.8</v>
      </c>
      <c r="F264" s="11">
        <v>29.56</v>
      </c>
      <c r="G264" s="11">
        <v>55.27</v>
      </c>
      <c r="H264" s="11">
        <v>0.83989999999999998</v>
      </c>
      <c r="I264" s="11">
        <v>0.81299999999999994</v>
      </c>
      <c r="J264" s="11">
        <v>9</v>
      </c>
      <c r="K264" s="11">
        <v>9</v>
      </c>
      <c r="L264" s="11">
        <v>10</v>
      </c>
      <c r="M264" s="11">
        <v>9</v>
      </c>
      <c r="N264" s="4" t="s">
        <v>478</v>
      </c>
    </row>
    <row r="265" spans="1:14" x14ac:dyDescent="0.2">
      <c r="A265" s="4" t="s">
        <v>410</v>
      </c>
      <c r="B265" s="4" t="s">
        <v>12</v>
      </c>
      <c r="C265" s="4">
        <v>4</v>
      </c>
      <c r="D265" s="25">
        <v>2.5715999999999998E-3</v>
      </c>
      <c r="E265" s="11">
        <v>41.8</v>
      </c>
      <c r="F265" s="11">
        <v>54.22</v>
      </c>
      <c r="G265" s="11">
        <v>77.59</v>
      </c>
      <c r="H265" s="11">
        <v>0.94979999999999998</v>
      </c>
      <c r="I265" s="11">
        <v>1.0640000000000001</v>
      </c>
      <c r="J265" s="11">
        <v>9</v>
      </c>
      <c r="K265" s="11">
        <v>9.5</v>
      </c>
      <c r="L265" s="11">
        <v>9.5</v>
      </c>
      <c r="M265" s="11">
        <v>9.5</v>
      </c>
      <c r="N265" s="4" t="s">
        <v>479</v>
      </c>
    </row>
    <row r="266" spans="1:14" x14ac:dyDescent="0.2">
      <c r="A266" s="4" t="s">
        <v>408</v>
      </c>
      <c r="B266" s="4" t="s">
        <v>12</v>
      </c>
      <c r="C266" s="4">
        <v>5</v>
      </c>
      <c r="D266" s="25">
        <v>1.983E-3</v>
      </c>
      <c r="E266" s="11">
        <v>60.5</v>
      </c>
      <c r="F266" s="11">
        <v>71.64</v>
      </c>
      <c r="G266" s="11">
        <v>80.319999999999993</v>
      </c>
      <c r="H266" s="11">
        <v>0.9163</v>
      </c>
      <c r="I266" s="11">
        <v>0.97899999999999998</v>
      </c>
      <c r="J266" s="11">
        <v>9</v>
      </c>
      <c r="K266" s="11">
        <v>9</v>
      </c>
      <c r="L266" s="11">
        <v>10</v>
      </c>
      <c r="M266" s="11">
        <v>9</v>
      </c>
      <c r="N266" s="4" t="s">
        <v>480</v>
      </c>
    </row>
    <row r="267" spans="1:14" x14ac:dyDescent="0.2">
      <c r="A267" s="4" t="s">
        <v>404</v>
      </c>
      <c r="B267" s="4" t="s">
        <v>12</v>
      </c>
      <c r="C267" s="4">
        <v>256</v>
      </c>
      <c r="D267" s="25">
        <v>0.1159434</v>
      </c>
      <c r="E267" s="11">
        <v>545.70000000000005</v>
      </c>
      <c r="F267" s="11">
        <v>10.84</v>
      </c>
      <c r="G267" s="11">
        <v>38.58</v>
      </c>
      <c r="H267" s="11">
        <v>0.81020000000000003</v>
      </c>
      <c r="I267" s="11">
        <v>0.82899999999999996</v>
      </c>
      <c r="J267" s="11">
        <v>9.1999999999999993</v>
      </c>
      <c r="K267" s="11">
        <v>9.1999999999999993</v>
      </c>
      <c r="L267" s="11">
        <v>10</v>
      </c>
      <c r="M267" s="11">
        <v>9.1999999999999993</v>
      </c>
      <c r="N267" s="4" t="s">
        <v>481</v>
      </c>
    </row>
    <row r="268" spans="1:14" x14ac:dyDescent="0.2">
      <c r="A268" s="4" t="s">
        <v>403</v>
      </c>
      <c r="B268" s="4" t="s">
        <v>12</v>
      </c>
      <c r="C268" s="4">
        <v>51</v>
      </c>
      <c r="D268" s="25">
        <v>2.3599499999999999E-2</v>
      </c>
      <c r="E268" s="11">
        <v>104.8</v>
      </c>
      <c r="F268" s="11">
        <v>10.94</v>
      </c>
      <c r="G268" s="11">
        <v>41.15</v>
      </c>
      <c r="H268" s="11">
        <v>0.81469999999999998</v>
      </c>
      <c r="I268" s="11">
        <v>0.83199999999999996</v>
      </c>
      <c r="J268" s="11">
        <v>9</v>
      </c>
      <c r="K268" s="11">
        <v>9</v>
      </c>
      <c r="L268" s="11">
        <v>9.1999999999999993</v>
      </c>
      <c r="M268" s="11">
        <v>9.8000000000000007</v>
      </c>
      <c r="N268" s="4" t="s">
        <v>482</v>
      </c>
    </row>
    <row r="269" spans="1:14" x14ac:dyDescent="0.2">
      <c r="A269" s="4" t="s">
        <v>402</v>
      </c>
      <c r="B269" s="4" t="s">
        <v>12</v>
      </c>
      <c r="C269" s="4">
        <v>65</v>
      </c>
      <c r="D269" s="25">
        <v>3.2627099999999999E-2</v>
      </c>
      <c r="E269" s="11">
        <v>146</v>
      </c>
      <c r="F269" s="11">
        <v>24.63</v>
      </c>
      <c r="G269" s="11">
        <v>53.71</v>
      </c>
      <c r="H269" s="11">
        <v>0.83730000000000004</v>
      </c>
      <c r="I269" s="11">
        <v>0.89600000000000002</v>
      </c>
      <c r="J269" s="11">
        <v>9</v>
      </c>
      <c r="K269" s="11">
        <v>9</v>
      </c>
      <c r="L269" s="11">
        <v>10</v>
      </c>
      <c r="M269" s="11">
        <v>9</v>
      </c>
      <c r="N269" s="4" t="s">
        <v>483</v>
      </c>
    </row>
    <row r="270" spans="1:14" x14ac:dyDescent="0.2">
      <c r="A270" s="4" t="s">
        <v>401</v>
      </c>
      <c r="B270" s="4" t="s">
        <v>12</v>
      </c>
      <c r="C270" s="4">
        <v>53</v>
      </c>
      <c r="D270" s="25">
        <v>2.52876E-2</v>
      </c>
      <c r="E270" s="11">
        <v>135.30000000000001</v>
      </c>
      <c r="F270" s="11">
        <v>22.3</v>
      </c>
      <c r="G270" s="11">
        <v>52.17</v>
      </c>
      <c r="H270" s="11">
        <v>0.83799999999999997</v>
      </c>
      <c r="I270" s="11">
        <v>0.89400000000000002</v>
      </c>
      <c r="J270" s="11">
        <v>9.1999999999999993</v>
      </c>
      <c r="K270" s="11">
        <v>9.1999999999999993</v>
      </c>
      <c r="L270" s="11">
        <v>9.8000000000000007</v>
      </c>
      <c r="M270" s="11">
        <v>9.4</v>
      </c>
      <c r="N270" s="4" t="s">
        <v>484</v>
      </c>
    </row>
    <row r="271" spans="1:14" x14ac:dyDescent="0.2">
      <c r="A271" s="4" t="s">
        <v>400</v>
      </c>
      <c r="B271" s="4" t="s">
        <v>12</v>
      </c>
      <c r="C271" s="4">
        <v>46</v>
      </c>
      <c r="D271" s="25">
        <v>2.451105E-2</v>
      </c>
      <c r="E271" s="11">
        <v>151.80000000000001</v>
      </c>
      <c r="F271" s="11">
        <v>50.43</v>
      </c>
      <c r="G271" s="11">
        <v>73.680000000000007</v>
      </c>
      <c r="H271" s="11">
        <v>0.90739999999999998</v>
      </c>
      <c r="I271" s="11">
        <v>0.92300000000000004</v>
      </c>
      <c r="J271" s="11">
        <v>9</v>
      </c>
      <c r="K271" s="11">
        <v>9</v>
      </c>
      <c r="L271" s="11">
        <v>9.8000000000000007</v>
      </c>
      <c r="M271" s="11">
        <v>9.1999999999999993</v>
      </c>
      <c r="N271" s="4" t="s">
        <v>485</v>
      </c>
    </row>
    <row r="272" spans="1:14" x14ac:dyDescent="0.2">
      <c r="A272" s="4" t="s">
        <v>399</v>
      </c>
      <c r="B272" s="4" t="s">
        <v>12</v>
      </c>
      <c r="C272" s="4">
        <v>58</v>
      </c>
      <c r="D272" s="29" t="s">
        <v>486</v>
      </c>
      <c r="E272" s="11">
        <v>149.30000000000001</v>
      </c>
      <c r="F272" s="11">
        <v>19.510000000000002</v>
      </c>
      <c r="G272" s="11">
        <v>46.31</v>
      </c>
      <c r="H272" s="11">
        <v>0.81340000000000001</v>
      </c>
      <c r="I272" s="11">
        <v>0.93700000000000006</v>
      </c>
      <c r="J272" s="11">
        <v>9.1999999999999993</v>
      </c>
      <c r="K272" s="11">
        <v>9.1999999999999993</v>
      </c>
      <c r="L272" s="11">
        <v>10</v>
      </c>
      <c r="M272" s="11">
        <v>9.1999999999999993</v>
      </c>
      <c r="N272" s="4" t="s">
        <v>487</v>
      </c>
    </row>
    <row r="273" spans="1:14" x14ac:dyDescent="0.2">
      <c r="A273" s="4" t="s">
        <v>398</v>
      </c>
      <c r="B273" s="4" t="s">
        <v>12</v>
      </c>
      <c r="C273" s="4">
        <v>44</v>
      </c>
      <c r="D273" s="29" t="s">
        <v>488</v>
      </c>
      <c r="E273" s="11">
        <v>151.1</v>
      </c>
      <c r="F273" s="11">
        <v>35.4</v>
      </c>
      <c r="G273" s="11">
        <v>60.19</v>
      </c>
      <c r="H273" s="11">
        <v>0.84650000000000003</v>
      </c>
      <c r="I273" s="11">
        <v>0.93100000000000005</v>
      </c>
      <c r="J273" s="11">
        <v>9</v>
      </c>
      <c r="K273" s="11">
        <v>9</v>
      </c>
      <c r="L273" s="11">
        <v>10</v>
      </c>
      <c r="M273" s="11">
        <v>9</v>
      </c>
      <c r="N273" s="4" t="s">
        <v>489</v>
      </c>
    </row>
    <row r="274" spans="1:14" x14ac:dyDescent="0.2">
      <c r="A274" s="4" t="s">
        <v>397</v>
      </c>
      <c r="B274" s="4" t="s">
        <v>12</v>
      </c>
      <c r="C274" s="4">
        <v>41</v>
      </c>
      <c r="D274" s="25">
        <v>2.12082E-2</v>
      </c>
      <c r="E274" s="11">
        <v>117.4</v>
      </c>
      <c r="F274" s="11">
        <v>24.3</v>
      </c>
      <c r="G274" s="11">
        <v>52.67</v>
      </c>
      <c r="H274" s="11">
        <v>0.8347</v>
      </c>
      <c r="I274" s="11">
        <v>0.97499999999999998</v>
      </c>
      <c r="J274" s="11">
        <v>9.1999999999999993</v>
      </c>
      <c r="K274" s="11">
        <v>9.1999999999999993</v>
      </c>
      <c r="L274" s="11">
        <v>9.8000000000000007</v>
      </c>
      <c r="M274" s="11">
        <v>9.4</v>
      </c>
      <c r="N274" s="4" t="s">
        <v>490</v>
      </c>
    </row>
    <row r="275" spans="1:14" x14ac:dyDescent="0.2">
      <c r="A275" s="4" t="s">
        <v>396</v>
      </c>
      <c r="B275" s="4" t="s">
        <v>12</v>
      </c>
      <c r="C275" s="4">
        <v>37</v>
      </c>
      <c r="D275" s="25">
        <v>1.8568649999999999E-2</v>
      </c>
      <c r="E275" s="11">
        <v>100.4</v>
      </c>
      <c r="F275" s="11">
        <v>25.77</v>
      </c>
      <c r="G275" s="11">
        <v>53.56</v>
      </c>
      <c r="H275" s="11">
        <v>0.84089999999999998</v>
      </c>
      <c r="I275" s="11">
        <v>0.82499999999999996</v>
      </c>
      <c r="J275" s="11">
        <v>9.1999999999999993</v>
      </c>
      <c r="K275" s="11">
        <v>9.1999999999999993</v>
      </c>
      <c r="L275" s="11">
        <v>9.6</v>
      </c>
      <c r="M275" s="11">
        <v>9.6</v>
      </c>
      <c r="N275" s="4" t="s">
        <v>491</v>
      </c>
    </row>
    <row r="276" spans="1:14" x14ac:dyDescent="0.2">
      <c r="A276" s="4" t="s">
        <v>395</v>
      </c>
      <c r="B276" s="4" t="s">
        <v>12</v>
      </c>
      <c r="C276" s="4">
        <v>38</v>
      </c>
      <c r="D276" s="25">
        <v>1.7015249999999999E-2</v>
      </c>
      <c r="E276" s="11">
        <v>94.5</v>
      </c>
      <c r="F276" s="11">
        <v>23.46</v>
      </c>
      <c r="G276" s="11">
        <v>46.27</v>
      </c>
      <c r="H276" s="11">
        <v>0.84830000000000005</v>
      </c>
      <c r="I276" s="11">
        <v>0.71299999999999997</v>
      </c>
      <c r="J276" s="11">
        <v>9</v>
      </c>
      <c r="K276" s="11">
        <v>9</v>
      </c>
      <c r="L276" s="11">
        <v>9.8000000000000007</v>
      </c>
      <c r="M276" s="11">
        <v>9.1999999999999993</v>
      </c>
      <c r="N276" s="4" t="s">
        <v>492</v>
      </c>
    </row>
    <row r="277" spans="1:14" x14ac:dyDescent="0.2">
      <c r="A277" s="4" t="s">
        <v>355</v>
      </c>
      <c r="B277" s="4" t="s">
        <v>12</v>
      </c>
      <c r="C277" s="4">
        <v>43</v>
      </c>
      <c r="D277" s="29">
        <v>2.45137499999999E-2</v>
      </c>
      <c r="E277" s="11">
        <v>75.5</v>
      </c>
      <c r="F277" s="11">
        <v>51.24</v>
      </c>
      <c r="G277" s="11">
        <v>64.099999999999994</v>
      </c>
      <c r="H277" s="11">
        <v>0.83599999999999997</v>
      </c>
      <c r="I277" s="11">
        <v>1.0029999999999999</v>
      </c>
      <c r="J277" s="11">
        <v>9.4</v>
      </c>
      <c r="K277" s="11">
        <v>9.4</v>
      </c>
      <c r="L277" s="11">
        <v>10</v>
      </c>
      <c r="M277" s="11">
        <v>9.4</v>
      </c>
      <c r="N277" s="4" t="s">
        <v>493</v>
      </c>
    </row>
    <row r="278" spans="1:14" x14ac:dyDescent="0.2">
      <c r="A278" s="4" t="s">
        <v>394</v>
      </c>
      <c r="B278" s="4" t="s">
        <v>12</v>
      </c>
      <c r="C278" s="4">
        <v>31</v>
      </c>
      <c r="D278" s="29">
        <v>1.47103499999999E-2</v>
      </c>
      <c r="E278" s="11">
        <v>90.1</v>
      </c>
      <c r="F278" s="11">
        <v>28.97</v>
      </c>
      <c r="G278" s="11">
        <v>51.76</v>
      </c>
      <c r="H278" s="11">
        <v>0.84489999999999998</v>
      </c>
      <c r="I278" s="11">
        <v>0.77300000000000002</v>
      </c>
      <c r="J278" s="11">
        <v>9.1999999999999993</v>
      </c>
      <c r="K278" s="11">
        <v>9.1999999999999993</v>
      </c>
      <c r="L278" s="11">
        <v>9.8000000000000007</v>
      </c>
      <c r="M278" s="11">
        <v>9.4</v>
      </c>
      <c r="N278" s="4" t="s">
        <v>494</v>
      </c>
    </row>
    <row r="279" spans="1:14" x14ac:dyDescent="0.2">
      <c r="A279" s="4" t="s">
        <v>393</v>
      </c>
      <c r="B279" s="4" t="s">
        <v>12</v>
      </c>
      <c r="C279" s="4">
        <v>31</v>
      </c>
      <c r="D279" s="25">
        <v>1.4524199999999999E-2</v>
      </c>
      <c r="E279" s="11">
        <v>85.9</v>
      </c>
      <c r="F279" s="11">
        <v>43.94</v>
      </c>
      <c r="G279" s="11">
        <v>66.8</v>
      </c>
      <c r="H279" s="11">
        <v>0.86990000000000001</v>
      </c>
      <c r="I279" s="11">
        <v>0.97599999999999998</v>
      </c>
      <c r="J279" s="11">
        <v>9.4</v>
      </c>
      <c r="K279" s="11">
        <v>9.4</v>
      </c>
      <c r="L279" s="11">
        <v>9.8000000000000007</v>
      </c>
      <c r="M279" s="11">
        <v>9.6</v>
      </c>
      <c r="N279" s="4" t="s">
        <v>495</v>
      </c>
    </row>
    <row r="280" spans="1:14" x14ac:dyDescent="0.2">
      <c r="A280" s="4" t="s">
        <v>391</v>
      </c>
      <c r="B280" s="4" t="s">
        <v>12</v>
      </c>
      <c r="C280" s="4">
        <v>29</v>
      </c>
      <c r="D280" s="25">
        <v>1.41177E-2</v>
      </c>
      <c r="E280" s="11">
        <v>89.9</v>
      </c>
      <c r="F280" s="11">
        <v>32.880000000000003</v>
      </c>
      <c r="G280" s="11">
        <v>56.94</v>
      </c>
      <c r="H280" s="11">
        <v>0.84730000000000005</v>
      </c>
      <c r="I280" s="11">
        <v>0.82599999999999996</v>
      </c>
      <c r="J280" s="11">
        <v>8.8000000000000007</v>
      </c>
      <c r="K280" s="11">
        <v>9</v>
      </c>
      <c r="L280" s="11">
        <v>9.1999999999999993</v>
      </c>
      <c r="M280" s="11">
        <v>9.1999999999999993</v>
      </c>
      <c r="N280" s="4" t="s">
        <v>496</v>
      </c>
    </row>
    <row r="281" spans="1:14" x14ac:dyDescent="0.2">
      <c r="A281" s="4" t="s">
        <v>389</v>
      </c>
      <c r="B281" s="4" t="s">
        <v>12</v>
      </c>
      <c r="C281" s="4">
        <v>24</v>
      </c>
      <c r="D281" s="29">
        <v>1.1610449999999901E-2</v>
      </c>
      <c r="E281" s="11">
        <v>75.099999999999994</v>
      </c>
      <c r="F281" s="11">
        <v>33.659999999999997</v>
      </c>
      <c r="G281" s="11">
        <v>60.94</v>
      </c>
      <c r="H281" s="11">
        <v>0.84889999999999999</v>
      </c>
      <c r="I281" s="11">
        <v>0.92300000000000004</v>
      </c>
      <c r="J281" s="11">
        <v>9</v>
      </c>
      <c r="K281" s="11">
        <v>9</v>
      </c>
      <c r="L281" s="11">
        <v>10</v>
      </c>
      <c r="M281" s="11">
        <v>9</v>
      </c>
      <c r="N281" s="4" t="s">
        <v>497</v>
      </c>
    </row>
    <row r="282" spans="1:14" x14ac:dyDescent="0.2">
      <c r="A282" s="4" t="s">
        <v>387</v>
      </c>
      <c r="B282" s="4" t="s">
        <v>12</v>
      </c>
      <c r="C282" s="4">
        <v>82</v>
      </c>
      <c r="D282" s="25">
        <v>3.9336000000000003E-2</v>
      </c>
      <c r="E282" s="11">
        <v>198.7</v>
      </c>
      <c r="F282" s="11">
        <v>13.31</v>
      </c>
      <c r="G282" s="11">
        <v>42.32</v>
      </c>
      <c r="H282" s="11">
        <v>0.82289999999999996</v>
      </c>
      <c r="I282" s="11">
        <v>0.69899999999999995</v>
      </c>
      <c r="J282" s="11">
        <v>9.1999999999999993</v>
      </c>
      <c r="K282" s="11">
        <v>9.1999999999999993</v>
      </c>
      <c r="L282" s="11">
        <v>10</v>
      </c>
      <c r="M282" s="11">
        <v>9.1999999999999993</v>
      </c>
      <c r="N282" s="4" t="s">
        <v>498</v>
      </c>
    </row>
    <row r="283" spans="1:14" x14ac:dyDescent="0.2">
      <c r="A283" s="4" t="s">
        <v>386</v>
      </c>
      <c r="B283" s="4" t="s">
        <v>12</v>
      </c>
      <c r="C283" s="4">
        <v>34</v>
      </c>
      <c r="D283" s="29">
        <v>1.50645E-2</v>
      </c>
      <c r="E283" s="11">
        <v>87.1</v>
      </c>
      <c r="F283" s="11">
        <v>24.99</v>
      </c>
      <c r="G283" s="11">
        <v>51.99</v>
      </c>
      <c r="H283" s="11">
        <v>0.84850000000000003</v>
      </c>
      <c r="I283" s="11">
        <v>0.84699999999999998</v>
      </c>
      <c r="J283" s="11">
        <v>9</v>
      </c>
      <c r="K283" s="11">
        <v>9.1999999999999993</v>
      </c>
      <c r="L283" s="11">
        <v>9.1999999999999993</v>
      </c>
      <c r="M283" s="11">
        <v>9.4</v>
      </c>
      <c r="N283" s="4" t="s">
        <v>499</v>
      </c>
    </row>
    <row r="284" spans="1:14" x14ac:dyDescent="0.2">
      <c r="A284" s="4" t="s">
        <v>385</v>
      </c>
      <c r="B284" s="4" t="s">
        <v>12</v>
      </c>
      <c r="C284" s="4">
        <v>70</v>
      </c>
      <c r="D284" s="25">
        <v>3.6336300000000002E-2</v>
      </c>
      <c r="E284" s="11">
        <v>184.6</v>
      </c>
      <c r="F284" s="11">
        <v>33.909999999999997</v>
      </c>
      <c r="G284" s="11">
        <v>53.48</v>
      </c>
      <c r="H284" s="11">
        <v>0.83350000000000002</v>
      </c>
      <c r="I284" s="11">
        <v>0.89300000000000002</v>
      </c>
      <c r="J284" s="11">
        <v>9.1999999999999993</v>
      </c>
      <c r="K284" s="11">
        <v>9.1999999999999993</v>
      </c>
      <c r="L284" s="11">
        <v>10</v>
      </c>
      <c r="M284" s="11">
        <v>9.1999999999999993</v>
      </c>
      <c r="N284" s="4" t="s">
        <v>500</v>
      </c>
    </row>
    <row r="285" spans="1:14" x14ac:dyDescent="0.2">
      <c r="A285" s="4" t="s">
        <v>384</v>
      </c>
      <c r="B285" s="4" t="s">
        <v>12</v>
      </c>
      <c r="C285" s="4">
        <v>21</v>
      </c>
      <c r="D285" s="25">
        <v>1.013385E-2</v>
      </c>
      <c r="E285" s="11">
        <v>81.5</v>
      </c>
      <c r="F285" s="11">
        <v>39.64</v>
      </c>
      <c r="G285" s="11">
        <v>65.59</v>
      </c>
      <c r="H285" s="11">
        <v>0.85409999999999997</v>
      </c>
      <c r="I285" s="11">
        <v>0.96699999999999997</v>
      </c>
      <c r="J285" s="11">
        <v>9</v>
      </c>
      <c r="K285" s="11">
        <v>9</v>
      </c>
      <c r="L285" s="11">
        <v>9.8000000000000007</v>
      </c>
      <c r="M285" s="11">
        <v>9.1999999999999993</v>
      </c>
      <c r="N285" s="4" t="s">
        <v>501</v>
      </c>
    </row>
    <row r="286" spans="1:14" x14ac:dyDescent="0.2">
      <c r="A286" s="4" t="s">
        <v>383</v>
      </c>
      <c r="B286" s="4" t="s">
        <v>12</v>
      </c>
      <c r="C286" s="4">
        <v>21</v>
      </c>
      <c r="D286" s="25">
        <v>9.6504E-3</v>
      </c>
      <c r="E286" s="11">
        <v>79.8</v>
      </c>
      <c r="F286" s="11">
        <v>28.76</v>
      </c>
      <c r="G286" s="11">
        <v>54.55</v>
      </c>
      <c r="H286" s="11">
        <v>0.85429999999999995</v>
      </c>
      <c r="I286" s="11">
        <v>0.96499999999999997</v>
      </c>
      <c r="J286" s="11">
        <v>9</v>
      </c>
      <c r="K286" s="11">
        <v>9</v>
      </c>
      <c r="L286" s="11">
        <v>9.6</v>
      </c>
      <c r="M286" s="11">
        <v>9.4</v>
      </c>
      <c r="N286" s="4" t="s">
        <v>502</v>
      </c>
    </row>
    <row r="287" spans="1:14" x14ac:dyDescent="0.2">
      <c r="A287" s="4" t="s">
        <v>382</v>
      </c>
      <c r="B287" s="4" t="s">
        <v>12</v>
      </c>
      <c r="C287" s="4">
        <v>18</v>
      </c>
      <c r="D287" s="25">
        <v>7.6913999999999897E-3</v>
      </c>
      <c r="E287" s="11">
        <v>1069</v>
      </c>
      <c r="F287" s="11">
        <v>33.47</v>
      </c>
      <c r="G287" s="11">
        <v>57</v>
      </c>
      <c r="H287" s="11">
        <v>0.85429999999999995</v>
      </c>
      <c r="I287" s="11">
        <v>0.85199999999999998</v>
      </c>
      <c r="J287" s="11">
        <v>8.8000000000000007</v>
      </c>
      <c r="K287" s="11">
        <v>8.8000000000000007</v>
      </c>
      <c r="L287" s="11">
        <v>9.4</v>
      </c>
      <c r="M287" s="11">
        <v>9</v>
      </c>
      <c r="N287" s="4" t="s">
        <v>503</v>
      </c>
    </row>
    <row r="288" spans="1:14" x14ac:dyDescent="0.2">
      <c r="A288" s="4" t="s">
        <v>381</v>
      </c>
      <c r="B288" s="4" t="s">
        <v>12</v>
      </c>
      <c r="C288" s="4">
        <v>27</v>
      </c>
      <c r="D288" s="29">
        <v>1.15696499999999E-2</v>
      </c>
      <c r="E288" s="11">
        <v>95.9</v>
      </c>
      <c r="F288" s="11">
        <v>29.7</v>
      </c>
      <c r="G288" s="11">
        <v>56</v>
      </c>
      <c r="H288" s="11">
        <v>0.84650000000000003</v>
      </c>
      <c r="I288" s="11">
        <v>0.86799999999999999</v>
      </c>
      <c r="J288" s="11">
        <v>9.1999999999999993</v>
      </c>
      <c r="K288" s="11">
        <v>9.1999999999999993</v>
      </c>
      <c r="L288" s="11">
        <v>9.6</v>
      </c>
      <c r="M288" s="11">
        <v>9.6</v>
      </c>
      <c r="N288" s="4" t="s">
        <v>504</v>
      </c>
    </row>
    <row r="289" spans="1:14" x14ac:dyDescent="0.2">
      <c r="A289" s="4" t="s">
        <v>380</v>
      </c>
      <c r="B289" s="4" t="s">
        <v>12</v>
      </c>
      <c r="C289" s="4">
        <v>33</v>
      </c>
      <c r="D289" s="25">
        <v>1.514925E-2</v>
      </c>
      <c r="E289" s="11">
        <v>108.5</v>
      </c>
      <c r="F289" s="11">
        <v>30.86</v>
      </c>
      <c r="G289" s="11">
        <v>56.92</v>
      </c>
      <c r="H289" s="11">
        <v>0.85050000000000003</v>
      </c>
      <c r="I289" s="11">
        <v>0.79900000000000004</v>
      </c>
      <c r="J289" s="11">
        <v>9</v>
      </c>
      <c r="K289" s="11">
        <v>9</v>
      </c>
      <c r="L289" s="11">
        <v>9.8000000000000007</v>
      </c>
      <c r="M289" s="11">
        <v>9.1999999999999993</v>
      </c>
      <c r="N289" s="4" t="s">
        <v>505</v>
      </c>
    </row>
    <row r="290" spans="1:14" x14ac:dyDescent="0.2">
      <c r="A290" s="4" t="s">
        <v>379</v>
      </c>
      <c r="B290" s="4" t="s">
        <v>12</v>
      </c>
      <c r="C290" s="4">
        <v>11</v>
      </c>
      <c r="D290" s="25">
        <v>4.8277499999999996E-3</v>
      </c>
      <c r="E290" s="11">
        <v>93.9</v>
      </c>
      <c r="F290" s="11">
        <v>51.62</v>
      </c>
      <c r="G290" s="11">
        <v>73.73</v>
      </c>
      <c r="H290" s="11">
        <v>0.92469999999999997</v>
      </c>
      <c r="I290" s="11">
        <v>1.069</v>
      </c>
      <c r="J290" s="11">
        <v>9.25</v>
      </c>
      <c r="K290" s="11">
        <v>9.25</v>
      </c>
      <c r="L290" s="11">
        <v>10</v>
      </c>
      <c r="M290" s="11">
        <v>9.25</v>
      </c>
      <c r="N290" s="4" t="s">
        <v>506</v>
      </c>
    </row>
    <row r="291" spans="1:14" x14ac:dyDescent="0.2">
      <c r="A291" s="4" t="s">
        <v>378</v>
      </c>
      <c r="B291" s="4" t="s">
        <v>12</v>
      </c>
      <c r="C291" s="4">
        <v>7</v>
      </c>
      <c r="D291" s="25">
        <v>2.6500500000000001E-3</v>
      </c>
      <c r="E291" s="11">
        <v>54.1</v>
      </c>
      <c r="F291" s="11">
        <v>12.74</v>
      </c>
      <c r="G291" s="11">
        <v>36.32</v>
      </c>
      <c r="H291" s="11">
        <v>0.81950000000000001</v>
      </c>
      <c r="I291" s="11">
        <v>0.78300000000000003</v>
      </c>
      <c r="J291" s="11">
        <v>9</v>
      </c>
      <c r="K291" s="23">
        <v>9.3333333333333304</v>
      </c>
      <c r="L291" s="23">
        <v>9.6666666666666607</v>
      </c>
      <c r="M291" s="23">
        <v>9.3333333333333304</v>
      </c>
      <c r="N291" s="4" t="s">
        <v>507</v>
      </c>
    </row>
    <row r="292" spans="1:14" x14ac:dyDescent="0.2">
      <c r="A292" s="4" t="s">
        <v>377</v>
      </c>
      <c r="B292" s="4" t="s">
        <v>12</v>
      </c>
      <c r="C292" s="4">
        <v>6</v>
      </c>
      <c r="D292" s="25">
        <v>2.5994999999999998E-3</v>
      </c>
      <c r="E292" s="11">
        <v>56</v>
      </c>
      <c r="F292" s="11">
        <v>51.11</v>
      </c>
      <c r="G292" s="11">
        <v>74.31</v>
      </c>
      <c r="H292" s="11">
        <v>0.89800000000000002</v>
      </c>
      <c r="I292" s="11">
        <v>1.075</v>
      </c>
      <c r="J292" s="11">
        <v>9</v>
      </c>
      <c r="K292" s="11">
        <v>9</v>
      </c>
      <c r="L292" s="11">
        <v>9.5</v>
      </c>
      <c r="M292" s="11">
        <v>9.5</v>
      </c>
      <c r="N292" s="4" t="s">
        <v>508</v>
      </c>
    </row>
    <row r="293" spans="1:14" x14ac:dyDescent="0.2">
      <c r="A293" s="4" t="s">
        <v>376</v>
      </c>
      <c r="B293" s="4" t="s">
        <v>12</v>
      </c>
      <c r="C293" s="4">
        <v>75</v>
      </c>
      <c r="D293" s="25">
        <v>3.5273249999999999E-2</v>
      </c>
      <c r="E293" s="11">
        <v>211.4</v>
      </c>
      <c r="F293" s="11">
        <v>38.35</v>
      </c>
      <c r="G293" s="11">
        <v>64.66</v>
      </c>
      <c r="H293" s="11">
        <v>0.88039999999999996</v>
      </c>
      <c r="I293" s="11">
        <v>0.878</v>
      </c>
      <c r="J293" s="11">
        <v>9</v>
      </c>
      <c r="K293" s="11">
        <v>9.1999999999999993</v>
      </c>
      <c r="L293" s="11">
        <v>9.6</v>
      </c>
      <c r="M293" s="11">
        <v>9.4</v>
      </c>
      <c r="N293" s="4" t="s">
        <v>509</v>
      </c>
    </row>
    <row r="294" spans="1:14" x14ac:dyDescent="0.2">
      <c r="A294" s="4" t="s">
        <v>374</v>
      </c>
      <c r="B294" s="4" t="s">
        <v>12</v>
      </c>
      <c r="C294" s="4">
        <v>5</v>
      </c>
      <c r="D294" s="25">
        <v>1.86524999999999E-3</v>
      </c>
      <c r="E294" s="11">
        <v>45.1</v>
      </c>
      <c r="F294" s="11">
        <v>64.97</v>
      </c>
      <c r="G294" s="11">
        <v>77.7</v>
      </c>
      <c r="H294" s="11">
        <v>0.92020000000000002</v>
      </c>
      <c r="I294" s="11">
        <v>0.96599999999999997</v>
      </c>
      <c r="J294" s="11">
        <v>9</v>
      </c>
      <c r="K294" s="11">
        <v>9</v>
      </c>
      <c r="L294" s="11">
        <v>9.5</v>
      </c>
      <c r="M294" s="11">
        <v>9.5</v>
      </c>
      <c r="N294" s="4" t="s">
        <v>510</v>
      </c>
    </row>
    <row r="295" spans="1:14" x14ac:dyDescent="0.2">
      <c r="A295" s="4" t="s">
        <v>405</v>
      </c>
      <c r="B295" s="4" t="s">
        <v>12</v>
      </c>
      <c r="C295" s="4">
        <v>4</v>
      </c>
      <c r="D295" s="25">
        <v>1.4672999999999999E-3</v>
      </c>
      <c r="E295" s="11">
        <v>44.4</v>
      </c>
      <c r="F295" s="11">
        <v>58.44</v>
      </c>
      <c r="G295" s="11">
        <v>74.98</v>
      </c>
      <c r="H295" s="11">
        <v>0.91910000000000003</v>
      </c>
      <c r="I295" s="11">
        <v>0.99099999999999999</v>
      </c>
      <c r="J295" s="11">
        <v>9</v>
      </c>
      <c r="K295" s="11">
        <v>9</v>
      </c>
      <c r="L295" s="11">
        <v>10</v>
      </c>
      <c r="M295" s="11">
        <v>9</v>
      </c>
      <c r="N295" s="4" t="s">
        <v>471</v>
      </c>
    </row>
    <row r="296" spans="1:14" x14ac:dyDescent="0.2">
      <c r="A296" s="4" t="s">
        <v>373</v>
      </c>
      <c r="B296" s="4" t="s">
        <v>12</v>
      </c>
      <c r="C296" s="4">
        <v>4</v>
      </c>
      <c r="D296" s="25">
        <v>1.21319999999999E-3</v>
      </c>
      <c r="E296" s="11">
        <v>52</v>
      </c>
      <c r="F296" s="11">
        <v>75.58</v>
      </c>
      <c r="G296" s="11">
        <v>85.16</v>
      </c>
      <c r="H296" s="11">
        <v>0.9365</v>
      </c>
      <c r="I296" s="11">
        <v>1.008</v>
      </c>
      <c r="J296" s="11">
        <v>9.5</v>
      </c>
      <c r="K296" s="11">
        <v>9.5</v>
      </c>
      <c r="L296" s="11">
        <v>10</v>
      </c>
      <c r="M296" s="11">
        <v>9.5</v>
      </c>
      <c r="N296" s="4" t="s">
        <v>511</v>
      </c>
    </row>
    <row r="297" spans="1:14" x14ac:dyDescent="0.2">
      <c r="A297" s="4" t="s">
        <v>372</v>
      </c>
      <c r="B297" s="4" t="s">
        <v>12</v>
      </c>
      <c r="C297" s="4">
        <v>37</v>
      </c>
      <c r="D297" s="25">
        <v>1.8588299999999999E-2</v>
      </c>
      <c r="E297" s="11">
        <v>114.5</v>
      </c>
      <c r="F297" s="11">
        <v>42.64</v>
      </c>
      <c r="G297" s="11">
        <v>68.13</v>
      </c>
      <c r="H297" s="11">
        <v>0.88519999999999999</v>
      </c>
      <c r="I297" s="11">
        <v>0.9</v>
      </c>
      <c r="J297" s="11">
        <v>9.1999999999999993</v>
      </c>
      <c r="K297" s="11">
        <v>9.1999999999999993</v>
      </c>
      <c r="L297" s="11">
        <v>9.8000000000000007</v>
      </c>
      <c r="M297" s="11">
        <v>9.4</v>
      </c>
      <c r="N297" s="4" t="s">
        <v>512</v>
      </c>
    </row>
    <row r="298" spans="1:14" x14ac:dyDescent="0.2">
      <c r="A298" s="4" t="s">
        <v>371</v>
      </c>
      <c r="B298" s="4" t="s">
        <v>12</v>
      </c>
      <c r="C298" s="4">
        <v>44</v>
      </c>
      <c r="D298" s="25">
        <v>2.1385350000000001E-2</v>
      </c>
      <c r="E298" s="11">
        <v>127.7</v>
      </c>
      <c r="F298" s="11">
        <v>45.9</v>
      </c>
      <c r="G298" s="11">
        <v>68.260000000000005</v>
      </c>
      <c r="H298" s="11">
        <v>0.86680000000000001</v>
      </c>
      <c r="I298" s="11">
        <v>0.94699999999999995</v>
      </c>
      <c r="J298" s="11">
        <v>9</v>
      </c>
      <c r="K298" s="11">
        <v>9</v>
      </c>
      <c r="L298" s="11">
        <v>9.8000000000000007</v>
      </c>
      <c r="M298" s="11">
        <v>9.1999999999999993</v>
      </c>
      <c r="N298" s="4" t="s">
        <v>513</v>
      </c>
    </row>
    <row r="299" spans="1:14" x14ac:dyDescent="0.2">
      <c r="A299" s="4" t="s">
        <v>370</v>
      </c>
      <c r="B299" s="4" t="s">
        <v>12</v>
      </c>
      <c r="C299" s="4">
        <v>4</v>
      </c>
      <c r="D299" s="25">
        <v>1.1095499999999999E-3</v>
      </c>
      <c r="E299" s="11">
        <v>44.8</v>
      </c>
      <c r="F299" s="11">
        <v>72.2</v>
      </c>
      <c r="G299" s="11">
        <v>81.400000000000006</v>
      </c>
      <c r="H299" s="11">
        <v>0.93889999999999996</v>
      </c>
      <c r="I299" s="11">
        <v>0.88600000000000001</v>
      </c>
      <c r="J299" s="11">
        <v>9.5</v>
      </c>
      <c r="K299" s="11">
        <v>9.5</v>
      </c>
      <c r="L299" s="11">
        <v>10</v>
      </c>
      <c r="M299" s="11">
        <v>9.5</v>
      </c>
      <c r="N299" s="4" t="s">
        <v>514</v>
      </c>
    </row>
    <row r="300" spans="1:14" x14ac:dyDescent="0.2">
      <c r="A300" s="4" t="s">
        <v>369</v>
      </c>
      <c r="B300" s="4" t="s">
        <v>12</v>
      </c>
      <c r="C300" s="4">
        <v>7</v>
      </c>
      <c r="D300" s="25">
        <v>3.0617999999999999E-3</v>
      </c>
      <c r="E300" s="11">
        <v>71.5</v>
      </c>
      <c r="F300" s="11">
        <v>12.47</v>
      </c>
      <c r="G300" s="11">
        <v>29.8</v>
      </c>
      <c r="H300" s="11">
        <v>0.81759999999999999</v>
      </c>
      <c r="I300" s="11">
        <v>0.85899999999999999</v>
      </c>
      <c r="J300" s="11">
        <v>9</v>
      </c>
      <c r="K300" s="11">
        <v>9</v>
      </c>
      <c r="L300" s="22">
        <v>9.6666666666666607</v>
      </c>
      <c r="M300" s="22">
        <v>9.3333333333333304</v>
      </c>
      <c r="N300" s="4" t="s">
        <v>515</v>
      </c>
    </row>
    <row r="301" spans="1:14" x14ac:dyDescent="0.2">
      <c r="A301" s="4" t="s">
        <v>368</v>
      </c>
      <c r="B301" s="4" t="s">
        <v>12</v>
      </c>
      <c r="C301" s="4">
        <v>3</v>
      </c>
      <c r="D301" s="25">
        <v>1.7794499999999999E-3</v>
      </c>
      <c r="E301" s="11">
        <v>86</v>
      </c>
      <c r="F301" s="11">
        <v>55.7</v>
      </c>
      <c r="G301" s="11">
        <v>75.36</v>
      </c>
      <c r="H301" s="11">
        <v>0.93469999999999998</v>
      </c>
      <c r="I301" s="11">
        <v>1.0009999999999999</v>
      </c>
      <c r="J301" s="11">
        <v>9</v>
      </c>
      <c r="K301" s="11">
        <v>9</v>
      </c>
      <c r="L301" s="11">
        <v>10</v>
      </c>
      <c r="M301" s="11">
        <v>9</v>
      </c>
      <c r="N301" s="4" t="s">
        <v>469</v>
      </c>
    </row>
    <row r="302" spans="1:14" x14ac:dyDescent="0.2">
      <c r="A302" s="4" t="s">
        <v>367</v>
      </c>
      <c r="B302" s="4" t="s">
        <v>12</v>
      </c>
      <c r="C302" s="4">
        <v>3</v>
      </c>
      <c r="D302" s="25">
        <v>1.7427E-3</v>
      </c>
      <c r="E302" s="11">
        <v>43.6</v>
      </c>
      <c r="F302" s="11">
        <v>64.88</v>
      </c>
      <c r="G302" s="11">
        <v>83.12</v>
      </c>
      <c r="H302" s="11">
        <v>0.94589999999999996</v>
      </c>
      <c r="I302" s="11">
        <v>1.0029999999999999</v>
      </c>
      <c r="J302" s="11">
        <v>9</v>
      </c>
      <c r="K302" s="11">
        <v>9</v>
      </c>
      <c r="L302" s="11">
        <v>10</v>
      </c>
      <c r="M302" s="11">
        <v>9</v>
      </c>
      <c r="N302" s="4" t="s">
        <v>469</v>
      </c>
    </row>
    <row r="303" spans="1:14" x14ac:dyDescent="0.2">
      <c r="A303" s="4" t="s">
        <v>388</v>
      </c>
      <c r="B303" s="4" t="s">
        <v>12</v>
      </c>
      <c r="C303" s="21">
        <v>31</v>
      </c>
      <c r="D303" s="21" t="s">
        <v>606</v>
      </c>
      <c r="E303" s="21">
        <v>107.2</v>
      </c>
      <c r="F303" s="21">
        <v>34.53</v>
      </c>
      <c r="G303" s="21">
        <v>60.5</v>
      </c>
      <c r="H303" s="21">
        <v>0.85750000000000004</v>
      </c>
      <c r="I303" s="21">
        <v>0.89200000000000002</v>
      </c>
      <c r="J303" s="21">
        <v>9.1999999999999993</v>
      </c>
      <c r="K303" s="21">
        <v>9.1999999999999993</v>
      </c>
      <c r="L303" s="21">
        <v>10</v>
      </c>
      <c r="M303" s="21">
        <v>9.1999999999999993</v>
      </c>
      <c r="N303" s="4" t="s">
        <v>607</v>
      </c>
    </row>
    <row r="304" spans="1:14" x14ac:dyDescent="0.2">
      <c r="A304" s="4" t="s">
        <v>390</v>
      </c>
      <c r="B304" s="4" t="s">
        <v>12</v>
      </c>
      <c r="C304" s="21">
        <v>26</v>
      </c>
      <c r="D304" s="21" t="s">
        <v>604</v>
      </c>
      <c r="E304" s="21">
        <v>78</v>
      </c>
      <c r="F304" s="21">
        <v>38.049999999999997</v>
      </c>
      <c r="G304" s="21">
        <v>63.02</v>
      </c>
      <c r="H304" s="21">
        <v>0.85819999999999996</v>
      </c>
      <c r="I304" s="21">
        <v>0.89500000000000002</v>
      </c>
      <c r="J304" s="21">
        <v>9</v>
      </c>
      <c r="K304" s="21">
        <v>9</v>
      </c>
      <c r="L304" s="21">
        <v>10</v>
      </c>
      <c r="M304" s="21">
        <v>9</v>
      </c>
      <c r="N304" s="4" t="s">
        <v>605</v>
      </c>
    </row>
    <row r="305" spans="1:14" s="9" customFormat="1" x14ac:dyDescent="0.2">
      <c r="A305" s="6" t="s">
        <v>128</v>
      </c>
      <c r="B305" s="6">
        <f>COUNTA(A230:A304)</f>
        <v>75</v>
      </c>
      <c r="C305" s="6" t="s">
        <v>19</v>
      </c>
      <c r="D305" s="26">
        <f>SUM(D230:D304)</f>
        <v>0.88815139999999948</v>
      </c>
      <c r="E305" s="7">
        <f>SUM(E230:E304)</f>
        <v>8168.0000000000009</v>
      </c>
      <c r="F305" s="7">
        <f>AVERAGE(F230:F304)</f>
        <v>45.365333333333325</v>
      </c>
      <c r="G305" s="7">
        <f>AVERAGE(G230:G304)</f>
        <v>66.72853333333336</v>
      </c>
      <c r="H305" s="7">
        <f>AVERAGE(H230:H304)</f>
        <v>0.8906413333333334</v>
      </c>
      <c r="I305" s="7">
        <f>AVERAGE(I230:I304)</f>
        <v>0.92887999999999993</v>
      </c>
      <c r="J305" s="7">
        <f>AVERAGE(J230:J304)</f>
        <v>9.1059999999999999</v>
      </c>
      <c r="K305" s="7">
        <f>AVERAGE(K230:K304)</f>
        <v>9.1344444444444441</v>
      </c>
      <c r="L305" s="7">
        <f>AVERAGE(L230:L304)</f>
        <v>9.7990990990990969</v>
      </c>
      <c r="M305" s="7">
        <f>AVERAGE(M230:M304)</f>
        <v>9.2921171171171171</v>
      </c>
      <c r="N305" s="8"/>
    </row>
    <row r="306" spans="1:14" s="9" customFormat="1" x14ac:dyDescent="0.2">
      <c r="A306" s="10" t="s">
        <v>128</v>
      </c>
      <c r="B306" s="10">
        <f>COUNTA(A2:A76, A78:A152, A154:A228, A230:A304)</f>
        <v>300</v>
      </c>
      <c r="C306" s="10" t="s">
        <v>19</v>
      </c>
      <c r="D306" s="30">
        <f>SUM(D2:D76, D78:D152, D154:D228, D230:D304)</f>
        <v>4.3397742499999978</v>
      </c>
      <c r="E306" s="15">
        <f>SUM(E2:E76, E78:E152, E154:E228, E230:E304)</f>
        <v>46147.500000000029</v>
      </c>
      <c r="F306" s="12">
        <f>AVERAGE(F2:F76, F78:F152, F154:F228, F230:F304)</f>
        <v>38.950766666666652</v>
      </c>
      <c r="G306" s="12">
        <f>AVERAGE(G2:G76, G78:G152, G154:G228, G230:G304)</f>
        <v>62.897699999999993</v>
      </c>
      <c r="H306" s="14">
        <f>AVERAGE(H2:H76, H78:H152, H154:H228, H230:H304)</f>
        <v>0.8798563333333338</v>
      </c>
      <c r="I306" s="13">
        <f>AVERAGE(I2:I76, I78:I152, I154:I228, I230:I304)</f>
        <v>0.92590666666666588</v>
      </c>
      <c r="J306" s="15">
        <f>AVERAGE(J2:J76, J78:J152, J154:J228, J230:J304)</f>
        <v>9.1412777777777752</v>
      </c>
      <c r="K306" s="15">
        <f>AVERAGE(K2:K76, K78:K152, K154:K228, K230:K304)</f>
        <v>9.1615555555555535</v>
      </c>
      <c r="L306" s="15">
        <f>AVERAGE(L2:L76, L78:L152, L154:L228, L230:L304)</f>
        <v>9.7899108138238606</v>
      </c>
      <c r="M306" s="15">
        <f>AVERAGE(M2:M76, M78:M152, M154:M228, M230:M304)</f>
        <v>9.3066889632106999</v>
      </c>
      <c r="N306" s="8"/>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Farida Madkour</dc:creator>
  <cp:lastModifiedBy>Farida Madkour</cp:lastModifiedBy>
  <dcterms:created xsi:type="dcterms:W3CDTF">2026-09-22T12:59:33Z</dcterms:created>
  <dcterms:modified xsi:type="dcterms:W3CDTF">2026-10-04T21:20:05Z</dcterms:modified>
</cp:coreProperties>
</file>